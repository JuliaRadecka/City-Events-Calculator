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icom\Desktop\city_events_app\"/>
    </mc:Choice>
  </mc:AlternateContent>
  <xr:revisionPtr revIDLastSave="0" documentId="13_ncr:1_{9C9F9C96-397E-4BC3-8342-10795D900F4A}" xr6:coauthVersionLast="47" xr6:coauthVersionMax="47" xr10:uidLastSave="{00000000-0000-0000-0000-000000000000}"/>
  <bookViews>
    <workbookView xWindow="-120" yWindow="-120" windowWidth="29040" windowHeight="15720" tabRatio="861" xr2:uid="{B2743EF4-B365-4872-B77C-13050CA83BE3}"/>
  </bookViews>
  <sheets>
    <sheet name="TEMPLATE" sheetId="32" r:id="rId1"/>
    <sheet name="ТВ Каналы" sheetId="25" r:id="rId2"/>
    <sheet name="Радиостанции" sheetId="29" r:id="rId3"/>
    <sheet name="Коэфы качество контакта" sheetId="15" r:id="rId4"/>
    <sheet name="ЦА по городам" sheetId="30" r:id="rId5"/>
    <sheet name="Коэфы брендирование" sheetId="26" r:id="rId6"/>
    <sheet name="ТВ" sheetId="23" r:id="rId7"/>
    <sheet name="OOH" sheetId="17" r:id="rId8"/>
    <sheet name="Метро" sheetId="28" r:id="rId9"/>
    <sheet name="Radio" sheetId="27" r:id="rId10"/>
    <sheet name="Indoor" sheetId="31" r:id="rId11"/>
    <sheet name="ТВ исходник" sheetId="21" r:id="rId12"/>
    <sheet name="Радио" sheetId="18" r:id="rId13"/>
  </sheets>
  <externalReferences>
    <externalReference r:id="rId14"/>
  </externalReferences>
  <definedNames>
    <definedName name="_xlnm._FilterDatabase" localSheetId="10" hidden="1">Indoor!$A$1:$G$37</definedName>
    <definedName name="_xlnm._FilterDatabase" localSheetId="9" hidden="1">Radio!$A$1:$C$639</definedName>
    <definedName name="_xlnm._FilterDatabase" localSheetId="11" hidden="1">'ТВ исходник'!$A$1:$D$805</definedName>
    <definedName name="ExternalData_1" localSheetId="6" hidden="1">ТВ!$A$1:$C$464</definedName>
    <definedName name="Indoor" localSheetId="0">OFFSET([1]Indoor!$A$2,MATCH(TEMPLATE!$E$22,[1]Indoor!$A$2:$A$996,0)-1,1,COUNTIF([1]Indoor!$A$2:$A$996,TEMPLATE!$E$22),1)</definedName>
    <definedName name="Indoor">OFFSET(Indoor!$A$2,MATCH(#REF!,Indoor!$A$2:$A$996,0)-1,1,COUNTIF(Indoor!$A$2:$A$996,#REF!),1)</definedName>
    <definedName name="OTSРадио" localSheetId="0">OFFSET([1]Радиостанции!$B$1,MATCH(TEMPLATE!$E1,[1]Радиостанции!$B:$B,0)-1,3,COUNTIF([1]Радиостанции!$B:$B,TEMPLATE!$E1),1)</definedName>
    <definedName name="OTSРадио">OFFSET(Радиостанции!$B$1,MATCH(#REF!,Радиостанции!$B:$B,0)-1,3,COUNTIF(Радиостанции!$B:$B,#REF!),1)</definedName>
    <definedName name="OTSРадиоМосква" localSheetId="0">OFFSET([1]Радиостанции!$C$1,MATCH(TEMPLATE!$P1,[1]Радиостанции!$C:$C,0)-1,3,COUNTIF([1]Радиостанции!$C:$C,TEMPLATE!$P1),1)</definedName>
    <definedName name="OTSРадиоМосква">OFFSET(Радиостанции!$C$1,MATCH(#REF!,Радиостанции!$C:$C,0)-1,3,COUNTIF(Радиостанции!$C:$C,#REF!),1)</definedName>
    <definedName name="OTSТВ" localSheetId="0">OFFSET('[1]ТВ Каналы'!$B$1,MATCH(TEMPLATE!$E1,'[1]ТВ Каналы'!$B:$B,0)-1,4,COUNTIF('[1]ТВ Каналы'!$B:$B,TEMPLATE!$E1),1)</definedName>
    <definedName name="OTSТВ">OFFSET('ТВ Каналы'!$B$1,MATCH(#REF!,'ТВ Каналы'!$B:$B,0)-1,4,COUNTIF('ТВ Каналы'!$B:$B,#REF!),1)</definedName>
    <definedName name="OTSТВМосква" localSheetId="0">OFFSET('[1]ТВ Каналы'!$C$1,MATCH(TEMPLATE!$P1,'[1]ТВ Каналы'!$C:$C,0)-1,3,COUNTIF('[1]ТВ Каналы'!$C:$C,TEMPLATE!$P1),1)</definedName>
    <definedName name="OTSТВМосква">OFFSET('ТВ Каналы'!$C$1,MATCH(#REF!,'ТВ Каналы'!$C:$C,0)-1,3,COUNTIF('ТВ Каналы'!$C:$C,#REF!),1)</definedName>
    <definedName name="OTSТВСумм" localSheetId="0">SUM(TEMPLATE!OTSТВ)</definedName>
    <definedName name="OTSТВСумм">SUM(OTSТВ)</definedName>
    <definedName name="Канал" localSheetId="0">OFFSET([1]ТВ!$A$1,MATCH(TEMPLATE!$E$22,[1]ТВ!$A:$A,0)-1,1,COUNTIF([1]ТВ!$A:$A,TEMPLATE!$E$22),1)</definedName>
    <definedName name="Канал">OFFSET(ТВ!$A$1,MATCH(#REF!,ТВ!$A:$A,0)-1,1,COUNTIF(ТВ!$A:$A,#REF!),1)</definedName>
    <definedName name="МинутыРадио" localSheetId="0">OFFSET([1]Радиостанции!$B$1,MATCH(TEMPLATE!$E1,[1]Радиостанции!$B:$B,0)-1,2,COUNTIF([1]Радиостанции!$B:$B,TEMPLATE!$E1),1)</definedName>
    <definedName name="МинутыРадио">OFFSET(Радиостанции!$B$1,MATCH(#REF!,Радиостанции!$B:$B,0)-1,2,COUNTIF(Радиостанции!$B:$B,#REF!),1)</definedName>
    <definedName name="МинутыРадиоМосква" localSheetId="0">OFFSET([1]Радиостанции!$C$1,MATCH(TEMPLATE!$P1,[1]Радиостанции!$C:$C,0)-1,2,COUNTIF([1]Радиостанции!$C:$C,TEMPLATE!$P1),1)</definedName>
    <definedName name="МинутыРадиоМосква">OFFSET(Радиостанции!$C$1,MATCH(#REF!,Радиостанции!$C:$C,0)-1,2,COUNTIF(Радиостанции!$C:$C,#REF!),1)</definedName>
    <definedName name="МинутыТВ" localSheetId="0">OFFSET('[1]ТВ Каналы'!$B$1,MATCH(TEMPLATE!$E1,'[1]ТВ Каналы'!$B:$B,0)-1,2,COUNTIF('[1]ТВ Каналы'!$B:$B,TEMPLATE!$E1),1)</definedName>
    <definedName name="МинутыТВ">OFFSET('ТВ Каналы'!$B$1,MATCH(#REF!,'ТВ Каналы'!$B:$B,0)-1,2,COUNTIF('ТВ Каналы'!$B:$B,#REF!),1)</definedName>
    <definedName name="МинутыТВМосква" localSheetId="0">OFFSET('[1]ТВ Каналы'!$C$1,MATCH(TEMPLATE!$P1,'[1]ТВ Каналы'!$C:$C,0)-1,2,COUNTIF('[1]ТВ Каналы'!$C:$C,TEMPLATE!$P1),1)</definedName>
    <definedName name="МинутыТВМосква">OFFSET('ТВ Каналы'!$C$1,MATCH(#REF!,'ТВ Каналы'!$C:$C,0)-1,2,COUNTIF('ТВ Каналы'!$C:$C,#REF!),1)</definedName>
    <definedName name="Радио" localSheetId="0">OFFSET([1]Radio!$A$1,MATCH(TEMPLATE!$E$22,[1]Radio!$A:$A,0)-1,1,COUNTIF([1]Radio!$A:$A,TEMPLATE!$E$22),1)</definedName>
    <definedName name="Радио">OFFSET(Radio!$A$1,MATCH(#REF!,Radio!$A:$A,0)-1,1,COUNTIF(Radio!$A:$A,#REF!),1)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2" i="32" l="1"/>
  <c r="E21" i="32"/>
  <c r="N29" i="32"/>
  <c r="P29" i="32"/>
  <c r="K29" i="32" s="1"/>
  <c r="J29" i="32" s="1" a="1"/>
  <c r="J29" i="32" s="1"/>
  <c r="O29" i="32" s="1"/>
  <c r="N30" i="32"/>
  <c r="P30" i="32"/>
  <c r="K30" i="32" s="1"/>
  <c r="J30" i="32" s="1" a="1"/>
  <c r="J30" i="32" s="1"/>
  <c r="O30" i="32" s="1"/>
  <c r="J32" i="32" a="1"/>
  <c r="J32" i="32" s="1"/>
  <c r="N32" i="32"/>
  <c r="J33" i="32" a="1"/>
  <c r="J33" i="32" s="1"/>
  <c r="O33" i="32" s="1"/>
  <c r="N33" i="32"/>
  <c r="J34" i="32" a="1"/>
  <c r="J34" i="32" s="1"/>
  <c r="O34" i="32" s="1"/>
  <c r="N34" i="32"/>
  <c r="J35" i="32" a="1"/>
  <c r="J35" i="32"/>
  <c r="O35" i="32" s="1"/>
  <c r="N35" i="32"/>
  <c r="J36" i="32" a="1"/>
  <c r="J36" i="32" s="1"/>
  <c r="O36" i="32" s="1"/>
  <c r="N36" i="32"/>
  <c r="J37" i="32" a="1"/>
  <c r="J37" i="32"/>
  <c r="O37" i="32" s="1"/>
  <c r="N37" i="32"/>
  <c r="J38" i="32" a="1"/>
  <c r="J38" i="32" s="1"/>
  <c r="O38" i="32" s="1"/>
  <c r="N38" i="32"/>
  <c r="J39" i="32" a="1"/>
  <c r="J39" i="32"/>
  <c r="O39" i="32" s="1"/>
  <c r="N39" i="32"/>
  <c r="J41" i="32" a="1"/>
  <c r="J41" i="32" s="1"/>
  <c r="N41" i="32"/>
  <c r="J42" i="32" a="1"/>
  <c r="J42" i="32" s="1"/>
  <c r="N42" i="32"/>
  <c r="O42" i="32" a="1"/>
  <c r="O42" i="32" s="1"/>
  <c r="J43" i="32" a="1"/>
  <c r="J43" i="32"/>
  <c r="O43" i="32" s="1" a="1"/>
  <c r="O43" i="32" s="1"/>
  <c r="N43" i="32"/>
  <c r="J44" i="32" a="1"/>
  <c r="J44" i="32" s="1"/>
  <c r="O44" i="32" s="1" a="1"/>
  <c r="O44" i="32" s="1"/>
  <c r="N44" i="32"/>
  <c r="J45" i="32" a="1"/>
  <c r="J45" i="32" s="1"/>
  <c r="O45" i="32" s="1" a="1"/>
  <c r="O45" i="32" s="1"/>
  <c r="N45" i="32"/>
  <c r="J46" i="32" a="1"/>
  <c r="J46" i="32" s="1"/>
  <c r="O46" i="32" s="1" a="1"/>
  <c r="O46" i="32" s="1"/>
  <c r="N46" i="32"/>
  <c r="J47" i="32" a="1"/>
  <c r="J47" i="32" s="1"/>
  <c r="O47" i="32" s="1" a="1"/>
  <c r="O47" i="32" s="1"/>
  <c r="N47" i="32"/>
  <c r="J48" i="32" a="1"/>
  <c r="J48" i="32" s="1"/>
  <c r="O48" i="32" s="1" a="1"/>
  <c r="O48" i="32" s="1"/>
  <c r="N48" i="32"/>
  <c r="J49" i="32" a="1"/>
  <c r="J49" i="32" s="1"/>
  <c r="O49" i="32" s="1" a="1"/>
  <c r="O49" i="32" s="1"/>
  <c r="N49" i="32"/>
  <c r="J50" i="32" a="1"/>
  <c r="J50" i="32" s="1"/>
  <c r="O50" i="32" s="1" a="1"/>
  <c r="O50" i="32" s="1"/>
  <c r="N50" i="32"/>
  <c r="J51" i="32" a="1"/>
  <c r="J51" i="32" s="1"/>
  <c r="O51" i="32" s="1" a="1"/>
  <c r="O51" i="32" s="1"/>
  <c r="N51" i="32"/>
  <c r="J52" i="32" a="1"/>
  <c r="J52" i="32" s="1"/>
  <c r="O52" i="32" s="1" a="1"/>
  <c r="O52" i="32" s="1"/>
  <c r="N52" i="32"/>
  <c r="J53" i="32" a="1"/>
  <c r="J53" i="32" s="1"/>
  <c r="O53" i="32" s="1" a="1"/>
  <c r="O53" i="32" s="1"/>
  <c r="N53" i="32"/>
  <c r="J54" i="32" a="1"/>
  <c r="J54" i="32" s="1"/>
  <c r="O54" i="32" s="1" a="1"/>
  <c r="O54" i="32" s="1"/>
  <c r="N54" i="32"/>
  <c r="J55" i="32" a="1"/>
  <c r="J55" i="32" s="1"/>
  <c r="O55" i="32" s="1" a="1"/>
  <c r="O55" i="32" s="1"/>
  <c r="N55" i="32"/>
  <c r="J56" i="32" a="1"/>
  <c r="J56" i="32" s="1"/>
  <c r="O56" i="32" s="1" a="1"/>
  <c r="O56" i="32" s="1"/>
  <c r="N56" i="32"/>
  <c r="J57" i="32" a="1"/>
  <c r="J57" i="32" s="1"/>
  <c r="O57" i="32" s="1" a="1"/>
  <c r="O57" i="32" s="1"/>
  <c r="N57" i="32"/>
  <c r="J58" i="32" a="1"/>
  <c r="J58" i="32" s="1"/>
  <c r="O58" i="32" s="1" a="1"/>
  <c r="O58" i="32" s="1"/>
  <c r="N58" i="32"/>
  <c r="J59" i="32" a="1"/>
  <c r="J59" i="32" s="1"/>
  <c r="O59" i="32" s="1" a="1"/>
  <c r="O59" i="32" s="1"/>
  <c r="N59" i="32"/>
  <c r="J60" i="32" a="1"/>
  <c r="J60" i="32" s="1"/>
  <c r="O60" i="32" s="1" a="1"/>
  <c r="O60" i="32" s="1"/>
  <c r="N60" i="32"/>
  <c r="J62" i="32" a="1"/>
  <c r="J62" i="32" s="1"/>
  <c r="N62" i="32"/>
  <c r="J63" i="32" a="1"/>
  <c r="J63" i="32" s="1"/>
  <c r="O63" i="32" s="1"/>
  <c r="N63" i="32"/>
  <c r="J64" i="32" a="1"/>
  <c r="J64" i="32" s="1"/>
  <c r="O64" i="32" s="1"/>
  <c r="N64" i="32"/>
  <c r="J65" i="32" a="1"/>
  <c r="J65" i="32" s="1"/>
  <c r="O65" i="32" s="1"/>
  <c r="N65" i="32"/>
  <c r="J66" i="32" a="1"/>
  <c r="J66" i="32" s="1"/>
  <c r="O66" i="32" s="1"/>
  <c r="N66" i="32"/>
  <c r="N68" i="32"/>
  <c r="P68" i="32"/>
  <c r="K68" i="32" s="1"/>
  <c r="J68" i="32" s="1" a="1"/>
  <c r="J68" i="32" s="1"/>
  <c r="K69" i="32"/>
  <c r="J69" i="32" s="1" a="1"/>
  <c r="J69" i="32" s="1"/>
  <c r="O69" i="32" s="1"/>
  <c r="N69" i="32"/>
  <c r="P69" i="32"/>
  <c r="J71" i="32" a="1"/>
  <c r="J71" i="32" s="1"/>
  <c r="N71" i="32"/>
  <c r="J72" i="32" a="1"/>
  <c r="J72" i="32" s="1"/>
  <c r="O72" i="32" s="1"/>
  <c r="N72" i="32"/>
  <c r="J73" i="32" a="1"/>
  <c r="J73" i="32" s="1"/>
  <c r="O73" i="32" s="1"/>
  <c r="N73" i="32"/>
  <c r="J74" i="32" a="1"/>
  <c r="J74" i="32"/>
  <c r="O74" i="32" s="1"/>
  <c r="N74" i="32"/>
  <c r="J75" i="32" a="1"/>
  <c r="J75" i="32" s="1"/>
  <c r="O75" i="32" s="1"/>
  <c r="N75" i="32"/>
  <c r="J76" i="32" a="1"/>
  <c r="J76" i="32"/>
  <c r="O76" i="32" s="1"/>
  <c r="N76" i="32"/>
  <c r="J77" i="32" a="1"/>
  <c r="J77" i="32" s="1"/>
  <c r="O77" i="32" s="1"/>
  <c r="N77" i="32"/>
  <c r="J78" i="32" a="1"/>
  <c r="J78" i="32"/>
  <c r="O78" i="32" s="1"/>
  <c r="N78" i="32"/>
  <c r="J80" i="32" a="1"/>
  <c r="J80" i="32"/>
  <c r="O80" i="32" s="1"/>
  <c r="J81" i="32" a="1"/>
  <c r="J81" i="32" s="1"/>
  <c r="O81" i="32" s="1"/>
  <c r="J82" i="32" a="1"/>
  <c r="J82" i="32" s="1"/>
  <c r="O82" i="32" s="1"/>
  <c r="J83" i="32" a="1"/>
  <c r="J83" i="32" s="1"/>
  <c r="O83" i="32" s="1"/>
  <c r="J84" i="32" a="1"/>
  <c r="J84" i="32" s="1"/>
  <c r="O84" i="32" s="1"/>
  <c r="J85" i="32" a="1"/>
  <c r="J85" i="32" s="1"/>
  <c r="O85" i="32" s="1"/>
  <c r="J87" i="32" a="1"/>
  <c r="J87" i="32"/>
  <c r="J88" i="32" a="1"/>
  <c r="J88" i="32" s="1"/>
  <c r="O88" i="32" s="1"/>
  <c r="J89" i="32" a="1"/>
  <c r="J89" i="32" s="1"/>
  <c r="O89" i="32" s="1"/>
  <c r="J90" i="32" a="1"/>
  <c r="J90" i="32" s="1"/>
  <c r="O90" i="32" s="1"/>
  <c r="J91" i="32" a="1"/>
  <c r="J91" i="32"/>
  <c r="O91" i="32" s="1"/>
  <c r="J92" i="32" a="1"/>
  <c r="J92" i="32" s="1"/>
  <c r="O92" i="32" s="1"/>
  <c r="J94" i="32" a="1"/>
  <c r="J94" i="32" s="1"/>
  <c r="O94" i="32" a="1"/>
  <c r="O94" i="32" s="1"/>
  <c r="J95" i="32" a="1"/>
  <c r="J95" i="32"/>
  <c r="O95" i="32" a="1"/>
  <c r="O95" i="32"/>
  <c r="J96" i="32" a="1"/>
  <c r="J96" i="32" s="1"/>
  <c r="O96" i="32" s="1" a="1"/>
  <c r="O96" i="32" s="1"/>
  <c r="J97" i="32" a="1"/>
  <c r="J97" i="32"/>
  <c r="O97" i="32" s="1" a="1"/>
  <c r="O97" i="32" s="1"/>
  <c r="J99" i="32" a="1"/>
  <c r="J99" i="32" s="1"/>
  <c r="O99" i="32" a="1"/>
  <c r="O99" i="32"/>
  <c r="J100" i="32" a="1"/>
  <c r="J100" i="32" s="1"/>
  <c r="O100" i="32" s="1" a="1"/>
  <c r="O100" i="32" s="1"/>
  <c r="J102" i="32" a="1"/>
  <c r="J102" i="32" s="1"/>
  <c r="J103" i="32" a="1"/>
  <c r="J103" i="32"/>
  <c r="O103" i="32" s="1" a="1"/>
  <c r="O103" i="32" s="1"/>
  <c r="J104" i="32" a="1"/>
  <c r="J104" i="32" s="1"/>
  <c r="O104" i="32" s="1" a="1"/>
  <c r="O104" i="32" s="1"/>
  <c r="J105" i="32" a="1"/>
  <c r="J105" i="32" s="1"/>
  <c r="O105" i="32" s="1" a="1"/>
  <c r="O105" i="32" s="1"/>
  <c r="J106" i="32" a="1"/>
  <c r="J106" i="32" s="1"/>
  <c r="O106" i="32" s="1" a="1"/>
  <c r="O106" i="32" s="1"/>
  <c r="J107" i="32" a="1"/>
  <c r="J107" i="32" s="1"/>
  <c r="O107" i="32" s="1" a="1"/>
  <c r="O107" i="32" s="1"/>
  <c r="J108" i="32" a="1"/>
  <c r="J108" i="32" s="1"/>
  <c r="O108" i="32" s="1" a="1"/>
  <c r="O108" i="32" s="1"/>
  <c r="J109" i="32" a="1"/>
  <c r="J109" i="32" s="1"/>
  <c r="O109" i="32" s="1" a="1"/>
  <c r="O109" i="32" s="1"/>
  <c r="J110" i="32" a="1"/>
  <c r="J110" i="32" s="1"/>
  <c r="O110" i="32" s="1" a="1"/>
  <c r="O110" i="32" s="1"/>
  <c r="J111" i="32" a="1"/>
  <c r="J111" i="32" s="1"/>
  <c r="O111" i="32" s="1" a="1"/>
  <c r="O111" i="32" s="1"/>
  <c r="J112" i="32" a="1"/>
  <c r="J112" i="32" s="1"/>
  <c r="O112" i="32" s="1" a="1"/>
  <c r="O112" i="32" s="1"/>
  <c r="J113" i="32" a="1"/>
  <c r="J113" i="32" s="1"/>
  <c r="O113" i="32" s="1" a="1"/>
  <c r="O113" i="32" s="1"/>
  <c r="J114" i="32" a="1"/>
  <c r="J114" i="32" s="1"/>
  <c r="O114" i="32" s="1" a="1"/>
  <c r="O114" i="32" s="1"/>
  <c r="J115" i="32" a="1"/>
  <c r="J115" i="32"/>
  <c r="O115" i="32" s="1" a="1"/>
  <c r="O115" i="32" s="1"/>
  <c r="J116" i="32" a="1"/>
  <c r="J116" i="32" s="1"/>
  <c r="O116" i="32" s="1" a="1"/>
  <c r="O116" i="32" s="1"/>
  <c r="J117" i="32" a="1"/>
  <c r="J117" i="32" s="1"/>
  <c r="O117" i="32" s="1" a="1"/>
  <c r="O117" i="32" s="1"/>
  <c r="J118" i="32" a="1"/>
  <c r="J118" i="32" s="1"/>
  <c r="O118" i="32" s="1" a="1"/>
  <c r="O118" i="32" s="1"/>
  <c r="J119" i="32" a="1"/>
  <c r="J119" i="32"/>
  <c r="O119" i="32" s="1" a="1"/>
  <c r="O119" i="32" s="1"/>
  <c r="J120" i="32" a="1"/>
  <c r="J120" i="32" s="1"/>
  <c r="O120" i="32" s="1" a="1"/>
  <c r="O120" i="32" s="1"/>
  <c r="J121" i="32" a="1"/>
  <c r="J121" i="32" s="1"/>
  <c r="O121" i="32" s="1" a="1"/>
  <c r="O121" i="32" s="1"/>
  <c r="J122" i="32" a="1"/>
  <c r="J122" i="32" s="1"/>
  <c r="O122" i="32" s="1" a="1"/>
  <c r="O122" i="32" s="1"/>
  <c r="J123" i="32" a="1"/>
  <c r="J123" i="32"/>
  <c r="O123" i="32" s="1" a="1"/>
  <c r="O123" i="32" s="1"/>
  <c r="J125" i="32" a="1"/>
  <c r="J125" i="32"/>
  <c r="J124" i="32" s="1"/>
  <c r="J127" i="32" a="1"/>
  <c r="J127" i="32" s="1"/>
  <c r="J129" i="32" a="1"/>
  <c r="J129" i="32" s="1"/>
  <c r="J131" i="32" a="1"/>
  <c r="J131" i="32" s="1"/>
  <c r="J132" i="32" a="1"/>
  <c r="J132" i="32"/>
  <c r="O132" i="32" a="1"/>
  <c r="O132" i="32" s="1"/>
  <c r="J133" i="32" a="1"/>
  <c r="J133" i="32" s="1"/>
  <c r="O133" i="32" s="1" a="1"/>
  <c r="O133" i="32" s="1"/>
  <c r="H135" i="32"/>
  <c r="H146" i="32" s="1"/>
  <c r="H143" i="32"/>
  <c r="F3" i="29" a="1"/>
  <c r="F3" i="29" s="1"/>
  <c r="F4" i="29" a="1"/>
  <c r="F4" i="29" s="1"/>
  <c r="F5" i="29" a="1"/>
  <c r="F5" i="29" s="1"/>
  <c r="F6" i="29" a="1"/>
  <c r="F6" i="29" s="1"/>
  <c r="F7" i="29" a="1"/>
  <c r="F7" i="29" s="1"/>
  <c r="F8" i="29" a="1"/>
  <c r="F8" i="29" s="1"/>
  <c r="F9" i="29" a="1"/>
  <c r="F9" i="29" s="1"/>
  <c r="F10" i="29" a="1"/>
  <c r="F10" i="29" s="1"/>
  <c r="F11" i="29" a="1"/>
  <c r="F11" i="29" s="1"/>
  <c r="F12" i="29" a="1"/>
  <c r="F12" i="29" s="1"/>
  <c r="F13" i="29" a="1"/>
  <c r="F13" i="29" s="1"/>
  <c r="F14" i="29" a="1"/>
  <c r="F14" i="29" s="1"/>
  <c r="F15" i="29" a="1"/>
  <c r="F15" i="29" s="1"/>
  <c r="F16" i="29" a="1"/>
  <c r="F16" i="29" s="1"/>
  <c r="F17" i="29" a="1"/>
  <c r="F17" i="29" s="1"/>
  <c r="F18" i="29" a="1"/>
  <c r="F18" i="29" s="1"/>
  <c r="F19" i="29" a="1"/>
  <c r="F19" i="29" s="1"/>
  <c r="F20" i="29" a="1"/>
  <c r="F20" i="29" s="1"/>
  <c r="F21" i="29" a="1"/>
  <c r="F21" i="29" s="1"/>
  <c r="F22" i="29" a="1"/>
  <c r="F22" i="29" s="1"/>
  <c r="F23" i="29" a="1"/>
  <c r="F23" i="29" s="1"/>
  <c r="F24" i="29" a="1"/>
  <c r="F24" i="29" s="1"/>
  <c r="F25" i="29" a="1"/>
  <c r="F25" i="29" s="1"/>
  <c r="F26" i="29" a="1"/>
  <c r="F26" i="29" s="1"/>
  <c r="F27" i="29" a="1"/>
  <c r="F27" i="29" s="1"/>
  <c r="F28" i="29" a="1"/>
  <c r="F28" i="29" s="1"/>
  <c r="F29" i="29" a="1"/>
  <c r="F29" i="29" s="1"/>
  <c r="F30" i="29" a="1"/>
  <c r="F30" i="29" s="1"/>
  <c r="F31" i="29" a="1"/>
  <c r="F31" i="29" s="1"/>
  <c r="F32" i="29" a="1"/>
  <c r="F32" i="29" s="1"/>
  <c r="F33" i="29" a="1"/>
  <c r="F33" i="29" s="1"/>
  <c r="F34" i="29" a="1"/>
  <c r="F34" i="29" s="1"/>
  <c r="F35" i="29" a="1"/>
  <c r="F35" i="29" s="1"/>
  <c r="F36" i="29" a="1"/>
  <c r="F36" i="29" s="1"/>
  <c r="F37" i="29" a="1"/>
  <c r="F37" i="29" s="1"/>
  <c r="F38" i="29" a="1"/>
  <c r="F38" i="29" s="1"/>
  <c r="F39" i="29" a="1"/>
  <c r="F39" i="29" s="1"/>
  <c r="F40" i="29" a="1"/>
  <c r="F40" i="29" s="1"/>
  <c r="F41" i="29" a="1"/>
  <c r="F41" i="29" s="1"/>
  <c r="F42" i="29" a="1"/>
  <c r="F42" i="29" s="1"/>
  <c r="F43" i="29" a="1"/>
  <c r="F43" i="29" s="1"/>
  <c r="F44" i="29" a="1"/>
  <c r="F44" i="29" s="1"/>
  <c r="F45" i="29" a="1"/>
  <c r="F45" i="29" s="1"/>
  <c r="F46" i="29" a="1"/>
  <c r="F46" i="29" s="1"/>
  <c r="F47" i="29" a="1"/>
  <c r="F47" i="29" s="1"/>
  <c r="F48" i="29" a="1"/>
  <c r="F48" i="29" s="1"/>
  <c r="F49" i="29" a="1"/>
  <c r="F49" i="29" s="1"/>
  <c r="F50" i="29" a="1"/>
  <c r="F50" i="29" s="1"/>
  <c r="F51" i="29" a="1"/>
  <c r="F51" i="29" s="1"/>
  <c r="F52" i="29" a="1"/>
  <c r="F52" i="29" s="1"/>
  <c r="F53" i="29" a="1"/>
  <c r="F53" i="29" s="1"/>
  <c r="F54" i="29" a="1"/>
  <c r="F54" i="29" s="1"/>
  <c r="F55" i="29" a="1"/>
  <c r="F55" i="29" s="1"/>
  <c r="F56" i="29" a="1"/>
  <c r="F56" i="29" s="1"/>
  <c r="F57" i="29" a="1"/>
  <c r="F57" i="29" s="1"/>
  <c r="F58" i="29" a="1"/>
  <c r="F58" i="29" s="1"/>
  <c r="F59" i="29" a="1"/>
  <c r="F59" i="29" s="1"/>
  <c r="F60" i="29" a="1"/>
  <c r="F60" i="29" s="1"/>
  <c r="F61" i="29" a="1"/>
  <c r="F61" i="29" s="1"/>
  <c r="F62" i="29" a="1"/>
  <c r="F62" i="29" s="1"/>
  <c r="F63" i="29" a="1"/>
  <c r="F63" i="29" s="1"/>
  <c r="F64" i="29" a="1"/>
  <c r="F64" i="29" s="1"/>
  <c r="F65" i="29" a="1"/>
  <c r="F65" i="29" s="1"/>
  <c r="F66" i="29" a="1"/>
  <c r="F66" i="29" s="1"/>
  <c r="F67" i="29" a="1"/>
  <c r="F67" i="29" s="1"/>
  <c r="F68" i="29" a="1"/>
  <c r="F68" i="29" s="1"/>
  <c r="F69" i="29" a="1"/>
  <c r="F69" i="29" s="1"/>
  <c r="F70" i="29" a="1"/>
  <c r="F70" i="29" s="1"/>
  <c r="F71" i="29" a="1"/>
  <c r="F71" i="29" s="1"/>
  <c r="F72" i="29" a="1"/>
  <c r="F72" i="29" s="1"/>
  <c r="F73" i="29" a="1"/>
  <c r="F73" i="29" s="1"/>
  <c r="F74" i="29" a="1"/>
  <c r="F74" i="29" s="1"/>
  <c r="F75" i="29" a="1"/>
  <c r="F75" i="29" s="1"/>
  <c r="F76" i="29" a="1"/>
  <c r="F76" i="29" s="1"/>
  <c r="F77" i="29" a="1"/>
  <c r="F77" i="29" s="1"/>
  <c r="F78" i="29" a="1"/>
  <c r="F78" i="29" s="1"/>
  <c r="F79" i="29" a="1"/>
  <c r="F79" i="29" s="1"/>
  <c r="F80" i="29" a="1"/>
  <c r="F80" i="29" s="1"/>
  <c r="F81" i="29" a="1"/>
  <c r="F81" i="29" s="1"/>
  <c r="F82" i="29" a="1"/>
  <c r="F82" i="29" s="1"/>
  <c r="F83" i="29" a="1"/>
  <c r="F83" i="29" s="1"/>
  <c r="F84" i="29" a="1"/>
  <c r="F84" i="29" s="1"/>
  <c r="F85" i="29" a="1"/>
  <c r="F85" i="29" s="1"/>
  <c r="F86" i="29" a="1"/>
  <c r="F86" i="29" s="1"/>
  <c r="F87" i="29" a="1"/>
  <c r="F87" i="29" s="1"/>
  <c r="F88" i="29" a="1"/>
  <c r="F88" i="29" s="1"/>
  <c r="F89" i="29" a="1"/>
  <c r="F89" i="29" s="1"/>
  <c r="F90" i="29" a="1"/>
  <c r="F90" i="29" s="1"/>
  <c r="F91" i="29" a="1"/>
  <c r="F91" i="29" s="1"/>
  <c r="F92" i="29" a="1"/>
  <c r="F92" i="29" s="1"/>
  <c r="F93" i="29" a="1"/>
  <c r="F93" i="29" s="1"/>
  <c r="F94" i="29" a="1"/>
  <c r="F94" i="29" s="1"/>
  <c r="F95" i="29" a="1"/>
  <c r="F95" i="29" s="1"/>
  <c r="F96" i="29" a="1"/>
  <c r="F96" i="29" s="1"/>
  <c r="F97" i="29" a="1"/>
  <c r="F97" i="29" s="1"/>
  <c r="F98" i="29" a="1"/>
  <c r="F98" i="29" s="1"/>
  <c r="F99" i="29" a="1"/>
  <c r="F99" i="29" s="1"/>
  <c r="F100" i="29" a="1"/>
  <c r="F100" i="29" s="1"/>
  <c r="F101" i="29" a="1"/>
  <c r="F101" i="29" s="1"/>
  <c r="F102" i="29" a="1"/>
  <c r="F102" i="29" s="1"/>
  <c r="F103" i="29" a="1"/>
  <c r="F103" i="29" s="1"/>
  <c r="F104" i="29" a="1"/>
  <c r="F104" i="29" s="1"/>
  <c r="F105" i="29" a="1"/>
  <c r="F105" i="29" s="1"/>
  <c r="F106" i="29" a="1"/>
  <c r="F106" i="29" s="1"/>
  <c r="F107" i="29" a="1"/>
  <c r="F107" i="29" s="1"/>
  <c r="F108" i="29" a="1"/>
  <c r="F108" i="29" s="1"/>
  <c r="F109" i="29" a="1"/>
  <c r="F109" i="29" s="1"/>
  <c r="F110" i="29" a="1"/>
  <c r="F110" i="29" s="1"/>
  <c r="F111" i="29" a="1"/>
  <c r="F111" i="29" s="1"/>
  <c r="F112" i="29" a="1"/>
  <c r="F112" i="29" s="1"/>
  <c r="F113" i="29" a="1"/>
  <c r="F113" i="29" s="1"/>
  <c r="F114" i="29" a="1"/>
  <c r="F114" i="29" s="1"/>
  <c r="F115" i="29" a="1"/>
  <c r="F115" i="29" s="1"/>
  <c r="F116" i="29" a="1"/>
  <c r="F116" i="29" s="1"/>
  <c r="F117" i="29" a="1"/>
  <c r="F117" i="29" s="1"/>
  <c r="F118" i="29" a="1"/>
  <c r="F118" i="29" s="1"/>
  <c r="F119" i="29" a="1"/>
  <c r="F119" i="29" s="1"/>
  <c r="F120" i="29" a="1"/>
  <c r="F120" i="29" s="1"/>
  <c r="F121" i="29" a="1"/>
  <c r="F121" i="29" s="1"/>
  <c r="F122" i="29" a="1"/>
  <c r="F122" i="29" s="1"/>
  <c r="F123" i="29" a="1"/>
  <c r="F123" i="29" s="1"/>
  <c r="F124" i="29" a="1"/>
  <c r="F124" i="29" s="1"/>
  <c r="F125" i="29" a="1"/>
  <c r="F125" i="29" s="1"/>
  <c r="F126" i="29" a="1"/>
  <c r="F126" i="29" s="1"/>
  <c r="F127" i="29" a="1"/>
  <c r="F127" i="29" s="1"/>
  <c r="F128" i="29" a="1"/>
  <c r="F128" i="29" s="1"/>
  <c r="F129" i="29" a="1"/>
  <c r="F129" i="29" s="1"/>
  <c r="F130" i="29" a="1"/>
  <c r="F130" i="29" s="1"/>
  <c r="F131" i="29" a="1"/>
  <c r="F131" i="29" s="1"/>
  <c r="F132" i="29" a="1"/>
  <c r="F132" i="29" s="1"/>
  <c r="F133" i="29" a="1"/>
  <c r="F133" i="29" s="1"/>
  <c r="F134" i="29" a="1"/>
  <c r="F134" i="29" s="1"/>
  <c r="F135" i="29" a="1"/>
  <c r="F135" i="29" s="1"/>
  <c r="F136" i="29" a="1"/>
  <c r="F136" i="29" s="1"/>
  <c r="F137" i="29" a="1"/>
  <c r="F137" i="29" s="1"/>
  <c r="F138" i="29" a="1"/>
  <c r="F138" i="29" s="1"/>
  <c r="F139" i="29" a="1"/>
  <c r="F139" i="29" s="1"/>
  <c r="F140" i="29" a="1"/>
  <c r="F140" i="29" s="1"/>
  <c r="F141" i="29" a="1"/>
  <c r="F141" i="29" s="1"/>
  <c r="F142" i="29" a="1"/>
  <c r="F142" i="29" s="1"/>
  <c r="F143" i="29" a="1"/>
  <c r="F143" i="29" s="1"/>
  <c r="F144" i="29" a="1"/>
  <c r="F144" i="29" s="1"/>
  <c r="F145" i="29" a="1"/>
  <c r="F145" i="29" s="1"/>
  <c r="F146" i="29" a="1"/>
  <c r="F146" i="29" s="1"/>
  <c r="F147" i="29" a="1"/>
  <c r="F147" i="29" s="1"/>
  <c r="F148" i="29" a="1"/>
  <c r="F148" i="29" s="1"/>
  <c r="F149" i="29" a="1"/>
  <c r="F149" i="29" s="1"/>
  <c r="F150" i="29" a="1"/>
  <c r="F150" i="29" s="1"/>
  <c r="F151" i="29" a="1"/>
  <c r="F151" i="29" s="1"/>
  <c r="F152" i="29" a="1"/>
  <c r="F152" i="29" s="1"/>
  <c r="F153" i="29" a="1"/>
  <c r="F153" i="29" s="1"/>
  <c r="F154" i="29" a="1"/>
  <c r="F154" i="29" s="1"/>
  <c r="F155" i="29" a="1"/>
  <c r="F155" i="29" s="1"/>
  <c r="F156" i="29" a="1"/>
  <c r="F156" i="29" s="1"/>
  <c r="F157" i="29" a="1"/>
  <c r="F157" i="29" s="1"/>
  <c r="F158" i="29" a="1"/>
  <c r="F158" i="29" s="1"/>
  <c r="F159" i="29" a="1"/>
  <c r="F159" i="29" s="1"/>
  <c r="F160" i="29" a="1"/>
  <c r="F160" i="29" s="1"/>
  <c r="F161" i="29" a="1"/>
  <c r="F161" i="29" s="1"/>
  <c r="F162" i="29" a="1"/>
  <c r="F162" i="29" s="1"/>
  <c r="F163" i="29" a="1"/>
  <c r="F163" i="29" s="1"/>
  <c r="F164" i="29" a="1"/>
  <c r="F164" i="29" s="1"/>
  <c r="F165" i="29" a="1"/>
  <c r="F165" i="29" s="1"/>
  <c r="F166" i="29" a="1"/>
  <c r="F166" i="29" s="1"/>
  <c r="F167" i="29" a="1"/>
  <c r="F167" i="29" s="1"/>
  <c r="F168" i="29" a="1"/>
  <c r="F168" i="29" s="1"/>
  <c r="F169" i="29" a="1"/>
  <c r="F169" i="29" s="1"/>
  <c r="F170" i="29" a="1"/>
  <c r="F170" i="29" s="1"/>
  <c r="F171" i="29" a="1"/>
  <c r="F171" i="29" s="1"/>
  <c r="F172" i="29" a="1"/>
  <c r="F172" i="29" s="1"/>
  <c r="F173" i="29" a="1"/>
  <c r="F173" i="29" s="1"/>
  <c r="F174" i="29" a="1"/>
  <c r="F174" i="29" s="1"/>
  <c r="F175" i="29" a="1"/>
  <c r="F175" i="29" s="1"/>
  <c r="F176" i="29" a="1"/>
  <c r="F176" i="29" s="1"/>
  <c r="F177" i="29" a="1"/>
  <c r="F177" i="29" s="1"/>
  <c r="F178" i="29" a="1"/>
  <c r="F178" i="29" s="1"/>
  <c r="F179" i="29" a="1"/>
  <c r="F179" i="29" s="1"/>
  <c r="F180" i="29" a="1"/>
  <c r="F180" i="29" s="1"/>
  <c r="F181" i="29" a="1"/>
  <c r="F181" i="29" s="1"/>
  <c r="F182" i="29" a="1"/>
  <c r="F182" i="29" s="1"/>
  <c r="F183" i="29" a="1"/>
  <c r="F183" i="29" s="1"/>
  <c r="F184" i="29" a="1"/>
  <c r="F184" i="29" s="1"/>
  <c r="F185" i="29" a="1"/>
  <c r="F185" i="29" s="1"/>
  <c r="F186" i="29" a="1"/>
  <c r="F186" i="29" s="1"/>
  <c r="F187" i="29" a="1"/>
  <c r="F187" i="29" s="1"/>
  <c r="F188" i="29" a="1"/>
  <c r="F188" i="29" s="1"/>
  <c r="F189" i="29" a="1"/>
  <c r="F189" i="29" s="1"/>
  <c r="F190" i="29" a="1"/>
  <c r="F190" i="29" s="1"/>
  <c r="F191" i="29" a="1"/>
  <c r="F191" i="29" s="1"/>
  <c r="F192" i="29" a="1"/>
  <c r="F192" i="29" s="1"/>
  <c r="F193" i="29" a="1"/>
  <c r="F193" i="29" s="1"/>
  <c r="F194" i="29" a="1"/>
  <c r="F194" i="29" s="1"/>
  <c r="F195" i="29" a="1"/>
  <c r="F195" i="29" s="1"/>
  <c r="F196" i="29" a="1"/>
  <c r="F196" i="29" s="1"/>
  <c r="F197" i="29" a="1"/>
  <c r="F197" i="29" s="1"/>
  <c r="F198" i="29" a="1"/>
  <c r="F198" i="29" s="1"/>
  <c r="F199" i="29" a="1"/>
  <c r="F199" i="29" s="1"/>
  <c r="F200" i="29" a="1"/>
  <c r="F200" i="29" s="1"/>
  <c r="F201" i="29" a="1"/>
  <c r="F201" i="29" s="1"/>
  <c r="F202" i="29" a="1"/>
  <c r="F202" i="29" s="1"/>
  <c r="F203" i="29" a="1"/>
  <c r="F203" i="29" s="1"/>
  <c r="F204" i="29" a="1"/>
  <c r="F204" i="29" s="1"/>
  <c r="F205" i="29" a="1"/>
  <c r="F205" i="29" s="1"/>
  <c r="F206" i="29" a="1"/>
  <c r="F206" i="29" s="1"/>
  <c r="F207" i="29" a="1"/>
  <c r="F207" i="29" s="1"/>
  <c r="F208" i="29" a="1"/>
  <c r="F208" i="29" s="1"/>
  <c r="F209" i="29" a="1"/>
  <c r="F209" i="29" s="1"/>
  <c r="F210" i="29" a="1"/>
  <c r="F210" i="29" s="1"/>
  <c r="F211" i="29" a="1"/>
  <c r="F211" i="29" s="1"/>
  <c r="F212" i="29" a="1"/>
  <c r="F212" i="29" s="1"/>
  <c r="F213" i="29" a="1"/>
  <c r="F213" i="29" s="1"/>
  <c r="F214" i="29" a="1"/>
  <c r="F214" i="29" s="1"/>
  <c r="F215" i="29" a="1"/>
  <c r="F215" i="29" s="1"/>
  <c r="F216" i="29" a="1"/>
  <c r="F216" i="29" s="1"/>
  <c r="F217" i="29" a="1"/>
  <c r="F217" i="29" s="1"/>
  <c r="F218" i="29" a="1"/>
  <c r="F218" i="29" s="1"/>
  <c r="F219" i="29" a="1"/>
  <c r="F219" i="29" s="1"/>
  <c r="F220" i="29" a="1"/>
  <c r="F220" i="29" s="1"/>
  <c r="F221" i="29" a="1"/>
  <c r="F221" i="29" s="1"/>
  <c r="F222" i="29" a="1"/>
  <c r="F222" i="29" s="1"/>
  <c r="F223" i="29" a="1"/>
  <c r="F223" i="29" s="1"/>
  <c r="F224" i="29" a="1"/>
  <c r="F224" i="29" s="1"/>
  <c r="F225" i="29" a="1"/>
  <c r="F225" i="29" s="1"/>
  <c r="F226" i="29" a="1"/>
  <c r="F226" i="29" s="1"/>
  <c r="F227" i="29" a="1"/>
  <c r="F227" i="29" s="1"/>
  <c r="F228" i="29" a="1"/>
  <c r="F228" i="29" s="1"/>
  <c r="F229" i="29" a="1"/>
  <c r="F229" i="29" s="1"/>
  <c r="F230" i="29" a="1"/>
  <c r="F230" i="29" s="1"/>
  <c r="F231" i="29" a="1"/>
  <c r="F231" i="29" s="1"/>
  <c r="F232" i="29" a="1"/>
  <c r="F232" i="29" s="1"/>
  <c r="F233" i="29" a="1"/>
  <c r="F233" i="29" s="1"/>
  <c r="F234" i="29" a="1"/>
  <c r="F234" i="29" s="1"/>
  <c r="F235" i="29" a="1"/>
  <c r="F235" i="29" s="1"/>
  <c r="F236" i="29" a="1"/>
  <c r="F236" i="29" s="1"/>
  <c r="F237" i="29" a="1"/>
  <c r="F237" i="29" s="1"/>
  <c r="F238" i="29" a="1"/>
  <c r="F238" i="29" s="1"/>
  <c r="F239" i="29" a="1"/>
  <c r="F239" i="29" s="1"/>
  <c r="F240" i="29" a="1"/>
  <c r="F240" i="29" s="1"/>
  <c r="F241" i="29" a="1"/>
  <c r="F241" i="29" s="1"/>
  <c r="F242" i="29" a="1"/>
  <c r="F242" i="29" s="1"/>
  <c r="F243" i="29" a="1"/>
  <c r="F243" i="29" s="1"/>
  <c r="F244" i="29" a="1"/>
  <c r="F244" i="29" s="1"/>
  <c r="F245" i="29" a="1"/>
  <c r="F245" i="29" s="1"/>
  <c r="F246" i="29" a="1"/>
  <c r="F246" i="29" s="1"/>
  <c r="F247" i="29" a="1"/>
  <c r="F247" i="29" s="1"/>
  <c r="F248" i="29" a="1"/>
  <c r="F248" i="29" s="1"/>
  <c r="F249" i="29" a="1"/>
  <c r="F249" i="29" s="1"/>
  <c r="F250" i="29" a="1"/>
  <c r="F250" i="29" s="1"/>
  <c r="F251" i="29" a="1"/>
  <c r="F251" i="29" s="1"/>
  <c r="F252" i="29" a="1"/>
  <c r="F252" i="29" s="1"/>
  <c r="F253" i="29" a="1"/>
  <c r="F253" i="29" s="1"/>
  <c r="F254" i="29" a="1"/>
  <c r="F254" i="29" s="1"/>
  <c r="F255" i="29" a="1"/>
  <c r="F255" i="29" s="1"/>
  <c r="F256" i="29" a="1"/>
  <c r="F256" i="29" s="1"/>
  <c r="F257" i="29" a="1"/>
  <c r="F257" i="29" s="1"/>
  <c r="F258" i="29" a="1"/>
  <c r="F258" i="29" s="1"/>
  <c r="F259" i="29" a="1"/>
  <c r="F259" i="29" s="1"/>
  <c r="F260" i="29" a="1"/>
  <c r="F260" i="29" s="1"/>
  <c r="F261" i="29" a="1"/>
  <c r="F261" i="29" s="1"/>
  <c r="F262" i="29" a="1"/>
  <c r="F262" i="29" s="1"/>
  <c r="F263" i="29" a="1"/>
  <c r="F263" i="29" s="1"/>
  <c r="F264" i="29" a="1"/>
  <c r="F264" i="29" s="1"/>
  <c r="F265" i="29" a="1"/>
  <c r="F265" i="29" s="1"/>
  <c r="F266" i="29" a="1"/>
  <c r="F266" i="29" s="1"/>
  <c r="F267" i="29" a="1"/>
  <c r="F267" i="29" s="1"/>
  <c r="F268" i="29" a="1"/>
  <c r="F268" i="29" s="1"/>
  <c r="F269" i="29" a="1"/>
  <c r="F269" i="29" s="1"/>
  <c r="F270" i="29" a="1"/>
  <c r="F270" i="29" s="1"/>
  <c r="F271" i="29" a="1"/>
  <c r="F271" i="29" s="1"/>
  <c r="F272" i="29" a="1"/>
  <c r="F272" i="29" s="1"/>
  <c r="F273" i="29" a="1"/>
  <c r="F273" i="29" s="1"/>
  <c r="F274" i="29" a="1"/>
  <c r="F274" i="29" s="1"/>
  <c r="F275" i="29" a="1"/>
  <c r="F275" i="29" s="1"/>
  <c r="F276" i="29" a="1"/>
  <c r="F276" i="29" s="1"/>
  <c r="F277" i="29" a="1"/>
  <c r="F277" i="29" s="1"/>
  <c r="F278" i="29" a="1"/>
  <c r="F278" i="29" s="1"/>
  <c r="F279" i="29" a="1"/>
  <c r="F279" i="29" s="1"/>
  <c r="F280" i="29" a="1"/>
  <c r="F280" i="29" s="1"/>
  <c r="F281" i="29" a="1"/>
  <c r="F281" i="29" s="1"/>
  <c r="F282" i="29" a="1"/>
  <c r="F282" i="29" s="1"/>
  <c r="F283" i="29" a="1"/>
  <c r="F283" i="29" s="1"/>
  <c r="F284" i="29" a="1"/>
  <c r="F284" i="29" s="1"/>
  <c r="F285" i="29" a="1"/>
  <c r="F285" i="29" s="1"/>
  <c r="F286" i="29" a="1"/>
  <c r="F286" i="29" s="1"/>
  <c r="F287" i="29" a="1"/>
  <c r="F287" i="29" s="1"/>
  <c r="F288" i="29" a="1"/>
  <c r="F288" i="29" s="1"/>
  <c r="F289" i="29" a="1"/>
  <c r="F289" i="29" s="1"/>
  <c r="F290" i="29" a="1"/>
  <c r="F290" i="29" s="1"/>
  <c r="F291" i="29" a="1"/>
  <c r="F291" i="29" s="1"/>
  <c r="F292" i="29" a="1"/>
  <c r="F292" i="29" s="1"/>
  <c r="F293" i="29" a="1"/>
  <c r="F293" i="29" s="1"/>
  <c r="F294" i="29" a="1"/>
  <c r="F294" i="29" s="1"/>
  <c r="F295" i="29" a="1"/>
  <c r="F295" i="29" s="1"/>
  <c r="F296" i="29" a="1"/>
  <c r="F296" i="29" s="1"/>
  <c r="F297" i="29" a="1"/>
  <c r="F297" i="29" s="1"/>
  <c r="F298" i="29" a="1"/>
  <c r="F298" i="29" s="1"/>
  <c r="F299" i="29" a="1"/>
  <c r="F299" i="29" s="1"/>
  <c r="F300" i="29" a="1"/>
  <c r="F300" i="29" s="1"/>
  <c r="F301" i="29" a="1"/>
  <c r="F301" i="29" s="1"/>
  <c r="F302" i="29" a="1"/>
  <c r="F302" i="29" s="1"/>
  <c r="F303" i="29" a="1"/>
  <c r="F303" i="29" s="1"/>
  <c r="F304" i="29" a="1"/>
  <c r="F304" i="29" s="1"/>
  <c r="F305" i="29" a="1"/>
  <c r="F305" i="29" s="1"/>
  <c r="F306" i="29" a="1"/>
  <c r="F306" i="29" s="1"/>
  <c r="F307" i="29" a="1"/>
  <c r="F307" i="29" s="1"/>
  <c r="F308" i="29" a="1"/>
  <c r="F308" i="29" s="1"/>
  <c r="F309" i="29" a="1"/>
  <c r="F309" i="29" s="1"/>
  <c r="F310" i="29" a="1"/>
  <c r="F310" i="29" s="1"/>
  <c r="F311" i="29" a="1"/>
  <c r="F311" i="29" s="1"/>
  <c r="F312" i="29" a="1"/>
  <c r="F312" i="29" s="1"/>
  <c r="F313" i="29" a="1"/>
  <c r="F313" i="29" s="1"/>
  <c r="F314" i="29" a="1"/>
  <c r="F314" i="29" s="1"/>
  <c r="F315" i="29" a="1"/>
  <c r="F315" i="29" s="1"/>
  <c r="F316" i="29" a="1"/>
  <c r="F316" i="29" s="1"/>
  <c r="F317" i="29" a="1"/>
  <c r="F317" i="29" s="1"/>
  <c r="F318" i="29" a="1"/>
  <c r="F318" i="29" s="1"/>
  <c r="F319" i="29" a="1"/>
  <c r="F319" i="29" s="1"/>
  <c r="F320" i="29" a="1"/>
  <c r="F320" i="29" s="1"/>
  <c r="F321" i="29" a="1"/>
  <c r="F321" i="29" s="1"/>
  <c r="F322" i="29" a="1"/>
  <c r="F322" i="29" s="1"/>
  <c r="F323" i="29" a="1"/>
  <c r="F323" i="29" s="1"/>
  <c r="F324" i="29" a="1"/>
  <c r="F324" i="29" s="1"/>
  <c r="F325" i="29" a="1"/>
  <c r="F325" i="29" s="1"/>
  <c r="F326" i="29" a="1"/>
  <c r="F326" i="29" s="1"/>
  <c r="F327" i="29" a="1"/>
  <c r="F327" i="29" s="1"/>
  <c r="F328" i="29" a="1"/>
  <c r="F328" i="29" s="1"/>
  <c r="F329" i="29" a="1"/>
  <c r="F329" i="29" s="1"/>
  <c r="F330" i="29" a="1"/>
  <c r="F330" i="29" s="1"/>
  <c r="F331" i="29" a="1"/>
  <c r="F331" i="29" s="1"/>
  <c r="F332" i="29" a="1"/>
  <c r="F332" i="29" s="1"/>
  <c r="F333" i="29" a="1"/>
  <c r="F333" i="29" s="1"/>
  <c r="F334" i="29" a="1"/>
  <c r="F334" i="29" s="1"/>
  <c r="F335" i="29" a="1"/>
  <c r="F335" i="29" s="1"/>
  <c r="F336" i="29" a="1"/>
  <c r="F336" i="29" s="1"/>
  <c r="F337" i="29" a="1"/>
  <c r="F337" i="29" s="1"/>
  <c r="F338" i="29" a="1"/>
  <c r="F338" i="29" s="1"/>
  <c r="F339" i="29" a="1"/>
  <c r="F339" i="29" s="1"/>
  <c r="F340" i="29" a="1"/>
  <c r="F340" i="29" s="1"/>
  <c r="F341" i="29" a="1"/>
  <c r="F341" i="29" s="1"/>
  <c r="F342" i="29" a="1"/>
  <c r="F342" i="29" s="1"/>
  <c r="F343" i="29" a="1"/>
  <c r="F343" i="29" s="1"/>
  <c r="F344" i="29" a="1"/>
  <c r="F344" i="29" s="1"/>
  <c r="F345" i="29" a="1"/>
  <c r="F345" i="29" s="1"/>
  <c r="F346" i="29" a="1"/>
  <c r="F346" i="29" s="1"/>
  <c r="F347" i="29" a="1"/>
  <c r="F347" i="29" s="1"/>
  <c r="F348" i="29" a="1"/>
  <c r="F348" i="29" s="1"/>
  <c r="F349" i="29" a="1"/>
  <c r="F349" i="29" s="1"/>
  <c r="F350" i="29" a="1"/>
  <c r="F350" i="29" s="1"/>
  <c r="F351" i="29" a="1"/>
  <c r="F351" i="29" s="1"/>
  <c r="F352" i="29" a="1"/>
  <c r="F352" i="29" s="1"/>
  <c r="F353" i="29" a="1"/>
  <c r="F353" i="29" s="1"/>
  <c r="F354" i="29" a="1"/>
  <c r="F354" i="29" s="1"/>
  <c r="F355" i="29" a="1"/>
  <c r="F355" i="29" s="1"/>
  <c r="F356" i="29" a="1"/>
  <c r="F356" i="29" s="1"/>
  <c r="F357" i="29" a="1"/>
  <c r="F357" i="29" s="1"/>
  <c r="F358" i="29" a="1"/>
  <c r="F358" i="29" s="1"/>
  <c r="F359" i="29" a="1"/>
  <c r="F359" i="29" s="1"/>
  <c r="F360" i="29" a="1"/>
  <c r="F360" i="29" s="1"/>
  <c r="F361" i="29" a="1"/>
  <c r="F361" i="29" s="1"/>
  <c r="F362" i="29" a="1"/>
  <c r="F362" i="29" s="1"/>
  <c r="F363" i="29" a="1"/>
  <c r="F363" i="29" s="1"/>
  <c r="F364" i="29" a="1"/>
  <c r="F364" i="29" s="1"/>
  <c r="F365" i="29" a="1"/>
  <c r="F365" i="29" s="1"/>
  <c r="F366" i="29" a="1"/>
  <c r="F366" i="29" s="1"/>
  <c r="F367" i="29" a="1"/>
  <c r="F367" i="29" s="1"/>
  <c r="F368" i="29" a="1"/>
  <c r="F368" i="29" s="1"/>
  <c r="F369" i="29" a="1"/>
  <c r="F369" i="29" s="1"/>
  <c r="F370" i="29" a="1"/>
  <c r="F370" i="29" s="1"/>
  <c r="F371" i="29" a="1"/>
  <c r="F371" i="29" s="1"/>
  <c r="F372" i="29" a="1"/>
  <c r="F372" i="29" s="1"/>
  <c r="F373" i="29" a="1"/>
  <c r="F373" i="29" s="1"/>
  <c r="F374" i="29" a="1"/>
  <c r="F374" i="29" s="1"/>
  <c r="F375" i="29" a="1"/>
  <c r="F375" i="29" s="1"/>
  <c r="F376" i="29" a="1"/>
  <c r="F376" i="29" s="1"/>
  <c r="F377" i="29" a="1"/>
  <c r="F377" i="29" s="1"/>
  <c r="F378" i="29" a="1"/>
  <c r="F378" i="29" s="1"/>
  <c r="F379" i="29" a="1"/>
  <c r="F379" i="29" s="1"/>
  <c r="F380" i="29" a="1"/>
  <c r="F380" i="29" s="1"/>
  <c r="F381" i="29" a="1"/>
  <c r="F381" i="29" s="1"/>
  <c r="F382" i="29" a="1"/>
  <c r="F382" i="29" s="1"/>
  <c r="F383" i="29" a="1"/>
  <c r="F383" i="29" s="1"/>
  <c r="F384" i="29" a="1"/>
  <c r="F384" i="29" s="1"/>
  <c r="F385" i="29" a="1"/>
  <c r="F385" i="29" s="1"/>
  <c r="F386" i="29" a="1"/>
  <c r="F386" i="29" s="1"/>
  <c r="F387" i="29" a="1"/>
  <c r="F387" i="29" s="1"/>
  <c r="F388" i="29" a="1"/>
  <c r="F388" i="29" s="1"/>
  <c r="F389" i="29" a="1"/>
  <c r="F389" i="29" s="1"/>
  <c r="F390" i="29" a="1"/>
  <c r="F390" i="29" s="1"/>
  <c r="F391" i="29" a="1"/>
  <c r="F391" i="29" s="1"/>
  <c r="F392" i="29" a="1"/>
  <c r="F392" i="29" s="1"/>
  <c r="F393" i="29" a="1"/>
  <c r="F393" i="29" s="1"/>
  <c r="F394" i="29" a="1"/>
  <c r="F394" i="29" s="1"/>
  <c r="F395" i="29" a="1"/>
  <c r="F395" i="29" s="1"/>
  <c r="F396" i="29" a="1"/>
  <c r="F396" i="29" s="1"/>
  <c r="F397" i="29" a="1"/>
  <c r="F397" i="29" s="1"/>
  <c r="F398" i="29" a="1"/>
  <c r="F398" i="29" s="1"/>
  <c r="F399" i="29" a="1"/>
  <c r="F399" i="29" s="1"/>
  <c r="F400" i="29" a="1"/>
  <c r="F400" i="29" s="1"/>
  <c r="F401" i="29" a="1"/>
  <c r="F401" i="29" s="1"/>
  <c r="F402" i="29" a="1"/>
  <c r="F402" i="29" s="1"/>
  <c r="F403" i="29" a="1"/>
  <c r="F403" i="29" s="1"/>
  <c r="F404" i="29" a="1"/>
  <c r="F404" i="29" s="1"/>
  <c r="F405" i="29" a="1"/>
  <c r="F405" i="29" s="1"/>
  <c r="F406" i="29" a="1"/>
  <c r="F406" i="29" s="1"/>
  <c r="F407" i="29" a="1"/>
  <c r="F407" i="29" s="1"/>
  <c r="F408" i="29" a="1"/>
  <c r="F408" i="29" s="1"/>
  <c r="F409" i="29" a="1"/>
  <c r="F409" i="29" s="1"/>
  <c r="F410" i="29" a="1"/>
  <c r="F410" i="29" s="1"/>
  <c r="F411" i="29" a="1"/>
  <c r="F411" i="29" s="1"/>
  <c r="F412" i="29" a="1"/>
  <c r="F412" i="29" s="1"/>
  <c r="F413" i="29" a="1"/>
  <c r="F413" i="29" s="1"/>
  <c r="F414" i="29" a="1"/>
  <c r="F414" i="29" s="1"/>
  <c r="F415" i="29" a="1"/>
  <c r="F415" i="29" s="1"/>
  <c r="F416" i="29" a="1"/>
  <c r="F416" i="29" s="1"/>
  <c r="F417" i="29" a="1"/>
  <c r="F417" i="29" s="1"/>
  <c r="F418" i="29" a="1"/>
  <c r="F418" i="29" s="1"/>
  <c r="F419" i="29" a="1"/>
  <c r="F419" i="29" s="1"/>
  <c r="F420" i="29" a="1"/>
  <c r="F420" i="29" s="1"/>
  <c r="F421" i="29" a="1"/>
  <c r="F421" i="29" s="1"/>
  <c r="F422" i="29" a="1"/>
  <c r="F422" i="29" s="1"/>
  <c r="F423" i="29" a="1"/>
  <c r="F423" i="29" s="1"/>
  <c r="F424" i="29" a="1"/>
  <c r="F424" i="29" s="1"/>
  <c r="F425" i="29" a="1"/>
  <c r="F425" i="29" s="1"/>
  <c r="F426" i="29" a="1"/>
  <c r="F426" i="29" s="1"/>
  <c r="F427" i="29" a="1"/>
  <c r="F427" i="29" s="1"/>
  <c r="F428" i="29" a="1"/>
  <c r="F428" i="29" s="1"/>
  <c r="F429" i="29" a="1"/>
  <c r="F429" i="29" s="1"/>
  <c r="F430" i="29" a="1"/>
  <c r="F430" i="29" s="1"/>
  <c r="F431" i="29" a="1"/>
  <c r="F431" i="29" s="1"/>
  <c r="F432" i="29" a="1"/>
  <c r="F432" i="29" s="1"/>
  <c r="F433" i="29" a="1"/>
  <c r="F433" i="29" s="1"/>
  <c r="F434" i="29" a="1"/>
  <c r="F434" i="29" s="1"/>
  <c r="F435" i="29" a="1"/>
  <c r="F435" i="29" s="1"/>
  <c r="F436" i="29" a="1"/>
  <c r="F436" i="29" s="1"/>
  <c r="F437" i="29" a="1"/>
  <c r="F437" i="29" s="1"/>
  <c r="F438" i="29" a="1"/>
  <c r="F438" i="29" s="1"/>
  <c r="F439" i="29" a="1"/>
  <c r="F439" i="29" s="1"/>
  <c r="F440" i="29" a="1"/>
  <c r="F440" i="29" s="1"/>
  <c r="F441" i="29" a="1"/>
  <c r="F441" i="29" s="1"/>
  <c r="F442" i="29" a="1"/>
  <c r="F442" i="29" s="1"/>
  <c r="F443" i="29" a="1"/>
  <c r="F443" i="29" s="1"/>
  <c r="F444" i="29" a="1"/>
  <c r="F444" i="29" s="1"/>
  <c r="F445" i="29" a="1"/>
  <c r="F445" i="29" s="1"/>
  <c r="F446" i="29" a="1"/>
  <c r="F446" i="29" s="1"/>
  <c r="F447" i="29" a="1"/>
  <c r="F447" i="29" s="1"/>
  <c r="F448" i="29" a="1"/>
  <c r="F448" i="29" s="1"/>
  <c r="F449" i="29" a="1"/>
  <c r="F449" i="29" s="1"/>
  <c r="F450" i="29" a="1"/>
  <c r="F450" i="29" s="1"/>
  <c r="F451" i="29" a="1"/>
  <c r="F451" i="29" s="1"/>
  <c r="F452" i="29" a="1"/>
  <c r="F452" i="29" s="1"/>
  <c r="F453" i="29" a="1"/>
  <c r="F453" i="29" s="1"/>
  <c r="F454" i="29" a="1"/>
  <c r="F454" i="29" s="1"/>
  <c r="F455" i="29" a="1"/>
  <c r="F455" i="29" s="1"/>
  <c r="F456" i="29" a="1"/>
  <c r="F456" i="29" s="1"/>
  <c r="F457" i="29" a="1"/>
  <c r="F457" i="29" s="1"/>
  <c r="F458" i="29" a="1"/>
  <c r="F458" i="29" s="1"/>
  <c r="F459" i="29" a="1"/>
  <c r="F459" i="29" s="1"/>
  <c r="F460" i="29" a="1"/>
  <c r="F460" i="29" s="1"/>
  <c r="F461" i="29" a="1"/>
  <c r="F461" i="29" s="1"/>
  <c r="F462" i="29" a="1"/>
  <c r="F462" i="29" s="1"/>
  <c r="F463" i="29" a="1"/>
  <c r="F463" i="29" s="1"/>
  <c r="F464" i="29" a="1"/>
  <c r="F464" i="29" s="1"/>
  <c r="F465" i="29" a="1"/>
  <c r="F465" i="29" s="1"/>
  <c r="F466" i="29" a="1"/>
  <c r="F466" i="29" s="1"/>
  <c r="F467" i="29" a="1"/>
  <c r="F467" i="29" s="1"/>
  <c r="F468" i="29" a="1"/>
  <c r="F468" i="29" s="1"/>
  <c r="F469" i="29" a="1"/>
  <c r="F469" i="29" s="1"/>
  <c r="F470" i="29" a="1"/>
  <c r="F470" i="29" s="1"/>
  <c r="F471" i="29" a="1"/>
  <c r="F471" i="29" s="1"/>
  <c r="F472" i="29" a="1"/>
  <c r="F472" i="29" s="1"/>
  <c r="F473" i="29" a="1"/>
  <c r="F473" i="29" s="1"/>
  <c r="F474" i="29" a="1"/>
  <c r="F474" i="29" s="1"/>
  <c r="F475" i="29" a="1"/>
  <c r="F475" i="29" s="1"/>
  <c r="F476" i="29" a="1"/>
  <c r="F476" i="29" s="1"/>
  <c r="F477" i="29" a="1"/>
  <c r="F477" i="29" s="1"/>
  <c r="F478" i="29" a="1"/>
  <c r="F478" i="29" s="1"/>
  <c r="F479" i="29" a="1"/>
  <c r="F479" i="29" s="1"/>
  <c r="F480" i="29" a="1"/>
  <c r="F480" i="29" s="1"/>
  <c r="F481" i="29" a="1"/>
  <c r="F481" i="29" s="1"/>
  <c r="F482" i="29" a="1"/>
  <c r="F482" i="29" s="1"/>
  <c r="F483" i="29" a="1"/>
  <c r="F483" i="29" s="1"/>
  <c r="F484" i="29" a="1"/>
  <c r="F484" i="29" s="1"/>
  <c r="F485" i="29" a="1"/>
  <c r="F485" i="29" s="1"/>
  <c r="F486" i="29" a="1"/>
  <c r="F486" i="29" s="1"/>
  <c r="F487" i="29" a="1"/>
  <c r="F487" i="29" s="1"/>
  <c r="F488" i="29" a="1"/>
  <c r="F488" i="29" s="1"/>
  <c r="F489" i="29" a="1"/>
  <c r="F489" i="29" s="1"/>
  <c r="F490" i="29" a="1"/>
  <c r="F490" i="29" s="1"/>
  <c r="F491" i="29" a="1"/>
  <c r="F491" i="29" s="1"/>
  <c r="F492" i="29" a="1"/>
  <c r="F492" i="29" s="1"/>
  <c r="F493" i="29" a="1"/>
  <c r="F493" i="29" s="1"/>
  <c r="F494" i="29" a="1"/>
  <c r="F494" i="29" s="1"/>
  <c r="F495" i="29" a="1"/>
  <c r="F495" i="29" s="1"/>
  <c r="F496" i="29" a="1"/>
  <c r="F496" i="29" s="1"/>
  <c r="F497" i="29" a="1"/>
  <c r="F497" i="29" s="1"/>
  <c r="F498" i="29" a="1"/>
  <c r="F498" i="29" s="1"/>
  <c r="F499" i="29" a="1"/>
  <c r="F499" i="29" s="1"/>
  <c r="F500" i="29" a="1"/>
  <c r="F500" i="29" s="1"/>
  <c r="F501" i="29" a="1"/>
  <c r="F501" i="29" s="1"/>
  <c r="F502" i="29" a="1"/>
  <c r="F502" i="29" s="1"/>
  <c r="F503" i="29" a="1"/>
  <c r="F503" i="29" s="1"/>
  <c r="F504" i="29" a="1"/>
  <c r="F504" i="29" s="1"/>
  <c r="F505" i="29" a="1"/>
  <c r="F505" i="29" s="1"/>
  <c r="F506" i="29" a="1"/>
  <c r="F506" i="29" s="1"/>
  <c r="F507" i="29" a="1"/>
  <c r="F507" i="29" s="1"/>
  <c r="F508" i="29" a="1"/>
  <c r="F508" i="29" s="1"/>
  <c r="F509" i="29" a="1"/>
  <c r="F509" i="29" s="1"/>
  <c r="F510" i="29" a="1"/>
  <c r="F510" i="29" s="1"/>
  <c r="F511" i="29" a="1"/>
  <c r="F511" i="29" s="1"/>
  <c r="F512" i="29" a="1"/>
  <c r="F512" i="29" s="1"/>
  <c r="F513" i="29" a="1"/>
  <c r="F513" i="29" s="1"/>
  <c r="F514" i="29" a="1"/>
  <c r="F514" i="29" s="1"/>
  <c r="F515" i="29" a="1"/>
  <c r="F515" i="29" s="1"/>
  <c r="F516" i="29" a="1"/>
  <c r="F516" i="29" s="1"/>
  <c r="F517" i="29" a="1"/>
  <c r="F517" i="29" s="1"/>
  <c r="F518" i="29" a="1"/>
  <c r="F518" i="29" s="1"/>
  <c r="F519" i="29" a="1"/>
  <c r="F519" i="29" s="1"/>
  <c r="F520" i="29" a="1"/>
  <c r="F520" i="29" s="1"/>
  <c r="F521" i="29" a="1"/>
  <c r="F521" i="29" s="1"/>
  <c r="F522" i="29" a="1"/>
  <c r="F522" i="29" s="1"/>
  <c r="F523" i="29" a="1"/>
  <c r="F523" i="29" s="1"/>
  <c r="F524" i="29" a="1"/>
  <c r="F524" i="29" s="1"/>
  <c r="F525" i="29" a="1"/>
  <c r="F525" i="29" s="1"/>
  <c r="F526" i="29" a="1"/>
  <c r="F526" i="29" s="1"/>
  <c r="F527" i="29" a="1"/>
  <c r="F527" i="29" s="1"/>
  <c r="F528" i="29" a="1"/>
  <c r="F528" i="29" s="1"/>
  <c r="F529" i="29" a="1"/>
  <c r="F529" i="29" s="1"/>
  <c r="F530" i="29" a="1"/>
  <c r="F530" i="29" s="1"/>
  <c r="F531" i="29" a="1"/>
  <c r="F531" i="29" s="1"/>
  <c r="F532" i="29" a="1"/>
  <c r="F532" i="29" s="1"/>
  <c r="F533" i="29" a="1"/>
  <c r="F533" i="29" s="1"/>
  <c r="F534" i="29" a="1"/>
  <c r="F534" i="29" s="1"/>
  <c r="F535" i="29" a="1"/>
  <c r="F535" i="29" s="1"/>
  <c r="F536" i="29" a="1"/>
  <c r="F536" i="29" s="1"/>
  <c r="F537" i="29" a="1"/>
  <c r="F537" i="29" s="1"/>
  <c r="F538" i="29" a="1"/>
  <c r="F538" i="29" s="1"/>
  <c r="F539" i="29" a="1"/>
  <c r="F539" i="29" s="1"/>
  <c r="F540" i="29" a="1"/>
  <c r="F540" i="29" s="1"/>
  <c r="F541" i="29" a="1"/>
  <c r="F541" i="29" s="1"/>
  <c r="F542" i="29" a="1"/>
  <c r="F542" i="29" s="1"/>
  <c r="F543" i="29" a="1"/>
  <c r="F543" i="29" s="1"/>
  <c r="F544" i="29" a="1"/>
  <c r="F544" i="29" s="1"/>
  <c r="F545" i="29" a="1"/>
  <c r="F545" i="29" s="1"/>
  <c r="F546" i="29" a="1"/>
  <c r="F546" i="29" s="1"/>
  <c r="F547" i="29" a="1"/>
  <c r="F547" i="29" s="1"/>
  <c r="F548" i="29" a="1"/>
  <c r="F548" i="29" s="1"/>
  <c r="F549" i="29" a="1"/>
  <c r="F549" i="29" s="1"/>
  <c r="F550" i="29" a="1"/>
  <c r="F550" i="29" s="1"/>
  <c r="F551" i="29" a="1"/>
  <c r="F551" i="29" s="1"/>
  <c r="F552" i="29" a="1"/>
  <c r="F552" i="29" s="1"/>
  <c r="F553" i="29" a="1"/>
  <c r="F553" i="29" s="1"/>
  <c r="F554" i="29" a="1"/>
  <c r="F554" i="29" s="1"/>
  <c r="F555" i="29" a="1"/>
  <c r="F555" i="29" s="1"/>
  <c r="F556" i="29" a="1"/>
  <c r="F556" i="29" s="1"/>
  <c r="F557" i="29" a="1"/>
  <c r="F557" i="29" s="1"/>
  <c r="F558" i="29" a="1"/>
  <c r="F558" i="29" s="1"/>
  <c r="F559" i="29" a="1"/>
  <c r="F559" i="29" s="1"/>
  <c r="F560" i="29" a="1"/>
  <c r="F560" i="29" s="1"/>
  <c r="F561" i="29" a="1"/>
  <c r="F561" i="29" s="1"/>
  <c r="F562" i="29" a="1"/>
  <c r="F562" i="29" s="1"/>
  <c r="F563" i="29" a="1"/>
  <c r="F563" i="29" s="1"/>
  <c r="F564" i="29" a="1"/>
  <c r="F564" i="29" s="1"/>
  <c r="F565" i="29" a="1"/>
  <c r="F565" i="29" s="1"/>
  <c r="F566" i="29" a="1"/>
  <c r="F566" i="29" s="1"/>
  <c r="F567" i="29" a="1"/>
  <c r="F567" i="29" s="1"/>
  <c r="F568" i="29" a="1"/>
  <c r="F568" i="29" s="1"/>
  <c r="F569" i="29" a="1"/>
  <c r="F569" i="29" s="1"/>
  <c r="F570" i="29" a="1"/>
  <c r="F570" i="29" s="1"/>
  <c r="F571" i="29" a="1"/>
  <c r="F571" i="29" s="1"/>
  <c r="F572" i="29" a="1"/>
  <c r="F572" i="29" s="1"/>
  <c r="F573" i="29" a="1"/>
  <c r="F573" i="29" s="1"/>
  <c r="F574" i="29" a="1"/>
  <c r="F574" i="29" s="1"/>
  <c r="F575" i="29" a="1"/>
  <c r="F575" i="29" s="1"/>
  <c r="F576" i="29" a="1"/>
  <c r="F576" i="29" s="1"/>
  <c r="F577" i="29" a="1"/>
  <c r="F577" i="29" s="1"/>
  <c r="F578" i="29" a="1"/>
  <c r="F578" i="29" s="1"/>
  <c r="F579" i="29" a="1"/>
  <c r="F579" i="29" s="1"/>
  <c r="F580" i="29" a="1"/>
  <c r="F580" i="29" s="1"/>
  <c r="F581" i="29" a="1"/>
  <c r="F581" i="29" s="1"/>
  <c r="F582" i="29" a="1"/>
  <c r="F582" i="29" s="1"/>
  <c r="F583" i="29" a="1"/>
  <c r="F583" i="29" s="1"/>
  <c r="F584" i="29" a="1"/>
  <c r="F584" i="29" s="1"/>
  <c r="F585" i="29" a="1"/>
  <c r="F585" i="29" s="1"/>
  <c r="F586" i="29" a="1"/>
  <c r="F586" i="29" s="1"/>
  <c r="F587" i="29" a="1"/>
  <c r="F587" i="29" s="1"/>
  <c r="F588" i="29" a="1"/>
  <c r="F588" i="29" s="1"/>
  <c r="F589" i="29" a="1"/>
  <c r="F589" i="29" s="1"/>
  <c r="F590" i="29" a="1"/>
  <c r="F590" i="29" s="1"/>
  <c r="F591" i="29" a="1"/>
  <c r="F591" i="29" s="1"/>
  <c r="F592" i="29" a="1"/>
  <c r="F592" i="29" s="1"/>
  <c r="F593" i="29" a="1"/>
  <c r="F593" i="29" s="1"/>
  <c r="F594" i="29" a="1"/>
  <c r="F594" i="29" s="1"/>
  <c r="F595" i="29" a="1"/>
  <c r="F595" i="29" s="1"/>
  <c r="F596" i="29" a="1"/>
  <c r="F596" i="29" s="1"/>
  <c r="F597" i="29" a="1"/>
  <c r="F597" i="29" s="1"/>
  <c r="F598" i="29" a="1"/>
  <c r="F598" i="29" s="1"/>
  <c r="F599" i="29" a="1"/>
  <c r="F599" i="29" s="1"/>
  <c r="F600" i="29" a="1"/>
  <c r="F600" i="29" s="1"/>
  <c r="F601" i="29" a="1"/>
  <c r="F601" i="29" s="1"/>
  <c r="F602" i="29" a="1"/>
  <c r="F602" i="29" s="1"/>
  <c r="F603" i="29" a="1"/>
  <c r="F603" i="29" s="1"/>
  <c r="F604" i="29" a="1"/>
  <c r="F604" i="29" s="1"/>
  <c r="F605" i="29" a="1"/>
  <c r="F605" i="29" s="1"/>
  <c r="F606" i="29" a="1"/>
  <c r="F606" i="29" s="1"/>
  <c r="F607" i="29" a="1"/>
  <c r="F607" i="29" s="1"/>
  <c r="F608" i="29" a="1"/>
  <c r="F608" i="29" s="1"/>
  <c r="F609" i="29" a="1"/>
  <c r="F609" i="29" s="1"/>
  <c r="F610" i="29" a="1"/>
  <c r="F610" i="29" s="1"/>
  <c r="F611" i="29" a="1"/>
  <c r="F611" i="29" s="1"/>
  <c r="F612" i="29" a="1"/>
  <c r="F612" i="29" s="1"/>
  <c r="F613" i="29" a="1"/>
  <c r="F613" i="29" s="1"/>
  <c r="F614" i="29" a="1"/>
  <c r="F614" i="29" s="1"/>
  <c r="F615" i="29" a="1"/>
  <c r="F615" i="29" s="1"/>
  <c r="F616" i="29" a="1"/>
  <c r="F616" i="29" s="1"/>
  <c r="F617" i="29" a="1"/>
  <c r="F617" i="29" s="1"/>
  <c r="F618" i="29" a="1"/>
  <c r="F618" i="29" s="1"/>
  <c r="F619" i="29" a="1"/>
  <c r="F619" i="29" s="1"/>
  <c r="F620" i="29" a="1"/>
  <c r="F620" i="29" s="1"/>
  <c r="F621" i="29" a="1"/>
  <c r="F621" i="29" s="1"/>
  <c r="F622" i="29" a="1"/>
  <c r="F622" i="29" s="1"/>
  <c r="F623" i="29" a="1"/>
  <c r="F623" i="29" s="1"/>
  <c r="F624" i="29" a="1"/>
  <c r="F624" i="29" s="1"/>
  <c r="F625" i="29" a="1"/>
  <c r="F625" i="29" s="1"/>
  <c r="F626" i="29" a="1"/>
  <c r="F626" i="29" s="1"/>
  <c r="F627" i="29" a="1"/>
  <c r="F627" i="29" s="1"/>
  <c r="F628" i="29" a="1"/>
  <c r="F628" i="29" s="1"/>
  <c r="F629" i="29" a="1"/>
  <c r="F629" i="29" s="1"/>
  <c r="F630" i="29" a="1"/>
  <c r="F630" i="29" s="1"/>
  <c r="F631" i="29" a="1"/>
  <c r="F631" i="29" s="1"/>
  <c r="F632" i="29" a="1"/>
  <c r="F632" i="29" s="1"/>
  <c r="F633" i="29" a="1"/>
  <c r="F633" i="29" s="1"/>
  <c r="F634" i="29" a="1"/>
  <c r="F634" i="29" s="1"/>
  <c r="F635" i="29" a="1"/>
  <c r="F635" i="29" s="1"/>
  <c r="F636" i="29" a="1"/>
  <c r="F636" i="29" s="1"/>
  <c r="F637" i="29" a="1"/>
  <c r="F637" i="29" s="1"/>
  <c r="F638" i="29" a="1"/>
  <c r="F638" i="29" s="1"/>
  <c r="F639" i="29" a="1"/>
  <c r="F639" i="29" s="1"/>
  <c r="F640" i="29" a="1"/>
  <c r="F640" i="29" s="1"/>
  <c r="F641" i="29" a="1"/>
  <c r="F641" i="29" s="1"/>
  <c r="F642" i="29" a="1"/>
  <c r="F642" i="29" s="1"/>
  <c r="F643" i="29" a="1"/>
  <c r="F643" i="29" s="1"/>
  <c r="F644" i="29" a="1"/>
  <c r="F644" i="29" s="1"/>
  <c r="F645" i="29" a="1"/>
  <c r="F645" i="29" s="1"/>
  <c r="F646" i="29" a="1"/>
  <c r="F646" i="29" s="1"/>
  <c r="F647" i="29" a="1"/>
  <c r="F647" i="29" s="1"/>
  <c r="F648" i="29" a="1"/>
  <c r="F648" i="29" s="1"/>
  <c r="F649" i="29" a="1"/>
  <c r="F649" i="29" s="1"/>
  <c r="F650" i="29" a="1"/>
  <c r="F650" i="29" s="1"/>
  <c r="F651" i="29" a="1"/>
  <c r="F651" i="29" s="1"/>
  <c r="F652" i="29" a="1"/>
  <c r="F652" i="29" s="1"/>
  <c r="F653" i="29" a="1"/>
  <c r="F653" i="29" s="1"/>
  <c r="F654" i="29" a="1"/>
  <c r="F654" i="29" s="1"/>
  <c r="F655" i="29" a="1"/>
  <c r="F655" i="29" s="1"/>
  <c r="F656" i="29" a="1"/>
  <c r="F656" i="29" s="1"/>
  <c r="F657" i="29" a="1"/>
  <c r="F657" i="29" s="1"/>
  <c r="F658" i="29" a="1"/>
  <c r="F658" i="29" s="1"/>
  <c r="F659" i="29" a="1"/>
  <c r="F659" i="29" s="1"/>
  <c r="F660" i="29" a="1"/>
  <c r="F660" i="29" s="1"/>
  <c r="F661" i="29" a="1"/>
  <c r="F661" i="29" s="1"/>
  <c r="F662" i="29" a="1"/>
  <c r="F662" i="29" s="1"/>
  <c r="F663" i="29" a="1"/>
  <c r="F663" i="29" s="1"/>
  <c r="F664" i="29" a="1"/>
  <c r="F664" i="29" s="1"/>
  <c r="F665" i="29" a="1"/>
  <c r="F665" i="29" s="1"/>
  <c r="F666" i="29" a="1"/>
  <c r="F666" i="29" s="1"/>
  <c r="F667" i="29" a="1"/>
  <c r="F667" i="29" s="1"/>
  <c r="F668" i="29" a="1"/>
  <c r="F668" i="29" s="1"/>
  <c r="F669" i="29" a="1"/>
  <c r="F669" i="29" s="1"/>
  <c r="F670" i="29" a="1"/>
  <c r="F670" i="29" s="1"/>
  <c r="F671" i="29" a="1"/>
  <c r="F671" i="29" s="1"/>
  <c r="F672" i="29" a="1"/>
  <c r="F672" i="29" s="1"/>
  <c r="F673" i="29" a="1"/>
  <c r="F673" i="29" s="1"/>
  <c r="F674" i="29" a="1"/>
  <c r="F674" i="29" s="1"/>
  <c r="F675" i="29" a="1"/>
  <c r="F675" i="29" s="1"/>
  <c r="F676" i="29" a="1"/>
  <c r="F676" i="29" s="1"/>
  <c r="F677" i="29" a="1"/>
  <c r="F677" i="29" s="1"/>
  <c r="F678" i="29" a="1"/>
  <c r="F678" i="29" s="1"/>
  <c r="F679" i="29" a="1"/>
  <c r="F679" i="29" s="1"/>
  <c r="F680" i="29" a="1"/>
  <c r="F680" i="29" s="1"/>
  <c r="F681" i="29" a="1"/>
  <c r="F681" i="29" s="1"/>
  <c r="F682" i="29" a="1"/>
  <c r="F682" i="29" s="1"/>
  <c r="F683" i="29" a="1"/>
  <c r="F683" i="29" s="1"/>
  <c r="F684" i="29" a="1"/>
  <c r="F684" i="29" s="1"/>
  <c r="F685" i="29" a="1"/>
  <c r="F685" i="29" s="1"/>
  <c r="F686" i="29" a="1"/>
  <c r="F686" i="29" s="1"/>
  <c r="F687" i="29" a="1"/>
  <c r="F687" i="29" s="1"/>
  <c r="F688" i="29" a="1"/>
  <c r="F688" i="29" s="1"/>
  <c r="F689" i="29" a="1"/>
  <c r="F689" i="29" s="1"/>
  <c r="F690" i="29" a="1"/>
  <c r="F690" i="29" s="1"/>
  <c r="F691" i="29" a="1"/>
  <c r="F691" i="29" s="1"/>
  <c r="F692" i="29" a="1"/>
  <c r="F692" i="29" s="1"/>
  <c r="F693" i="29" a="1"/>
  <c r="F693" i="29" s="1"/>
  <c r="F694" i="29" a="1"/>
  <c r="F694" i="29" s="1"/>
  <c r="F695" i="29" a="1"/>
  <c r="F695" i="29" s="1"/>
  <c r="F696" i="29" a="1"/>
  <c r="F696" i="29" s="1"/>
  <c r="F697" i="29" a="1"/>
  <c r="F697" i="29" s="1"/>
  <c r="F698" i="29" a="1"/>
  <c r="F698" i="29" s="1"/>
  <c r="F699" i="29" a="1"/>
  <c r="F699" i="29" s="1"/>
  <c r="F700" i="29" a="1"/>
  <c r="F700" i="29" s="1"/>
  <c r="F701" i="29" a="1"/>
  <c r="F701" i="29" s="1"/>
  <c r="F702" i="29" a="1"/>
  <c r="F702" i="29" s="1"/>
  <c r="F703" i="29" a="1"/>
  <c r="F703" i="29" s="1"/>
  <c r="F704" i="29" a="1"/>
  <c r="F704" i="29" s="1"/>
  <c r="F705" i="29" a="1"/>
  <c r="F705" i="29" s="1"/>
  <c r="F706" i="29" a="1"/>
  <c r="F706" i="29" s="1"/>
  <c r="F707" i="29" a="1"/>
  <c r="F707" i="29" s="1"/>
  <c r="F708" i="29" a="1"/>
  <c r="F708" i="29" s="1"/>
  <c r="F709" i="29" a="1"/>
  <c r="F709" i="29" s="1"/>
  <c r="F710" i="29" a="1"/>
  <c r="F710" i="29" s="1"/>
  <c r="F711" i="29" a="1"/>
  <c r="F711" i="29" s="1"/>
  <c r="F712" i="29" a="1"/>
  <c r="F712" i="29" s="1"/>
  <c r="F713" i="29" a="1"/>
  <c r="F713" i="29" s="1"/>
  <c r="F714" i="29" a="1"/>
  <c r="F714" i="29" s="1"/>
  <c r="F715" i="29" a="1"/>
  <c r="F715" i="29" s="1"/>
  <c r="F716" i="29" a="1"/>
  <c r="F716" i="29" s="1"/>
  <c r="F717" i="29" a="1"/>
  <c r="F717" i="29" s="1"/>
  <c r="F718" i="29" a="1"/>
  <c r="F718" i="29" s="1"/>
  <c r="F719" i="29" a="1"/>
  <c r="F719" i="29" s="1"/>
  <c r="F720" i="29" a="1"/>
  <c r="F720" i="29" s="1"/>
  <c r="F721" i="29" a="1"/>
  <c r="F721" i="29" s="1"/>
  <c r="F722" i="29" a="1"/>
  <c r="F722" i="29" s="1"/>
  <c r="F723" i="29" a="1"/>
  <c r="F723" i="29" s="1"/>
  <c r="F724" i="29" a="1"/>
  <c r="F724" i="29" s="1"/>
  <c r="F725" i="29" a="1"/>
  <c r="F725" i="29" s="1"/>
  <c r="F726" i="29" a="1"/>
  <c r="F726" i="29" s="1"/>
  <c r="F727" i="29" a="1"/>
  <c r="F727" i="29" s="1"/>
  <c r="F728" i="29" a="1"/>
  <c r="F728" i="29" s="1"/>
  <c r="F729" i="29" a="1"/>
  <c r="F729" i="29" s="1"/>
  <c r="F730" i="29" a="1"/>
  <c r="F730" i="29" s="1"/>
  <c r="F731" i="29" a="1"/>
  <c r="F731" i="29" s="1"/>
  <c r="F732" i="29" a="1"/>
  <c r="F732" i="29" s="1"/>
  <c r="F733" i="29" a="1"/>
  <c r="F733" i="29" s="1"/>
  <c r="F734" i="29" a="1"/>
  <c r="F734" i="29" s="1"/>
  <c r="F735" i="29" a="1"/>
  <c r="F735" i="29" s="1"/>
  <c r="F736" i="29" a="1"/>
  <c r="F736" i="29" s="1"/>
  <c r="F737" i="29" a="1"/>
  <c r="F737" i="29" s="1"/>
  <c r="F738" i="29" a="1"/>
  <c r="F738" i="29" s="1"/>
  <c r="F739" i="29" a="1"/>
  <c r="F739" i="29" s="1"/>
  <c r="F740" i="29" a="1"/>
  <c r="F740" i="29" s="1"/>
  <c r="F741" i="29" a="1"/>
  <c r="F741" i="29" s="1"/>
  <c r="F742" i="29" a="1"/>
  <c r="F742" i="29" s="1"/>
  <c r="F743" i="29" a="1"/>
  <c r="F743" i="29" s="1"/>
  <c r="F744" i="29" a="1"/>
  <c r="F744" i="29" s="1"/>
  <c r="F745" i="29" a="1"/>
  <c r="F745" i="29" s="1"/>
  <c r="F746" i="29" a="1"/>
  <c r="F746" i="29" s="1"/>
  <c r="F747" i="29" a="1"/>
  <c r="F747" i="29" s="1"/>
  <c r="F748" i="29" a="1"/>
  <c r="F748" i="29" s="1"/>
  <c r="F749" i="29" a="1"/>
  <c r="F749" i="29" s="1"/>
  <c r="F750" i="29" a="1"/>
  <c r="F750" i="29" s="1"/>
  <c r="F751" i="29" a="1"/>
  <c r="F751" i="29" s="1"/>
  <c r="F752" i="29" a="1"/>
  <c r="F752" i="29" s="1"/>
  <c r="F753" i="29" a="1"/>
  <c r="F753" i="29" s="1"/>
  <c r="F754" i="29" a="1"/>
  <c r="F754" i="29" s="1"/>
  <c r="F755" i="29" a="1"/>
  <c r="F755" i="29" s="1"/>
  <c r="F756" i="29" a="1"/>
  <c r="F756" i="29" s="1"/>
  <c r="F757" i="29" a="1"/>
  <c r="F757" i="29" s="1"/>
  <c r="F758" i="29" a="1"/>
  <c r="F758" i="29" s="1"/>
  <c r="F759" i="29" a="1"/>
  <c r="F759" i="29" s="1"/>
  <c r="F760" i="29" a="1"/>
  <c r="F760" i="29" s="1"/>
  <c r="F761" i="29" a="1"/>
  <c r="F761" i="29" s="1"/>
  <c r="F762" i="29" a="1"/>
  <c r="F762" i="29" s="1"/>
  <c r="F763" i="29" a="1"/>
  <c r="F763" i="29" s="1"/>
  <c r="F764" i="29" a="1"/>
  <c r="F764" i="29" s="1"/>
  <c r="F765" i="29" a="1"/>
  <c r="F765" i="29" s="1"/>
  <c r="F766" i="29" a="1"/>
  <c r="F766" i="29" s="1"/>
  <c r="F767" i="29" a="1"/>
  <c r="F767" i="29" s="1"/>
  <c r="F768" i="29" a="1"/>
  <c r="F768" i="29" s="1"/>
  <c r="F769" i="29" a="1"/>
  <c r="F769" i="29" s="1"/>
  <c r="F770" i="29" a="1"/>
  <c r="F770" i="29" s="1"/>
  <c r="F771" i="29" a="1"/>
  <c r="F771" i="29" s="1"/>
  <c r="F772" i="29" a="1"/>
  <c r="F772" i="29" s="1"/>
  <c r="F773" i="29" a="1"/>
  <c r="F773" i="29" s="1"/>
  <c r="F774" i="29" a="1"/>
  <c r="F774" i="29" s="1"/>
  <c r="F775" i="29" a="1"/>
  <c r="F775" i="29" s="1"/>
  <c r="F776" i="29" a="1"/>
  <c r="F776" i="29" s="1"/>
  <c r="F777" i="29" a="1"/>
  <c r="F777" i="29" s="1"/>
  <c r="F778" i="29" a="1"/>
  <c r="F778" i="29" s="1"/>
  <c r="F779" i="29" a="1"/>
  <c r="F779" i="29" s="1"/>
  <c r="F780" i="29" a="1"/>
  <c r="F780" i="29" s="1"/>
  <c r="F781" i="29" a="1"/>
  <c r="F781" i="29" s="1"/>
  <c r="F782" i="29" a="1"/>
  <c r="F782" i="29" s="1"/>
  <c r="F783" i="29" a="1"/>
  <c r="F783" i="29" s="1"/>
  <c r="F784" i="29" a="1"/>
  <c r="F784" i="29" s="1"/>
  <c r="F785" i="29" a="1"/>
  <c r="F785" i="29" s="1"/>
  <c r="F786" i="29" a="1"/>
  <c r="F786" i="29" s="1"/>
  <c r="F787" i="29" a="1"/>
  <c r="F787" i="29" s="1"/>
  <c r="F788" i="29" a="1"/>
  <c r="F788" i="29" s="1"/>
  <c r="F789" i="29" a="1"/>
  <c r="F789" i="29" s="1"/>
  <c r="F790" i="29" a="1"/>
  <c r="F790" i="29" s="1"/>
  <c r="F791" i="29" a="1"/>
  <c r="F791" i="29" s="1"/>
  <c r="F792" i="29" a="1"/>
  <c r="F792" i="29" s="1"/>
  <c r="F793" i="29" a="1"/>
  <c r="F793" i="29" s="1"/>
  <c r="F794" i="29" a="1"/>
  <c r="F794" i="29" s="1"/>
  <c r="F795" i="29" a="1"/>
  <c r="F795" i="29" s="1"/>
  <c r="F796" i="29" a="1"/>
  <c r="F796" i="29" s="1"/>
  <c r="F797" i="29" a="1"/>
  <c r="F797" i="29" s="1"/>
  <c r="F798" i="29" a="1"/>
  <c r="F798" i="29" s="1"/>
  <c r="F799" i="29" a="1"/>
  <c r="F799" i="29" s="1"/>
  <c r="F800" i="29" a="1"/>
  <c r="F800" i="29" s="1"/>
  <c r="F801" i="29" a="1"/>
  <c r="F801" i="29" s="1"/>
  <c r="F802" i="29" a="1"/>
  <c r="F802" i="29" s="1"/>
  <c r="F803" i="29" a="1"/>
  <c r="F803" i="29" s="1"/>
  <c r="F804" i="29" a="1"/>
  <c r="F804" i="29" s="1"/>
  <c r="F805" i="29" a="1"/>
  <c r="F805" i="29" s="1"/>
  <c r="F806" i="29" a="1"/>
  <c r="F806" i="29" s="1"/>
  <c r="F807" i="29" a="1"/>
  <c r="F807" i="29" s="1"/>
  <c r="F808" i="29" a="1"/>
  <c r="F808" i="29" s="1"/>
  <c r="F809" i="29" a="1"/>
  <c r="F809" i="29" s="1"/>
  <c r="F810" i="29" a="1"/>
  <c r="F810" i="29" s="1"/>
  <c r="F811" i="29" a="1"/>
  <c r="F811" i="29" s="1"/>
  <c r="F812" i="29" a="1"/>
  <c r="F812" i="29" s="1"/>
  <c r="F813" i="29" a="1"/>
  <c r="F813" i="29" s="1"/>
  <c r="F814" i="29" a="1"/>
  <c r="F814" i="29" s="1"/>
  <c r="F815" i="29" a="1"/>
  <c r="F815" i="29" s="1"/>
  <c r="F816" i="29" a="1"/>
  <c r="F816" i="29" s="1"/>
  <c r="F817" i="29" a="1"/>
  <c r="F817" i="29" s="1"/>
  <c r="F818" i="29" a="1"/>
  <c r="F818" i="29" s="1"/>
  <c r="F819" i="29" a="1"/>
  <c r="F819" i="29" s="1"/>
  <c r="F820" i="29" a="1"/>
  <c r="F820" i="29" s="1"/>
  <c r="F821" i="29" a="1"/>
  <c r="F821" i="29" s="1"/>
  <c r="F822" i="29" a="1"/>
  <c r="F822" i="29" s="1"/>
  <c r="F823" i="29" a="1"/>
  <c r="F823" i="29" s="1"/>
  <c r="F824" i="29" a="1"/>
  <c r="F824" i="29" s="1"/>
  <c r="F825" i="29" a="1"/>
  <c r="F825" i="29" s="1"/>
  <c r="F826" i="29" a="1"/>
  <c r="F826" i="29" s="1"/>
  <c r="F827" i="29" a="1"/>
  <c r="F827" i="29" s="1"/>
  <c r="F828" i="29" a="1"/>
  <c r="F828" i="29" s="1"/>
  <c r="F829" i="29" a="1"/>
  <c r="F829" i="29" s="1"/>
  <c r="F830" i="29" a="1"/>
  <c r="F830" i="29" s="1"/>
  <c r="F831" i="29" a="1"/>
  <c r="F831" i="29" s="1"/>
  <c r="F832" i="29" a="1"/>
  <c r="F832" i="29" s="1"/>
  <c r="F833" i="29" a="1"/>
  <c r="F833" i="29" s="1"/>
  <c r="F834" i="29" a="1"/>
  <c r="F834" i="29" s="1"/>
  <c r="F835" i="29" a="1"/>
  <c r="F835" i="29" s="1"/>
  <c r="F836" i="29" a="1"/>
  <c r="F836" i="29" s="1"/>
  <c r="F837" i="29" a="1"/>
  <c r="F837" i="29" s="1"/>
  <c r="F838" i="29" a="1"/>
  <c r="F838" i="29" s="1"/>
  <c r="F839" i="29" a="1"/>
  <c r="F839" i="29" s="1"/>
  <c r="F840" i="29" a="1"/>
  <c r="F840" i="29" s="1"/>
  <c r="F841" i="29" a="1"/>
  <c r="F841" i="29" s="1"/>
  <c r="F842" i="29" a="1"/>
  <c r="F842" i="29" s="1"/>
  <c r="F843" i="29" a="1"/>
  <c r="F843" i="29" s="1"/>
  <c r="F844" i="29" a="1"/>
  <c r="F844" i="29" s="1"/>
  <c r="F845" i="29" a="1"/>
  <c r="F845" i="29" s="1"/>
  <c r="F846" i="29" a="1"/>
  <c r="F846" i="29" s="1"/>
  <c r="F847" i="29" a="1"/>
  <c r="F847" i="29" s="1"/>
  <c r="F848" i="29" a="1"/>
  <c r="F848" i="29" s="1"/>
  <c r="F849" i="29" a="1"/>
  <c r="F849" i="29" s="1"/>
  <c r="F850" i="29" a="1"/>
  <c r="F850" i="29" s="1"/>
  <c r="F851" i="29" a="1"/>
  <c r="F851" i="29" s="1"/>
  <c r="F852" i="29" a="1"/>
  <c r="F852" i="29" s="1"/>
  <c r="F853" i="29" a="1"/>
  <c r="F853" i="29" s="1"/>
  <c r="F854" i="29" a="1"/>
  <c r="F854" i="29" s="1"/>
  <c r="F855" i="29" a="1"/>
  <c r="F855" i="29" s="1"/>
  <c r="F856" i="29" a="1"/>
  <c r="F856" i="29" s="1"/>
  <c r="F857" i="29" a="1"/>
  <c r="F857" i="29" s="1"/>
  <c r="F858" i="29" a="1"/>
  <c r="F858" i="29" s="1"/>
  <c r="F859" i="29" a="1"/>
  <c r="F859" i="29" s="1"/>
  <c r="F860" i="29" a="1"/>
  <c r="F860" i="29" s="1"/>
  <c r="F861" i="29" a="1"/>
  <c r="F861" i="29" s="1"/>
  <c r="F862" i="29" a="1"/>
  <c r="F862" i="29" s="1"/>
  <c r="F863" i="29" a="1"/>
  <c r="F863" i="29" s="1"/>
  <c r="F864" i="29" a="1"/>
  <c r="F864" i="29" s="1"/>
  <c r="F865" i="29" a="1"/>
  <c r="F865" i="29" s="1"/>
  <c r="F866" i="29" a="1"/>
  <c r="F866" i="29" s="1"/>
  <c r="F867" i="29" a="1"/>
  <c r="F867" i="29" s="1"/>
  <c r="F868" i="29" a="1"/>
  <c r="F868" i="29" s="1"/>
  <c r="F869" i="29" a="1"/>
  <c r="F869" i="29" s="1"/>
  <c r="F870" i="29" a="1"/>
  <c r="F870" i="29" s="1"/>
  <c r="F871" i="29" a="1"/>
  <c r="F871" i="29" s="1"/>
  <c r="F872" i="29" a="1"/>
  <c r="F872" i="29" s="1"/>
  <c r="F873" i="29" a="1"/>
  <c r="F873" i="29" s="1"/>
  <c r="F874" i="29" a="1"/>
  <c r="F874" i="29" s="1"/>
  <c r="F875" i="29" a="1"/>
  <c r="F875" i="29" s="1"/>
  <c r="F876" i="29" a="1"/>
  <c r="F876" i="29" s="1"/>
  <c r="F877" i="29" a="1"/>
  <c r="F877" i="29" s="1"/>
  <c r="F878" i="29" a="1"/>
  <c r="F878" i="29" s="1"/>
  <c r="F879" i="29" a="1"/>
  <c r="F879" i="29" s="1"/>
  <c r="F880" i="29" a="1"/>
  <c r="F880" i="29" s="1"/>
  <c r="F881" i="29" a="1"/>
  <c r="F881" i="29" s="1"/>
  <c r="F882" i="29" a="1"/>
  <c r="F882" i="29" s="1"/>
  <c r="F883" i="29" a="1"/>
  <c r="F883" i="29" s="1"/>
  <c r="F884" i="29" a="1"/>
  <c r="F884" i="29" s="1"/>
  <c r="F885" i="29" a="1"/>
  <c r="F885" i="29" s="1"/>
  <c r="F886" i="29" a="1"/>
  <c r="F886" i="29" s="1"/>
  <c r="F887" i="29" a="1"/>
  <c r="F887" i="29" s="1"/>
  <c r="F888" i="29" a="1"/>
  <c r="F888" i="29" s="1"/>
  <c r="F889" i="29" a="1"/>
  <c r="F889" i="29" s="1"/>
  <c r="F890" i="29" a="1"/>
  <c r="F890" i="29" s="1"/>
  <c r="F891" i="29" a="1"/>
  <c r="F891" i="29" s="1"/>
  <c r="F892" i="29" a="1"/>
  <c r="F892" i="29" s="1"/>
  <c r="F893" i="29" a="1"/>
  <c r="F893" i="29" s="1"/>
  <c r="F894" i="29" a="1"/>
  <c r="F894" i="29" s="1"/>
  <c r="F895" i="29" a="1"/>
  <c r="F895" i="29" s="1"/>
  <c r="F896" i="29" a="1"/>
  <c r="F896" i="29" s="1"/>
  <c r="F897" i="29" a="1"/>
  <c r="F897" i="29" s="1"/>
  <c r="F898" i="29" a="1"/>
  <c r="F898" i="29" s="1"/>
  <c r="F899" i="29" a="1"/>
  <c r="F899" i="29" s="1"/>
  <c r="F900" i="29" a="1"/>
  <c r="F900" i="29" s="1"/>
  <c r="F901" i="29" a="1"/>
  <c r="F901" i="29" s="1"/>
  <c r="F902" i="29" a="1"/>
  <c r="F902" i="29" s="1"/>
  <c r="F903" i="29" a="1"/>
  <c r="F903" i="29" s="1"/>
  <c r="F904" i="29" a="1"/>
  <c r="F904" i="29" s="1"/>
  <c r="F905" i="29" a="1"/>
  <c r="F905" i="29" s="1"/>
  <c r="F906" i="29" a="1"/>
  <c r="F906" i="29" s="1"/>
  <c r="F907" i="29" a="1"/>
  <c r="F907" i="29" s="1"/>
  <c r="F908" i="29" a="1"/>
  <c r="F908" i="29" s="1"/>
  <c r="F909" i="29" a="1"/>
  <c r="F909" i="29" s="1"/>
  <c r="F910" i="29" a="1"/>
  <c r="F910" i="29" s="1"/>
  <c r="F911" i="29" a="1"/>
  <c r="F911" i="29" s="1"/>
  <c r="F912" i="29" a="1"/>
  <c r="F912" i="29" s="1"/>
  <c r="F913" i="29" a="1"/>
  <c r="F913" i="29" s="1"/>
  <c r="F914" i="29" a="1"/>
  <c r="F914" i="29" s="1"/>
  <c r="F915" i="29" a="1"/>
  <c r="F915" i="29" s="1"/>
  <c r="F916" i="29" a="1"/>
  <c r="F916" i="29" s="1"/>
  <c r="F917" i="29" a="1"/>
  <c r="F917" i="29" s="1"/>
  <c r="F918" i="29" a="1"/>
  <c r="F918" i="29" s="1"/>
  <c r="F919" i="29" a="1"/>
  <c r="F919" i="29" s="1"/>
  <c r="F920" i="29" a="1"/>
  <c r="F920" i="29" s="1"/>
  <c r="F921" i="29" a="1"/>
  <c r="F921" i="29" s="1"/>
  <c r="F922" i="29" a="1"/>
  <c r="F922" i="29" s="1"/>
  <c r="F923" i="29" a="1"/>
  <c r="F923" i="29" s="1"/>
  <c r="F924" i="29" a="1"/>
  <c r="F924" i="29" s="1"/>
  <c r="F925" i="29" a="1"/>
  <c r="F925" i="29" s="1"/>
  <c r="F926" i="29" a="1"/>
  <c r="F926" i="29" s="1"/>
  <c r="F927" i="29" a="1"/>
  <c r="F927" i="29" s="1"/>
  <c r="F928" i="29" a="1"/>
  <c r="F928" i="29" s="1"/>
  <c r="F929" i="29" a="1"/>
  <c r="F929" i="29" s="1"/>
  <c r="F930" i="29" a="1"/>
  <c r="F930" i="29" s="1"/>
  <c r="F931" i="29" a="1"/>
  <c r="F931" i="29" s="1"/>
  <c r="F932" i="29" a="1"/>
  <c r="F932" i="29" s="1"/>
  <c r="F933" i="29" a="1"/>
  <c r="F933" i="29" s="1"/>
  <c r="F934" i="29" a="1"/>
  <c r="F934" i="29" s="1"/>
  <c r="F935" i="29" a="1"/>
  <c r="F935" i="29" s="1"/>
  <c r="F936" i="29" a="1"/>
  <c r="F936" i="29" s="1"/>
  <c r="F937" i="29" a="1"/>
  <c r="F937" i="29" s="1"/>
  <c r="F938" i="29" a="1"/>
  <c r="F938" i="29" s="1"/>
  <c r="F939" i="29" a="1"/>
  <c r="F939" i="29" s="1"/>
  <c r="F940" i="29" a="1"/>
  <c r="F940" i="29" s="1"/>
  <c r="F941" i="29" a="1"/>
  <c r="F941" i="29" s="1"/>
  <c r="F942" i="29" a="1"/>
  <c r="F942" i="29" s="1"/>
  <c r="F943" i="29" a="1"/>
  <c r="F943" i="29" s="1"/>
  <c r="F944" i="29" a="1"/>
  <c r="F944" i="29" s="1"/>
  <c r="F945" i="29" a="1"/>
  <c r="F945" i="29" s="1"/>
  <c r="F946" i="29" a="1"/>
  <c r="F946" i="29" s="1"/>
  <c r="F947" i="29" a="1"/>
  <c r="F947" i="29" s="1"/>
  <c r="F948" i="29" a="1"/>
  <c r="F948" i="29" s="1"/>
  <c r="F949" i="29" a="1"/>
  <c r="F949" i="29" s="1"/>
  <c r="F950" i="29" a="1"/>
  <c r="F950" i="29" s="1"/>
  <c r="F951" i="29" a="1"/>
  <c r="F951" i="29" s="1"/>
  <c r="F952" i="29" a="1"/>
  <c r="F952" i="29" s="1"/>
  <c r="F953" i="29" a="1"/>
  <c r="F953" i="29" s="1"/>
  <c r="F954" i="29" a="1"/>
  <c r="F954" i="29" s="1"/>
  <c r="F955" i="29" a="1"/>
  <c r="F955" i="29" s="1"/>
  <c r="F956" i="29" a="1"/>
  <c r="F956" i="29" s="1"/>
  <c r="F957" i="29" a="1"/>
  <c r="F957" i="29" s="1"/>
  <c r="F958" i="29" a="1"/>
  <c r="F958" i="29" s="1"/>
  <c r="F959" i="29" a="1"/>
  <c r="F959" i="29" s="1"/>
  <c r="F960" i="29" a="1"/>
  <c r="F960" i="29" s="1"/>
  <c r="F961" i="29" a="1"/>
  <c r="F961" i="29" s="1"/>
  <c r="F962" i="29" a="1"/>
  <c r="F962" i="29" s="1"/>
  <c r="F963" i="29" a="1"/>
  <c r="F963" i="29" s="1"/>
  <c r="F964" i="29" a="1"/>
  <c r="F964" i="29" s="1"/>
  <c r="F965" i="29" a="1"/>
  <c r="F965" i="29" s="1"/>
  <c r="F966" i="29" a="1"/>
  <c r="F966" i="29" s="1"/>
  <c r="F967" i="29" a="1"/>
  <c r="F967" i="29" s="1"/>
  <c r="F968" i="29" a="1"/>
  <c r="F968" i="29" s="1"/>
  <c r="F969" i="29" a="1"/>
  <c r="F969" i="29" s="1"/>
  <c r="F970" i="29" a="1"/>
  <c r="F970" i="29" s="1"/>
  <c r="F971" i="29" a="1"/>
  <c r="F971" i="29" s="1"/>
  <c r="F972" i="29" a="1"/>
  <c r="F972" i="29" s="1"/>
  <c r="F973" i="29" a="1"/>
  <c r="F973" i="29" s="1"/>
  <c r="F974" i="29" a="1"/>
  <c r="F974" i="29" s="1"/>
  <c r="F975" i="29" a="1"/>
  <c r="F975" i="29" s="1"/>
  <c r="F976" i="29" a="1"/>
  <c r="F976" i="29" s="1"/>
  <c r="F977" i="29" a="1"/>
  <c r="F977" i="29" s="1"/>
  <c r="F978" i="29" a="1"/>
  <c r="F978" i="29" s="1"/>
  <c r="F979" i="29" a="1"/>
  <c r="F979" i="29" s="1"/>
  <c r="F980" i="29" a="1"/>
  <c r="F980" i="29" s="1"/>
  <c r="F981" i="29" a="1"/>
  <c r="F981" i="29" s="1"/>
  <c r="F982" i="29" a="1"/>
  <c r="F982" i="29" s="1"/>
  <c r="F983" i="29" a="1"/>
  <c r="F983" i="29" s="1"/>
  <c r="F984" i="29" a="1"/>
  <c r="F984" i="29" s="1"/>
  <c r="F985" i="29" a="1"/>
  <c r="F985" i="29" s="1"/>
  <c r="F986" i="29" a="1"/>
  <c r="F986" i="29" s="1"/>
  <c r="F987" i="29" a="1"/>
  <c r="F987" i="29" s="1"/>
  <c r="F988" i="29" a="1"/>
  <c r="F988" i="29" s="1"/>
  <c r="F989" i="29" a="1"/>
  <c r="F989" i="29" s="1"/>
  <c r="F990" i="29" a="1"/>
  <c r="F990" i="29" s="1"/>
  <c r="F991" i="29" a="1"/>
  <c r="F991" i="29" s="1"/>
  <c r="F992" i="29" a="1"/>
  <c r="F992" i="29" s="1"/>
  <c r="F993" i="29" a="1"/>
  <c r="F993" i="29" s="1"/>
  <c r="F994" i="29" a="1"/>
  <c r="F994" i="29" s="1"/>
  <c r="F995" i="29" a="1"/>
  <c r="F995" i="29" s="1"/>
  <c r="F996" i="29" a="1"/>
  <c r="F996" i="29" s="1"/>
  <c r="F997" i="29" a="1"/>
  <c r="F997" i="29" s="1"/>
  <c r="F998" i="29" a="1"/>
  <c r="F998" i="29" s="1"/>
  <c r="F999" i="29" a="1"/>
  <c r="F999" i="29" s="1"/>
  <c r="F1000" i="29" a="1"/>
  <c r="F1000" i="29" s="1"/>
  <c r="F1001" i="29" a="1"/>
  <c r="F1001" i="29" s="1"/>
  <c r="F1002" i="29" a="1"/>
  <c r="F1002" i="29" s="1"/>
  <c r="F1003" i="29" a="1"/>
  <c r="F1003" i="29" s="1"/>
  <c r="F1004" i="29" a="1"/>
  <c r="F1004" i="29" s="1"/>
  <c r="F1005" i="29" a="1"/>
  <c r="F1005" i="29" s="1"/>
  <c r="F1006" i="29" a="1"/>
  <c r="F1006" i="29" s="1"/>
  <c r="F1007" i="29" a="1"/>
  <c r="F1007" i="29" s="1"/>
  <c r="F1008" i="29" a="1"/>
  <c r="F1008" i="29" s="1"/>
  <c r="F1009" i="29" a="1"/>
  <c r="F1009" i="29" s="1"/>
  <c r="F1010" i="29" a="1"/>
  <c r="F1010" i="29" s="1"/>
  <c r="F1011" i="29" a="1"/>
  <c r="F1011" i="29" s="1"/>
  <c r="F1012" i="29" a="1"/>
  <c r="F1012" i="29" s="1"/>
  <c r="F1013" i="29" a="1"/>
  <c r="F1013" i="29" s="1"/>
  <c r="F1014" i="29" a="1"/>
  <c r="F1014" i="29" s="1"/>
  <c r="F1015" i="29" a="1"/>
  <c r="F1015" i="29" s="1"/>
  <c r="F1016" i="29" a="1"/>
  <c r="F1016" i="29" s="1"/>
  <c r="F1017" i="29" a="1"/>
  <c r="F1017" i="29" s="1"/>
  <c r="F1018" i="29" a="1"/>
  <c r="F1018" i="29" s="1"/>
  <c r="F1019" i="29" a="1"/>
  <c r="F1019" i="29" s="1"/>
  <c r="F1020" i="29" a="1"/>
  <c r="F1020" i="29" s="1"/>
  <c r="F1021" i="29" a="1"/>
  <c r="F1021" i="29" s="1"/>
  <c r="F1022" i="29" a="1"/>
  <c r="F1022" i="29" s="1"/>
  <c r="F1023" i="29" a="1"/>
  <c r="F1023" i="29" s="1"/>
  <c r="F1024" i="29" a="1"/>
  <c r="F1024" i="29" s="1"/>
  <c r="F1025" i="29" a="1"/>
  <c r="F1025" i="29" s="1"/>
  <c r="F1026" i="29" a="1"/>
  <c r="F1026" i="29" s="1"/>
  <c r="F1027" i="29" a="1"/>
  <c r="F1027" i="29" s="1"/>
  <c r="F1028" i="29" a="1"/>
  <c r="F1028" i="29" s="1"/>
  <c r="F2" i="29" a="1"/>
  <c r="F2" i="29" s="1"/>
  <c r="F3" i="25" a="1"/>
  <c r="F3" i="25" s="1"/>
  <c r="F4" i="25" a="1"/>
  <c r="F4" i="25" s="1"/>
  <c r="F5" i="25" a="1"/>
  <c r="F5" i="25" s="1"/>
  <c r="F6" i="25" a="1"/>
  <c r="F6" i="25" s="1"/>
  <c r="F7" i="25" a="1"/>
  <c r="F7" i="25" s="1"/>
  <c r="F8" i="25" a="1"/>
  <c r="F8" i="25" s="1"/>
  <c r="F9" i="25" a="1"/>
  <c r="F9" i="25" s="1"/>
  <c r="F10" i="25" a="1"/>
  <c r="F10" i="25" s="1"/>
  <c r="F11" i="25" a="1"/>
  <c r="F11" i="25" s="1"/>
  <c r="F12" i="25" a="1"/>
  <c r="F12" i="25" s="1"/>
  <c r="F13" i="25" a="1"/>
  <c r="F13" i="25" s="1"/>
  <c r="F14" i="25" a="1"/>
  <c r="F14" i="25" s="1"/>
  <c r="F15" i="25" a="1"/>
  <c r="F15" i="25" s="1"/>
  <c r="F16" i="25" a="1"/>
  <c r="F16" i="25" s="1"/>
  <c r="F17" i="25" a="1"/>
  <c r="F17" i="25" s="1"/>
  <c r="F18" i="25" a="1"/>
  <c r="F18" i="25" s="1"/>
  <c r="F19" i="25" a="1"/>
  <c r="F19" i="25" s="1"/>
  <c r="F20" i="25" a="1"/>
  <c r="F20" i="25" s="1"/>
  <c r="F21" i="25" a="1"/>
  <c r="F21" i="25" s="1"/>
  <c r="F22" i="25" a="1"/>
  <c r="F22" i="25" s="1"/>
  <c r="F23" i="25" a="1"/>
  <c r="F23" i="25" s="1"/>
  <c r="F24" i="25" a="1"/>
  <c r="F24" i="25" s="1"/>
  <c r="F25" i="25" a="1"/>
  <c r="F25" i="25" s="1"/>
  <c r="F26" i="25" a="1"/>
  <c r="F26" i="25" s="1"/>
  <c r="F27" i="25" a="1"/>
  <c r="F27" i="25" s="1"/>
  <c r="F28" i="25" a="1"/>
  <c r="F28" i="25" s="1"/>
  <c r="F29" i="25" a="1"/>
  <c r="F29" i="25" s="1"/>
  <c r="F30" i="25" a="1"/>
  <c r="F30" i="25" s="1"/>
  <c r="F31" i="25" a="1"/>
  <c r="F31" i="25" s="1"/>
  <c r="F32" i="25" a="1"/>
  <c r="F32" i="25" s="1"/>
  <c r="F33" i="25" a="1"/>
  <c r="F33" i="25" s="1"/>
  <c r="F34" i="25" a="1"/>
  <c r="F34" i="25" s="1"/>
  <c r="F35" i="25" a="1"/>
  <c r="F35" i="25" s="1"/>
  <c r="F36" i="25" a="1"/>
  <c r="F36" i="25" s="1"/>
  <c r="F37" i="25" a="1"/>
  <c r="F37" i="25" s="1"/>
  <c r="F38" i="25" a="1"/>
  <c r="F38" i="25" s="1"/>
  <c r="F39" i="25" a="1"/>
  <c r="F39" i="25" s="1"/>
  <c r="F40" i="25" a="1"/>
  <c r="F40" i="25" s="1"/>
  <c r="F41" i="25" a="1"/>
  <c r="F41" i="25" s="1"/>
  <c r="F42" i="25" a="1"/>
  <c r="F42" i="25" s="1"/>
  <c r="F43" i="25" a="1"/>
  <c r="F43" i="25" s="1"/>
  <c r="F44" i="25" a="1"/>
  <c r="F44" i="25" s="1"/>
  <c r="F45" i="25" a="1"/>
  <c r="F45" i="25" s="1"/>
  <c r="F46" i="25" a="1"/>
  <c r="F46" i="25" s="1"/>
  <c r="F47" i="25" a="1"/>
  <c r="F47" i="25" s="1"/>
  <c r="F48" i="25" a="1"/>
  <c r="F48" i="25" s="1"/>
  <c r="F49" i="25" a="1"/>
  <c r="F49" i="25" s="1"/>
  <c r="F50" i="25" a="1"/>
  <c r="F50" i="25" s="1"/>
  <c r="F51" i="25" a="1"/>
  <c r="F51" i="25" s="1"/>
  <c r="F52" i="25" a="1"/>
  <c r="F52" i="25" s="1"/>
  <c r="F53" i="25" a="1"/>
  <c r="F53" i="25" s="1"/>
  <c r="F54" i="25" a="1"/>
  <c r="F54" i="25" s="1"/>
  <c r="F55" i="25" a="1"/>
  <c r="F55" i="25" s="1"/>
  <c r="F56" i="25" a="1"/>
  <c r="F56" i="25" s="1"/>
  <c r="F57" i="25" a="1"/>
  <c r="F57" i="25" s="1"/>
  <c r="F58" i="25" a="1"/>
  <c r="F58" i="25" s="1"/>
  <c r="F59" i="25" a="1"/>
  <c r="F59" i="25" s="1"/>
  <c r="F60" i="25" a="1"/>
  <c r="F60" i="25" s="1"/>
  <c r="F61" i="25" a="1"/>
  <c r="F61" i="25" s="1"/>
  <c r="F62" i="25" a="1"/>
  <c r="F62" i="25" s="1"/>
  <c r="F63" i="25" a="1"/>
  <c r="F63" i="25" s="1"/>
  <c r="F64" i="25" a="1"/>
  <c r="F64" i="25" s="1"/>
  <c r="F65" i="25" a="1"/>
  <c r="F65" i="25" s="1"/>
  <c r="F66" i="25" a="1"/>
  <c r="F66" i="25" s="1"/>
  <c r="F67" i="25" a="1"/>
  <c r="F67" i="25" s="1"/>
  <c r="F68" i="25" a="1"/>
  <c r="F68" i="25" s="1"/>
  <c r="F69" i="25" a="1"/>
  <c r="F69" i="25" s="1"/>
  <c r="F70" i="25" a="1"/>
  <c r="F70" i="25" s="1"/>
  <c r="F71" i="25" a="1"/>
  <c r="F71" i="25" s="1"/>
  <c r="F72" i="25" a="1"/>
  <c r="F72" i="25" s="1"/>
  <c r="F73" i="25" a="1"/>
  <c r="F73" i="25" s="1"/>
  <c r="F74" i="25" a="1"/>
  <c r="F74" i="25" s="1"/>
  <c r="F75" i="25" a="1"/>
  <c r="F75" i="25" s="1"/>
  <c r="F76" i="25" a="1"/>
  <c r="F76" i="25" s="1"/>
  <c r="F77" i="25" a="1"/>
  <c r="F77" i="25" s="1"/>
  <c r="F78" i="25" a="1"/>
  <c r="F78" i="25" s="1"/>
  <c r="F79" i="25" a="1"/>
  <c r="F79" i="25" s="1"/>
  <c r="F80" i="25" a="1"/>
  <c r="F80" i="25" s="1"/>
  <c r="F81" i="25" a="1"/>
  <c r="F81" i="25" s="1"/>
  <c r="F82" i="25" a="1"/>
  <c r="F82" i="25" s="1"/>
  <c r="F83" i="25" a="1"/>
  <c r="F83" i="25" s="1"/>
  <c r="F84" i="25" a="1"/>
  <c r="F84" i="25" s="1"/>
  <c r="F85" i="25" a="1"/>
  <c r="F85" i="25" s="1"/>
  <c r="F86" i="25" a="1"/>
  <c r="F86" i="25" s="1"/>
  <c r="F87" i="25" a="1"/>
  <c r="F87" i="25" s="1"/>
  <c r="F88" i="25" a="1"/>
  <c r="F88" i="25" s="1"/>
  <c r="F89" i="25" a="1"/>
  <c r="F89" i="25" s="1"/>
  <c r="F90" i="25" a="1"/>
  <c r="F90" i="25" s="1"/>
  <c r="F91" i="25" a="1"/>
  <c r="F91" i="25" s="1"/>
  <c r="F92" i="25" a="1"/>
  <c r="F92" i="25" s="1"/>
  <c r="F93" i="25" a="1"/>
  <c r="F93" i="25" s="1"/>
  <c r="F94" i="25" a="1"/>
  <c r="F94" i="25" s="1"/>
  <c r="F95" i="25" a="1"/>
  <c r="F95" i="25" s="1"/>
  <c r="F96" i="25" a="1"/>
  <c r="F96" i="25" s="1"/>
  <c r="F97" i="25" a="1"/>
  <c r="F97" i="25" s="1"/>
  <c r="F98" i="25" a="1"/>
  <c r="F98" i="25" s="1"/>
  <c r="F99" i="25" a="1"/>
  <c r="F99" i="25" s="1"/>
  <c r="F100" i="25" a="1"/>
  <c r="F100" i="25" s="1"/>
  <c r="F101" i="25" a="1"/>
  <c r="F101" i="25" s="1"/>
  <c r="F102" i="25" a="1"/>
  <c r="F102" i="25" s="1"/>
  <c r="F103" i="25" a="1"/>
  <c r="F103" i="25" s="1"/>
  <c r="F104" i="25" a="1"/>
  <c r="F104" i="25" s="1"/>
  <c r="F105" i="25" a="1"/>
  <c r="F105" i="25" s="1"/>
  <c r="F106" i="25" a="1"/>
  <c r="F106" i="25" s="1"/>
  <c r="F107" i="25" a="1"/>
  <c r="F107" i="25" s="1"/>
  <c r="F108" i="25" a="1"/>
  <c r="F108" i="25" s="1"/>
  <c r="F109" i="25" a="1"/>
  <c r="F109" i="25" s="1"/>
  <c r="F110" i="25" a="1"/>
  <c r="F110" i="25" s="1"/>
  <c r="F111" i="25" a="1"/>
  <c r="F111" i="25" s="1"/>
  <c r="F112" i="25" a="1"/>
  <c r="F112" i="25" s="1"/>
  <c r="F113" i="25" a="1"/>
  <c r="F113" i="25" s="1"/>
  <c r="F114" i="25" a="1"/>
  <c r="F114" i="25" s="1"/>
  <c r="F115" i="25" a="1"/>
  <c r="F115" i="25" s="1"/>
  <c r="F116" i="25" a="1"/>
  <c r="F116" i="25" s="1"/>
  <c r="F117" i="25" a="1"/>
  <c r="F117" i="25" s="1"/>
  <c r="F118" i="25" a="1"/>
  <c r="F118" i="25" s="1"/>
  <c r="F119" i="25" a="1"/>
  <c r="F119" i="25" s="1"/>
  <c r="F120" i="25" a="1"/>
  <c r="F120" i="25" s="1"/>
  <c r="F121" i="25" a="1"/>
  <c r="F121" i="25" s="1"/>
  <c r="F122" i="25" a="1"/>
  <c r="F122" i="25" s="1"/>
  <c r="F123" i="25" a="1"/>
  <c r="F123" i="25" s="1"/>
  <c r="F124" i="25" a="1"/>
  <c r="F124" i="25" s="1"/>
  <c r="F125" i="25" a="1"/>
  <c r="F125" i="25" s="1"/>
  <c r="F126" i="25" a="1"/>
  <c r="F126" i="25" s="1"/>
  <c r="F127" i="25" a="1"/>
  <c r="F127" i="25" s="1"/>
  <c r="F128" i="25" a="1"/>
  <c r="F128" i="25" s="1"/>
  <c r="F129" i="25" a="1"/>
  <c r="F129" i="25" s="1"/>
  <c r="F130" i="25" a="1"/>
  <c r="F130" i="25" s="1"/>
  <c r="F131" i="25" a="1"/>
  <c r="F131" i="25" s="1"/>
  <c r="F132" i="25" a="1"/>
  <c r="F132" i="25" s="1"/>
  <c r="F133" i="25" a="1"/>
  <c r="F133" i="25" s="1"/>
  <c r="F134" i="25" a="1"/>
  <c r="F134" i="25" s="1"/>
  <c r="F135" i="25" a="1"/>
  <c r="F135" i="25" s="1"/>
  <c r="F136" i="25" a="1"/>
  <c r="F136" i="25" s="1"/>
  <c r="F137" i="25" a="1"/>
  <c r="F137" i="25" s="1"/>
  <c r="F138" i="25" a="1"/>
  <c r="F138" i="25" s="1"/>
  <c r="F139" i="25" a="1"/>
  <c r="F139" i="25" s="1"/>
  <c r="F140" i="25" a="1"/>
  <c r="F140" i="25" s="1"/>
  <c r="F141" i="25" a="1"/>
  <c r="F141" i="25" s="1"/>
  <c r="F142" i="25" a="1"/>
  <c r="F142" i="25" s="1"/>
  <c r="F143" i="25" a="1"/>
  <c r="F143" i="25" s="1"/>
  <c r="F144" i="25" a="1"/>
  <c r="F144" i="25" s="1"/>
  <c r="F145" i="25" a="1"/>
  <c r="F145" i="25" s="1"/>
  <c r="F146" i="25" a="1"/>
  <c r="F146" i="25" s="1"/>
  <c r="F147" i="25" a="1"/>
  <c r="F147" i="25" s="1"/>
  <c r="F148" i="25" a="1"/>
  <c r="F148" i="25" s="1"/>
  <c r="F149" i="25" a="1"/>
  <c r="F149" i="25" s="1"/>
  <c r="F150" i="25" a="1"/>
  <c r="F150" i="25" s="1"/>
  <c r="F151" i="25" a="1"/>
  <c r="F151" i="25" s="1"/>
  <c r="F152" i="25" a="1"/>
  <c r="F152" i="25" s="1"/>
  <c r="F153" i="25" a="1"/>
  <c r="F153" i="25" s="1"/>
  <c r="F154" i="25" a="1"/>
  <c r="F154" i="25" s="1"/>
  <c r="F155" i="25" a="1"/>
  <c r="F155" i="25" s="1"/>
  <c r="F156" i="25" a="1"/>
  <c r="F156" i="25" s="1"/>
  <c r="F157" i="25" a="1"/>
  <c r="F157" i="25" s="1"/>
  <c r="F158" i="25" a="1"/>
  <c r="F158" i="25" s="1"/>
  <c r="F159" i="25" a="1"/>
  <c r="F159" i="25" s="1"/>
  <c r="F160" i="25" a="1"/>
  <c r="F160" i="25" s="1"/>
  <c r="F161" i="25" a="1"/>
  <c r="F161" i="25" s="1"/>
  <c r="F162" i="25" a="1"/>
  <c r="F162" i="25" s="1"/>
  <c r="F163" i="25" a="1"/>
  <c r="F163" i="25" s="1"/>
  <c r="F164" i="25" a="1"/>
  <c r="F164" i="25" s="1"/>
  <c r="F165" i="25" a="1"/>
  <c r="F165" i="25" s="1"/>
  <c r="F166" i="25" a="1"/>
  <c r="F166" i="25" s="1"/>
  <c r="F167" i="25" a="1"/>
  <c r="F167" i="25" s="1"/>
  <c r="F168" i="25" a="1"/>
  <c r="F168" i="25" s="1"/>
  <c r="F169" i="25" a="1"/>
  <c r="F169" i="25" s="1"/>
  <c r="F170" i="25" a="1"/>
  <c r="F170" i="25" s="1"/>
  <c r="F171" i="25" a="1"/>
  <c r="F171" i="25" s="1"/>
  <c r="F172" i="25" a="1"/>
  <c r="F172" i="25" s="1"/>
  <c r="F173" i="25" a="1"/>
  <c r="F173" i="25" s="1"/>
  <c r="F174" i="25" a="1"/>
  <c r="F174" i="25" s="1"/>
  <c r="F175" i="25" a="1"/>
  <c r="F175" i="25" s="1"/>
  <c r="F176" i="25" a="1"/>
  <c r="F176" i="25" s="1"/>
  <c r="F177" i="25" a="1"/>
  <c r="F177" i="25" s="1"/>
  <c r="F178" i="25" a="1"/>
  <c r="F178" i="25" s="1"/>
  <c r="F179" i="25" a="1"/>
  <c r="F179" i="25" s="1"/>
  <c r="F180" i="25" a="1"/>
  <c r="F180" i="25" s="1"/>
  <c r="F181" i="25" a="1"/>
  <c r="F181" i="25" s="1"/>
  <c r="F182" i="25" a="1"/>
  <c r="F182" i="25" s="1"/>
  <c r="F183" i="25" a="1"/>
  <c r="F183" i="25" s="1"/>
  <c r="F184" i="25" a="1"/>
  <c r="F184" i="25" s="1"/>
  <c r="F185" i="25" a="1"/>
  <c r="F185" i="25" s="1"/>
  <c r="F186" i="25" a="1"/>
  <c r="F186" i="25" s="1"/>
  <c r="F187" i="25" a="1"/>
  <c r="F187" i="25" s="1"/>
  <c r="F188" i="25" a="1"/>
  <c r="F188" i="25" s="1"/>
  <c r="F189" i="25" a="1"/>
  <c r="F189" i="25" s="1"/>
  <c r="F190" i="25" a="1"/>
  <c r="F190" i="25" s="1"/>
  <c r="F191" i="25" a="1"/>
  <c r="F191" i="25" s="1"/>
  <c r="F192" i="25" a="1"/>
  <c r="F192" i="25" s="1"/>
  <c r="F193" i="25" a="1"/>
  <c r="F193" i="25" s="1"/>
  <c r="F194" i="25" a="1"/>
  <c r="F194" i="25" s="1"/>
  <c r="F195" i="25" a="1"/>
  <c r="F195" i="25" s="1"/>
  <c r="F196" i="25" a="1"/>
  <c r="F196" i="25" s="1"/>
  <c r="F197" i="25" a="1"/>
  <c r="F197" i="25" s="1"/>
  <c r="F198" i="25" a="1"/>
  <c r="F198" i="25" s="1"/>
  <c r="F199" i="25" a="1"/>
  <c r="F199" i="25" s="1"/>
  <c r="F200" i="25" a="1"/>
  <c r="F200" i="25" s="1"/>
  <c r="F201" i="25" a="1"/>
  <c r="F201" i="25" s="1"/>
  <c r="F202" i="25" a="1"/>
  <c r="F202" i="25" s="1"/>
  <c r="F203" i="25" a="1"/>
  <c r="F203" i="25" s="1"/>
  <c r="F204" i="25" a="1"/>
  <c r="F204" i="25" s="1"/>
  <c r="F205" i="25" a="1"/>
  <c r="F205" i="25" s="1"/>
  <c r="F206" i="25" a="1"/>
  <c r="F206" i="25" s="1"/>
  <c r="F207" i="25" a="1"/>
  <c r="F207" i="25" s="1"/>
  <c r="F208" i="25" a="1"/>
  <c r="F208" i="25" s="1"/>
  <c r="F209" i="25" a="1"/>
  <c r="F209" i="25" s="1"/>
  <c r="F210" i="25" a="1"/>
  <c r="F210" i="25" s="1"/>
  <c r="F211" i="25" a="1"/>
  <c r="F211" i="25" s="1"/>
  <c r="F212" i="25" a="1"/>
  <c r="F212" i="25" s="1"/>
  <c r="F213" i="25" a="1"/>
  <c r="F213" i="25" s="1"/>
  <c r="F214" i="25" a="1"/>
  <c r="F214" i="25" s="1"/>
  <c r="F215" i="25" a="1"/>
  <c r="F215" i="25" s="1"/>
  <c r="F216" i="25" a="1"/>
  <c r="F216" i="25" s="1"/>
  <c r="F217" i="25" a="1"/>
  <c r="F217" i="25" s="1"/>
  <c r="F218" i="25" a="1"/>
  <c r="F218" i="25" s="1"/>
  <c r="F219" i="25" a="1"/>
  <c r="F219" i="25" s="1"/>
  <c r="F220" i="25" a="1"/>
  <c r="F220" i="25" s="1"/>
  <c r="F221" i="25" a="1"/>
  <c r="F221" i="25" s="1"/>
  <c r="F222" i="25" a="1"/>
  <c r="F222" i="25" s="1"/>
  <c r="F223" i="25" a="1"/>
  <c r="F223" i="25" s="1"/>
  <c r="F224" i="25" a="1"/>
  <c r="F224" i="25" s="1"/>
  <c r="F225" i="25" a="1"/>
  <c r="F225" i="25" s="1"/>
  <c r="F226" i="25" a="1"/>
  <c r="F226" i="25" s="1"/>
  <c r="F227" i="25" a="1"/>
  <c r="F227" i="25" s="1"/>
  <c r="F228" i="25" a="1"/>
  <c r="F228" i="25" s="1"/>
  <c r="F229" i="25" a="1"/>
  <c r="F229" i="25" s="1"/>
  <c r="F230" i="25" a="1"/>
  <c r="F230" i="25" s="1"/>
  <c r="F231" i="25" a="1"/>
  <c r="F231" i="25" s="1"/>
  <c r="F232" i="25" a="1"/>
  <c r="F232" i="25" s="1"/>
  <c r="F233" i="25" a="1"/>
  <c r="F233" i="25" s="1"/>
  <c r="F234" i="25" a="1"/>
  <c r="F234" i="25" s="1"/>
  <c r="F235" i="25" a="1"/>
  <c r="F235" i="25" s="1"/>
  <c r="F236" i="25" a="1"/>
  <c r="F236" i="25" s="1"/>
  <c r="F237" i="25" a="1"/>
  <c r="F237" i="25" s="1"/>
  <c r="F238" i="25" a="1"/>
  <c r="F238" i="25" s="1"/>
  <c r="F239" i="25" a="1"/>
  <c r="F239" i="25" s="1"/>
  <c r="F240" i="25" a="1"/>
  <c r="F240" i="25" s="1"/>
  <c r="F241" i="25" a="1"/>
  <c r="F241" i="25" s="1"/>
  <c r="F242" i="25" a="1"/>
  <c r="F242" i="25" s="1"/>
  <c r="F243" i="25" a="1"/>
  <c r="F243" i="25" s="1"/>
  <c r="F244" i="25" a="1"/>
  <c r="F244" i="25" s="1"/>
  <c r="F245" i="25" a="1"/>
  <c r="F245" i="25" s="1"/>
  <c r="F246" i="25" a="1"/>
  <c r="F246" i="25" s="1"/>
  <c r="F247" i="25" a="1"/>
  <c r="F247" i="25" s="1"/>
  <c r="F248" i="25" a="1"/>
  <c r="F248" i="25" s="1"/>
  <c r="F249" i="25" a="1"/>
  <c r="F249" i="25" s="1"/>
  <c r="F250" i="25" a="1"/>
  <c r="F250" i="25" s="1"/>
  <c r="F251" i="25" a="1"/>
  <c r="F251" i="25" s="1"/>
  <c r="F252" i="25" a="1"/>
  <c r="F252" i="25" s="1"/>
  <c r="F253" i="25" a="1"/>
  <c r="F253" i="25" s="1"/>
  <c r="F254" i="25" a="1"/>
  <c r="F254" i="25" s="1"/>
  <c r="F255" i="25" a="1"/>
  <c r="F255" i="25" s="1"/>
  <c r="F256" i="25" a="1"/>
  <c r="F256" i="25" s="1"/>
  <c r="F257" i="25" a="1"/>
  <c r="F257" i="25" s="1"/>
  <c r="F258" i="25" a="1"/>
  <c r="F258" i="25" s="1"/>
  <c r="F259" i="25" a="1"/>
  <c r="F259" i="25" s="1"/>
  <c r="F260" i="25" a="1"/>
  <c r="F260" i="25" s="1"/>
  <c r="F261" i="25" a="1"/>
  <c r="F261" i="25" s="1"/>
  <c r="F262" i="25" a="1"/>
  <c r="F262" i="25" s="1"/>
  <c r="F263" i="25" a="1"/>
  <c r="F263" i="25" s="1"/>
  <c r="F264" i="25" a="1"/>
  <c r="F264" i="25" s="1"/>
  <c r="F265" i="25" a="1"/>
  <c r="F265" i="25" s="1"/>
  <c r="F266" i="25" a="1"/>
  <c r="F266" i="25" s="1"/>
  <c r="F267" i="25" a="1"/>
  <c r="F267" i="25" s="1"/>
  <c r="F268" i="25" a="1"/>
  <c r="F268" i="25" s="1"/>
  <c r="F269" i="25" a="1"/>
  <c r="F269" i="25" s="1"/>
  <c r="F270" i="25" a="1"/>
  <c r="F270" i="25" s="1"/>
  <c r="F271" i="25" a="1"/>
  <c r="F271" i="25" s="1"/>
  <c r="F272" i="25" a="1"/>
  <c r="F272" i="25" s="1"/>
  <c r="F273" i="25" a="1"/>
  <c r="F273" i="25" s="1"/>
  <c r="F274" i="25" a="1"/>
  <c r="F274" i="25" s="1"/>
  <c r="F275" i="25" a="1"/>
  <c r="F275" i="25" s="1"/>
  <c r="F276" i="25" a="1"/>
  <c r="F276" i="25" s="1"/>
  <c r="F277" i="25" a="1"/>
  <c r="F277" i="25" s="1"/>
  <c r="F278" i="25" a="1"/>
  <c r="F278" i="25" s="1"/>
  <c r="F279" i="25" a="1"/>
  <c r="F279" i="25" s="1"/>
  <c r="F280" i="25" a="1"/>
  <c r="F280" i="25" s="1"/>
  <c r="F281" i="25" a="1"/>
  <c r="F281" i="25" s="1"/>
  <c r="F282" i="25" a="1"/>
  <c r="F282" i="25" s="1"/>
  <c r="F283" i="25" a="1"/>
  <c r="F283" i="25" s="1"/>
  <c r="F284" i="25" a="1"/>
  <c r="F284" i="25" s="1"/>
  <c r="F285" i="25" a="1"/>
  <c r="F285" i="25" s="1"/>
  <c r="F286" i="25" a="1"/>
  <c r="F286" i="25" s="1"/>
  <c r="F287" i="25" a="1"/>
  <c r="F287" i="25" s="1"/>
  <c r="F288" i="25" a="1"/>
  <c r="F288" i="25" s="1"/>
  <c r="F289" i="25" a="1"/>
  <c r="F289" i="25" s="1"/>
  <c r="F290" i="25" a="1"/>
  <c r="F290" i="25" s="1"/>
  <c r="F291" i="25" a="1"/>
  <c r="F291" i="25" s="1"/>
  <c r="F292" i="25" a="1"/>
  <c r="F292" i="25" s="1"/>
  <c r="F293" i="25" a="1"/>
  <c r="F293" i="25" s="1"/>
  <c r="F294" i="25" a="1"/>
  <c r="F294" i="25" s="1"/>
  <c r="F295" i="25" a="1"/>
  <c r="F295" i="25" s="1"/>
  <c r="F296" i="25" a="1"/>
  <c r="F296" i="25" s="1"/>
  <c r="F297" i="25" a="1"/>
  <c r="F297" i="25" s="1"/>
  <c r="F298" i="25" a="1"/>
  <c r="F298" i="25" s="1"/>
  <c r="F299" i="25" a="1"/>
  <c r="F299" i="25" s="1"/>
  <c r="F300" i="25" a="1"/>
  <c r="F300" i="25" s="1"/>
  <c r="F301" i="25" a="1"/>
  <c r="F301" i="25" s="1"/>
  <c r="F302" i="25" a="1"/>
  <c r="F302" i="25" s="1"/>
  <c r="F303" i="25" a="1"/>
  <c r="F303" i="25" s="1"/>
  <c r="F304" i="25" a="1"/>
  <c r="F304" i="25" s="1"/>
  <c r="F305" i="25" a="1"/>
  <c r="F305" i="25" s="1"/>
  <c r="F306" i="25" a="1"/>
  <c r="F306" i="25" s="1"/>
  <c r="F307" i="25" a="1"/>
  <c r="F307" i="25" s="1"/>
  <c r="F308" i="25" a="1"/>
  <c r="F308" i="25" s="1"/>
  <c r="F309" i="25" a="1"/>
  <c r="F309" i="25" s="1"/>
  <c r="F310" i="25" a="1"/>
  <c r="F310" i="25" s="1"/>
  <c r="F311" i="25" a="1"/>
  <c r="F311" i="25" s="1"/>
  <c r="F312" i="25" a="1"/>
  <c r="F312" i="25" s="1"/>
  <c r="F313" i="25" a="1"/>
  <c r="F313" i="25" s="1"/>
  <c r="F314" i="25" a="1"/>
  <c r="F314" i="25" s="1"/>
  <c r="F315" i="25" a="1"/>
  <c r="F315" i="25" s="1"/>
  <c r="F316" i="25" a="1"/>
  <c r="F316" i="25" s="1"/>
  <c r="F317" i="25" a="1"/>
  <c r="F317" i="25" s="1"/>
  <c r="F318" i="25" a="1"/>
  <c r="F318" i="25" s="1"/>
  <c r="F319" i="25" a="1"/>
  <c r="F319" i="25" s="1"/>
  <c r="F320" i="25" a="1"/>
  <c r="F320" i="25" s="1"/>
  <c r="F321" i="25" a="1"/>
  <c r="F321" i="25" s="1"/>
  <c r="F322" i="25" a="1"/>
  <c r="F322" i="25" s="1"/>
  <c r="F323" i="25" a="1"/>
  <c r="F323" i="25" s="1"/>
  <c r="F324" i="25" a="1"/>
  <c r="F324" i="25" s="1"/>
  <c r="F325" i="25" a="1"/>
  <c r="F325" i="25" s="1"/>
  <c r="F326" i="25" a="1"/>
  <c r="F326" i="25" s="1"/>
  <c r="F327" i="25" a="1"/>
  <c r="F327" i="25" s="1"/>
  <c r="F328" i="25" a="1"/>
  <c r="F328" i="25" s="1"/>
  <c r="F329" i="25" a="1"/>
  <c r="F329" i="25" s="1"/>
  <c r="F330" i="25" a="1"/>
  <c r="F330" i="25" s="1"/>
  <c r="F331" i="25" a="1"/>
  <c r="F331" i="25" s="1"/>
  <c r="F332" i="25" a="1"/>
  <c r="F332" i="25" s="1"/>
  <c r="F333" i="25" a="1"/>
  <c r="F333" i="25" s="1"/>
  <c r="F334" i="25" a="1"/>
  <c r="F334" i="25" s="1"/>
  <c r="F335" i="25" a="1"/>
  <c r="F335" i="25" s="1"/>
  <c r="F336" i="25" a="1"/>
  <c r="F336" i="25" s="1"/>
  <c r="F337" i="25" a="1"/>
  <c r="F337" i="25" s="1"/>
  <c r="F338" i="25" a="1"/>
  <c r="F338" i="25" s="1"/>
  <c r="F339" i="25" a="1"/>
  <c r="F339" i="25" s="1"/>
  <c r="F340" i="25" a="1"/>
  <c r="F340" i="25" s="1"/>
  <c r="F341" i="25" a="1"/>
  <c r="F341" i="25" s="1"/>
  <c r="F342" i="25" a="1"/>
  <c r="F342" i="25" s="1"/>
  <c r="F343" i="25" a="1"/>
  <c r="F343" i="25" s="1"/>
  <c r="F344" i="25" a="1"/>
  <c r="F344" i="25" s="1"/>
  <c r="F345" i="25" a="1"/>
  <c r="F345" i="25" s="1"/>
  <c r="F346" i="25" a="1"/>
  <c r="F346" i="25" s="1"/>
  <c r="F347" i="25" a="1"/>
  <c r="F347" i="25" s="1"/>
  <c r="F348" i="25" a="1"/>
  <c r="F348" i="25" s="1"/>
  <c r="F349" i="25" a="1"/>
  <c r="F349" i="25" s="1"/>
  <c r="F350" i="25" a="1"/>
  <c r="F350" i="25" s="1"/>
  <c r="F351" i="25" a="1"/>
  <c r="F351" i="25" s="1"/>
  <c r="F352" i="25" a="1"/>
  <c r="F352" i="25" s="1"/>
  <c r="F353" i="25" a="1"/>
  <c r="F353" i="25" s="1"/>
  <c r="F354" i="25" a="1"/>
  <c r="F354" i="25" s="1"/>
  <c r="F355" i="25" a="1"/>
  <c r="F355" i="25" s="1"/>
  <c r="F356" i="25" a="1"/>
  <c r="F356" i="25" s="1"/>
  <c r="F357" i="25" a="1"/>
  <c r="F357" i="25" s="1"/>
  <c r="F358" i="25" a="1"/>
  <c r="F358" i="25" s="1"/>
  <c r="F359" i="25" a="1"/>
  <c r="F359" i="25" s="1"/>
  <c r="F360" i="25" a="1"/>
  <c r="F360" i="25" s="1"/>
  <c r="F361" i="25" a="1"/>
  <c r="F361" i="25" s="1"/>
  <c r="F362" i="25" a="1"/>
  <c r="F362" i="25" s="1"/>
  <c r="F363" i="25" a="1"/>
  <c r="F363" i="25" s="1"/>
  <c r="F364" i="25" a="1"/>
  <c r="F364" i="25" s="1"/>
  <c r="F365" i="25" a="1"/>
  <c r="F365" i="25" s="1"/>
  <c r="F366" i="25" a="1"/>
  <c r="F366" i="25" s="1"/>
  <c r="F367" i="25" a="1"/>
  <c r="F367" i="25" s="1"/>
  <c r="F368" i="25" a="1"/>
  <c r="F368" i="25" s="1"/>
  <c r="F369" i="25" a="1"/>
  <c r="F369" i="25" s="1"/>
  <c r="F370" i="25" a="1"/>
  <c r="F370" i="25" s="1"/>
  <c r="F371" i="25" a="1"/>
  <c r="F371" i="25" s="1"/>
  <c r="F372" i="25" a="1"/>
  <c r="F372" i="25" s="1"/>
  <c r="F373" i="25" a="1"/>
  <c r="F373" i="25" s="1"/>
  <c r="F374" i="25" a="1"/>
  <c r="F374" i="25" s="1"/>
  <c r="F375" i="25" a="1"/>
  <c r="F375" i="25" s="1"/>
  <c r="F376" i="25" a="1"/>
  <c r="F376" i="25" s="1"/>
  <c r="F377" i="25" a="1"/>
  <c r="F377" i="25" s="1"/>
  <c r="F378" i="25" a="1"/>
  <c r="F378" i="25" s="1"/>
  <c r="F379" i="25" a="1"/>
  <c r="F379" i="25" s="1"/>
  <c r="F380" i="25" a="1"/>
  <c r="F380" i="25" s="1"/>
  <c r="F381" i="25" a="1"/>
  <c r="F381" i="25" s="1"/>
  <c r="F382" i="25" a="1"/>
  <c r="F382" i="25" s="1"/>
  <c r="F383" i="25" a="1"/>
  <c r="F383" i="25" s="1"/>
  <c r="F384" i="25" a="1"/>
  <c r="F384" i="25" s="1"/>
  <c r="F385" i="25" a="1"/>
  <c r="F385" i="25" s="1"/>
  <c r="F386" i="25" a="1"/>
  <c r="F386" i="25" s="1"/>
  <c r="F387" i="25" a="1"/>
  <c r="F387" i="25" s="1"/>
  <c r="F388" i="25" a="1"/>
  <c r="F388" i="25" s="1"/>
  <c r="F389" i="25" a="1"/>
  <c r="F389" i="25" s="1"/>
  <c r="F390" i="25" a="1"/>
  <c r="F390" i="25" s="1"/>
  <c r="F391" i="25" a="1"/>
  <c r="F391" i="25" s="1"/>
  <c r="F392" i="25" a="1"/>
  <c r="F392" i="25" s="1"/>
  <c r="F393" i="25" a="1"/>
  <c r="F393" i="25" s="1"/>
  <c r="F394" i="25" a="1"/>
  <c r="F394" i="25" s="1"/>
  <c r="F395" i="25" a="1"/>
  <c r="F395" i="25" s="1"/>
  <c r="F396" i="25" a="1"/>
  <c r="F396" i="25" s="1"/>
  <c r="F397" i="25" a="1"/>
  <c r="F397" i="25" s="1"/>
  <c r="F398" i="25" a="1"/>
  <c r="F398" i="25" s="1"/>
  <c r="F399" i="25" a="1"/>
  <c r="F399" i="25" s="1"/>
  <c r="F400" i="25" a="1"/>
  <c r="F400" i="25" s="1"/>
  <c r="F401" i="25" a="1"/>
  <c r="F401" i="25" s="1"/>
  <c r="F402" i="25" a="1"/>
  <c r="F402" i="25" s="1"/>
  <c r="F403" i="25" a="1"/>
  <c r="F403" i="25" s="1"/>
  <c r="F404" i="25" a="1"/>
  <c r="F404" i="25" s="1"/>
  <c r="F405" i="25" a="1"/>
  <c r="F405" i="25" s="1"/>
  <c r="F406" i="25" a="1"/>
  <c r="F406" i="25" s="1"/>
  <c r="F407" i="25" a="1"/>
  <c r="F407" i="25" s="1"/>
  <c r="F408" i="25" a="1"/>
  <c r="F408" i="25" s="1"/>
  <c r="F409" i="25" a="1"/>
  <c r="F409" i="25" s="1"/>
  <c r="F410" i="25" a="1"/>
  <c r="F410" i="25" s="1"/>
  <c r="F411" i="25" a="1"/>
  <c r="F411" i="25" s="1"/>
  <c r="F412" i="25" a="1"/>
  <c r="F412" i="25" s="1"/>
  <c r="F413" i="25" a="1"/>
  <c r="F413" i="25" s="1"/>
  <c r="F414" i="25" a="1"/>
  <c r="F414" i="25" s="1"/>
  <c r="F415" i="25" a="1"/>
  <c r="F415" i="25" s="1"/>
  <c r="F416" i="25" a="1"/>
  <c r="F416" i="25" s="1"/>
  <c r="F417" i="25" a="1"/>
  <c r="F417" i="25" s="1"/>
  <c r="F418" i="25" a="1"/>
  <c r="F418" i="25" s="1"/>
  <c r="F419" i="25" a="1"/>
  <c r="F419" i="25" s="1"/>
  <c r="F420" i="25" a="1"/>
  <c r="F420" i="25" s="1"/>
  <c r="F421" i="25" a="1"/>
  <c r="F421" i="25" s="1"/>
  <c r="F422" i="25" a="1"/>
  <c r="F422" i="25" s="1"/>
  <c r="F423" i="25" a="1"/>
  <c r="F423" i="25" s="1"/>
  <c r="F424" i="25" a="1"/>
  <c r="F424" i="25" s="1"/>
  <c r="F425" i="25" a="1"/>
  <c r="F425" i="25" s="1"/>
  <c r="F426" i="25" a="1"/>
  <c r="F426" i="25" s="1"/>
  <c r="F427" i="25" a="1"/>
  <c r="F427" i="25" s="1"/>
  <c r="F428" i="25" a="1"/>
  <c r="F428" i="25" s="1"/>
  <c r="F429" i="25" a="1"/>
  <c r="F429" i="25" s="1"/>
  <c r="F430" i="25" a="1"/>
  <c r="F430" i="25" s="1"/>
  <c r="F431" i="25" a="1"/>
  <c r="F431" i="25" s="1"/>
  <c r="F432" i="25" a="1"/>
  <c r="F432" i="25" s="1"/>
  <c r="F433" i="25" a="1"/>
  <c r="F433" i="25" s="1"/>
  <c r="F434" i="25" a="1"/>
  <c r="F434" i="25" s="1"/>
  <c r="F435" i="25" a="1"/>
  <c r="F435" i="25" s="1"/>
  <c r="F436" i="25" a="1"/>
  <c r="F436" i="25" s="1"/>
  <c r="F437" i="25" a="1"/>
  <c r="F437" i="25" s="1"/>
  <c r="F438" i="25" a="1"/>
  <c r="F438" i="25" s="1"/>
  <c r="F439" i="25" a="1"/>
  <c r="F439" i="25" s="1"/>
  <c r="F440" i="25" a="1"/>
  <c r="F440" i="25" s="1"/>
  <c r="F441" i="25" a="1"/>
  <c r="F441" i="25" s="1"/>
  <c r="F442" i="25" a="1"/>
  <c r="F442" i="25" s="1"/>
  <c r="F443" i="25" a="1"/>
  <c r="F443" i="25" s="1"/>
  <c r="F444" i="25" a="1"/>
  <c r="F444" i="25" s="1"/>
  <c r="F445" i="25" a="1"/>
  <c r="F445" i="25" s="1"/>
  <c r="F446" i="25" a="1"/>
  <c r="F446" i="25" s="1"/>
  <c r="F447" i="25" a="1"/>
  <c r="F447" i="25" s="1"/>
  <c r="F448" i="25" a="1"/>
  <c r="F448" i="25" s="1"/>
  <c r="F449" i="25" a="1"/>
  <c r="F449" i="25" s="1"/>
  <c r="F450" i="25" a="1"/>
  <c r="F450" i="25" s="1"/>
  <c r="F451" i="25" a="1"/>
  <c r="F451" i="25" s="1"/>
  <c r="F452" i="25" a="1"/>
  <c r="F452" i="25" s="1"/>
  <c r="F453" i="25" a="1"/>
  <c r="F453" i="25" s="1"/>
  <c r="F454" i="25" a="1"/>
  <c r="F454" i="25" s="1"/>
  <c r="F455" i="25" a="1"/>
  <c r="F455" i="25" s="1"/>
  <c r="F456" i="25" a="1"/>
  <c r="F456" i="25" s="1"/>
  <c r="F457" i="25" a="1"/>
  <c r="F457" i="25" s="1"/>
  <c r="F458" i="25" a="1"/>
  <c r="F458" i="25" s="1"/>
  <c r="F459" i="25" a="1"/>
  <c r="F459" i="25" s="1"/>
  <c r="F460" i="25" a="1"/>
  <c r="F460" i="25" s="1"/>
  <c r="F461" i="25" a="1"/>
  <c r="F461" i="25" s="1"/>
  <c r="F462" i="25" a="1"/>
  <c r="F462" i="25" s="1"/>
  <c r="F463" i="25" a="1"/>
  <c r="F463" i="25" s="1"/>
  <c r="F464" i="25" a="1"/>
  <c r="F464" i="25" s="1"/>
  <c r="F465" i="25" a="1"/>
  <c r="F465" i="25" s="1"/>
  <c r="F466" i="25" a="1"/>
  <c r="F466" i="25" s="1"/>
  <c r="F467" i="25" a="1"/>
  <c r="F467" i="25" s="1"/>
  <c r="F468" i="25" a="1"/>
  <c r="F468" i="25" s="1"/>
  <c r="F469" i="25" a="1"/>
  <c r="F469" i="25" s="1"/>
  <c r="F470" i="25" a="1"/>
  <c r="F470" i="25" s="1"/>
  <c r="F471" i="25" a="1"/>
  <c r="F471" i="25" s="1"/>
  <c r="F472" i="25" a="1"/>
  <c r="F472" i="25" s="1"/>
  <c r="F473" i="25" a="1"/>
  <c r="F473" i="25" s="1"/>
  <c r="F474" i="25" a="1"/>
  <c r="F474" i="25" s="1"/>
  <c r="F475" i="25" a="1"/>
  <c r="F475" i="25" s="1"/>
  <c r="F476" i="25" a="1"/>
  <c r="F476" i="25" s="1"/>
  <c r="F477" i="25" a="1"/>
  <c r="F477" i="25" s="1"/>
  <c r="F478" i="25" a="1"/>
  <c r="F478" i="25" s="1"/>
  <c r="F479" i="25" a="1"/>
  <c r="F479" i="25" s="1"/>
  <c r="F480" i="25" a="1"/>
  <c r="F480" i="25" s="1"/>
  <c r="F481" i="25" a="1"/>
  <c r="F481" i="25" s="1"/>
  <c r="F482" i="25" a="1"/>
  <c r="F482" i="25" s="1"/>
  <c r="F483" i="25" a="1"/>
  <c r="F483" i="25" s="1"/>
  <c r="F484" i="25" a="1"/>
  <c r="F484" i="25" s="1"/>
  <c r="F485" i="25" a="1"/>
  <c r="F485" i="25" s="1"/>
  <c r="F486" i="25" a="1"/>
  <c r="F486" i="25" s="1"/>
  <c r="F487" i="25" a="1"/>
  <c r="F487" i="25" s="1"/>
  <c r="F488" i="25" a="1"/>
  <c r="F488" i="25" s="1"/>
  <c r="F489" i="25" a="1"/>
  <c r="F489" i="25" s="1"/>
  <c r="F490" i="25" a="1"/>
  <c r="F490" i="25" s="1"/>
  <c r="F491" i="25" a="1"/>
  <c r="F491" i="25" s="1"/>
  <c r="F492" i="25" a="1"/>
  <c r="F492" i="25" s="1"/>
  <c r="F493" i="25" a="1"/>
  <c r="F493" i="25" s="1"/>
  <c r="F494" i="25" a="1"/>
  <c r="F494" i="25" s="1"/>
  <c r="F495" i="25" a="1"/>
  <c r="F495" i="25" s="1"/>
  <c r="F496" i="25" a="1"/>
  <c r="F496" i="25" s="1"/>
  <c r="F497" i="25" a="1"/>
  <c r="F497" i="25" s="1"/>
  <c r="F498" i="25" a="1"/>
  <c r="F498" i="25" s="1"/>
  <c r="F499" i="25" a="1"/>
  <c r="F499" i="25" s="1"/>
  <c r="F500" i="25" a="1"/>
  <c r="F500" i="25" s="1"/>
  <c r="F501" i="25" a="1"/>
  <c r="F501" i="25" s="1"/>
  <c r="F502" i="25" a="1"/>
  <c r="F502" i="25" s="1"/>
  <c r="F503" i="25" a="1"/>
  <c r="F503" i="25" s="1"/>
  <c r="F504" i="25" a="1"/>
  <c r="F504" i="25" s="1"/>
  <c r="F505" i="25" a="1"/>
  <c r="F505" i="25" s="1"/>
  <c r="F506" i="25" a="1"/>
  <c r="F506" i="25" s="1"/>
  <c r="F507" i="25" a="1"/>
  <c r="F507" i="25" s="1"/>
  <c r="F508" i="25" a="1"/>
  <c r="F508" i="25" s="1"/>
  <c r="F509" i="25" a="1"/>
  <c r="F509" i="25" s="1"/>
  <c r="F510" i="25" a="1"/>
  <c r="F510" i="25" s="1"/>
  <c r="F511" i="25" a="1"/>
  <c r="F511" i="25" s="1"/>
  <c r="F512" i="25" a="1"/>
  <c r="F512" i="25" s="1"/>
  <c r="F513" i="25" a="1"/>
  <c r="F513" i="25" s="1"/>
  <c r="F514" i="25" a="1"/>
  <c r="F514" i="25" s="1"/>
  <c r="F515" i="25" a="1"/>
  <c r="F515" i="25" s="1"/>
  <c r="F516" i="25" a="1"/>
  <c r="F516" i="25" s="1"/>
  <c r="F517" i="25" a="1"/>
  <c r="F517" i="25" s="1"/>
  <c r="F518" i="25" a="1"/>
  <c r="F518" i="25" s="1"/>
  <c r="F519" i="25" a="1"/>
  <c r="F519" i="25" s="1"/>
  <c r="F520" i="25" a="1"/>
  <c r="F520" i="25" s="1"/>
  <c r="F521" i="25" a="1"/>
  <c r="F521" i="25" s="1"/>
  <c r="F522" i="25" a="1"/>
  <c r="F522" i="25" s="1"/>
  <c r="F523" i="25" a="1"/>
  <c r="F523" i="25" s="1"/>
  <c r="F524" i="25" a="1"/>
  <c r="F524" i="25" s="1"/>
  <c r="F525" i="25" a="1"/>
  <c r="F525" i="25" s="1"/>
  <c r="F526" i="25" a="1"/>
  <c r="F526" i="25" s="1"/>
  <c r="F527" i="25" a="1"/>
  <c r="F527" i="25" s="1"/>
  <c r="F528" i="25" a="1"/>
  <c r="F528" i="25" s="1"/>
  <c r="F529" i="25" a="1"/>
  <c r="F529" i="25" s="1"/>
  <c r="F530" i="25" a="1"/>
  <c r="F530" i="25" s="1"/>
  <c r="F531" i="25" a="1"/>
  <c r="F531" i="25" s="1"/>
  <c r="F532" i="25" a="1"/>
  <c r="F532" i="25" s="1"/>
  <c r="F533" i="25" a="1"/>
  <c r="F533" i="25" s="1"/>
  <c r="F534" i="25" a="1"/>
  <c r="F534" i="25" s="1"/>
  <c r="F535" i="25" a="1"/>
  <c r="F535" i="25" s="1"/>
  <c r="F536" i="25" a="1"/>
  <c r="F536" i="25" s="1"/>
  <c r="F537" i="25" a="1"/>
  <c r="F537" i="25" s="1"/>
  <c r="F538" i="25" a="1"/>
  <c r="F538" i="25" s="1"/>
  <c r="F539" i="25" a="1"/>
  <c r="F539" i="25" s="1"/>
  <c r="F540" i="25" a="1"/>
  <c r="F540" i="25" s="1"/>
  <c r="F541" i="25" a="1"/>
  <c r="F541" i="25" s="1"/>
  <c r="F542" i="25" a="1"/>
  <c r="F542" i="25" s="1"/>
  <c r="F543" i="25" a="1"/>
  <c r="F543" i="25" s="1"/>
  <c r="F544" i="25" a="1"/>
  <c r="F544" i="25" s="1"/>
  <c r="F545" i="25" a="1"/>
  <c r="F545" i="25" s="1"/>
  <c r="F546" i="25" a="1"/>
  <c r="F546" i="25" s="1"/>
  <c r="F547" i="25" a="1"/>
  <c r="F547" i="25" s="1"/>
  <c r="F548" i="25" a="1"/>
  <c r="F548" i="25" s="1"/>
  <c r="F549" i="25" a="1"/>
  <c r="F549" i="25" s="1"/>
  <c r="F550" i="25" a="1"/>
  <c r="F550" i="25" s="1"/>
  <c r="F551" i="25" a="1"/>
  <c r="F551" i="25" s="1"/>
  <c r="F552" i="25" a="1"/>
  <c r="F552" i="25" s="1"/>
  <c r="F553" i="25" a="1"/>
  <c r="F553" i="25" s="1"/>
  <c r="F554" i="25" a="1"/>
  <c r="F554" i="25" s="1"/>
  <c r="F555" i="25" a="1"/>
  <c r="F555" i="25" s="1"/>
  <c r="F556" i="25" a="1"/>
  <c r="F556" i="25" s="1"/>
  <c r="F557" i="25" a="1"/>
  <c r="F557" i="25" s="1"/>
  <c r="F558" i="25" a="1"/>
  <c r="F558" i="25" s="1"/>
  <c r="F559" i="25" a="1"/>
  <c r="F559" i="25" s="1"/>
  <c r="F560" i="25" a="1"/>
  <c r="F560" i="25" s="1"/>
  <c r="F561" i="25" a="1"/>
  <c r="F561" i="25" s="1"/>
  <c r="F562" i="25" a="1"/>
  <c r="F562" i="25" s="1"/>
  <c r="F563" i="25" a="1"/>
  <c r="F563" i="25" s="1"/>
  <c r="F564" i="25" a="1"/>
  <c r="F564" i="25" s="1"/>
  <c r="F565" i="25" a="1"/>
  <c r="F565" i="25" s="1"/>
  <c r="F566" i="25" a="1"/>
  <c r="F566" i="25" s="1"/>
  <c r="F567" i="25" a="1"/>
  <c r="F567" i="25" s="1"/>
  <c r="F568" i="25" a="1"/>
  <c r="F568" i="25" s="1"/>
  <c r="F569" i="25" a="1"/>
  <c r="F569" i="25" s="1"/>
  <c r="F570" i="25" a="1"/>
  <c r="F570" i="25" s="1"/>
  <c r="F571" i="25" a="1"/>
  <c r="F571" i="25" s="1"/>
  <c r="F572" i="25" a="1"/>
  <c r="F572" i="25" s="1"/>
  <c r="F573" i="25" a="1"/>
  <c r="F573" i="25" s="1"/>
  <c r="F574" i="25" a="1"/>
  <c r="F574" i="25" s="1"/>
  <c r="F575" i="25" a="1"/>
  <c r="F575" i="25" s="1"/>
  <c r="F576" i="25" a="1"/>
  <c r="F576" i="25" s="1"/>
  <c r="F577" i="25" a="1"/>
  <c r="F577" i="25" s="1"/>
  <c r="F578" i="25" a="1"/>
  <c r="F578" i="25" s="1"/>
  <c r="F579" i="25" a="1"/>
  <c r="F579" i="25" s="1"/>
  <c r="F580" i="25" a="1"/>
  <c r="F580" i="25" s="1"/>
  <c r="F581" i="25" a="1"/>
  <c r="F581" i="25" s="1"/>
  <c r="F582" i="25" a="1"/>
  <c r="F582" i="25" s="1"/>
  <c r="F583" i="25" a="1"/>
  <c r="F583" i="25" s="1"/>
  <c r="F584" i="25" a="1"/>
  <c r="F584" i="25" s="1"/>
  <c r="F585" i="25" a="1"/>
  <c r="F585" i="25" s="1"/>
  <c r="F586" i="25" a="1"/>
  <c r="F586" i="25" s="1"/>
  <c r="F587" i="25" a="1"/>
  <c r="F587" i="25" s="1"/>
  <c r="F588" i="25" a="1"/>
  <c r="F588" i="25" s="1"/>
  <c r="F589" i="25" a="1"/>
  <c r="F589" i="25" s="1"/>
  <c r="F590" i="25" a="1"/>
  <c r="F590" i="25" s="1"/>
  <c r="F591" i="25" a="1"/>
  <c r="F591" i="25" s="1"/>
  <c r="F592" i="25" a="1"/>
  <c r="F592" i="25" s="1"/>
  <c r="F593" i="25" a="1"/>
  <c r="F593" i="25" s="1"/>
  <c r="F594" i="25" a="1"/>
  <c r="F594" i="25" s="1"/>
  <c r="F595" i="25" a="1"/>
  <c r="F595" i="25" s="1"/>
  <c r="F596" i="25" a="1"/>
  <c r="F596" i="25" s="1"/>
  <c r="F597" i="25" a="1"/>
  <c r="F597" i="25" s="1"/>
  <c r="F598" i="25" a="1"/>
  <c r="F598" i="25" s="1"/>
  <c r="F599" i="25" a="1"/>
  <c r="F599" i="25" s="1"/>
  <c r="F600" i="25" a="1"/>
  <c r="F600" i="25" s="1"/>
  <c r="F601" i="25" a="1"/>
  <c r="F601" i="25" s="1"/>
  <c r="F602" i="25" a="1"/>
  <c r="F602" i="25" s="1"/>
  <c r="F603" i="25" a="1"/>
  <c r="F603" i="25" s="1"/>
  <c r="F604" i="25" a="1"/>
  <c r="F604" i="25" s="1"/>
  <c r="F605" i="25" a="1"/>
  <c r="F605" i="25" s="1"/>
  <c r="F606" i="25" a="1"/>
  <c r="F606" i="25" s="1"/>
  <c r="F607" i="25" a="1"/>
  <c r="F607" i="25" s="1"/>
  <c r="F608" i="25" a="1"/>
  <c r="F608" i="25" s="1"/>
  <c r="F609" i="25" a="1"/>
  <c r="F609" i="25" s="1"/>
  <c r="F610" i="25" a="1"/>
  <c r="F610" i="25" s="1"/>
  <c r="F611" i="25" a="1"/>
  <c r="F611" i="25" s="1"/>
  <c r="F612" i="25" a="1"/>
  <c r="F612" i="25" s="1"/>
  <c r="F613" i="25" a="1"/>
  <c r="F613" i="25" s="1"/>
  <c r="F614" i="25" a="1"/>
  <c r="F614" i="25" s="1"/>
  <c r="F615" i="25" a="1"/>
  <c r="F615" i="25" s="1"/>
  <c r="F616" i="25" a="1"/>
  <c r="F616" i="25" s="1"/>
  <c r="F617" i="25" a="1"/>
  <c r="F617" i="25" s="1"/>
  <c r="F618" i="25" a="1"/>
  <c r="F618" i="25" s="1"/>
  <c r="F619" i="25" a="1"/>
  <c r="F619" i="25" s="1"/>
  <c r="F620" i="25" a="1"/>
  <c r="F620" i="25" s="1"/>
  <c r="F621" i="25" a="1"/>
  <c r="F621" i="25" s="1"/>
  <c r="F622" i="25" a="1"/>
  <c r="F622" i="25" s="1"/>
  <c r="F623" i="25" a="1"/>
  <c r="F623" i="25" s="1"/>
  <c r="F624" i="25" a="1"/>
  <c r="F624" i="25" s="1"/>
  <c r="F625" i="25" a="1"/>
  <c r="F625" i="25" s="1"/>
  <c r="F626" i="25" a="1"/>
  <c r="F626" i="25" s="1"/>
  <c r="F627" i="25" a="1"/>
  <c r="F627" i="25" s="1"/>
  <c r="F628" i="25" a="1"/>
  <c r="F628" i="25" s="1"/>
  <c r="F629" i="25" a="1"/>
  <c r="F629" i="25" s="1"/>
  <c r="F630" i="25" a="1"/>
  <c r="F630" i="25" s="1"/>
  <c r="F631" i="25" a="1"/>
  <c r="F631" i="25" s="1"/>
  <c r="F632" i="25" a="1"/>
  <c r="F632" i="25" s="1"/>
  <c r="F633" i="25" a="1"/>
  <c r="F633" i="25" s="1"/>
  <c r="F634" i="25" a="1"/>
  <c r="F634" i="25" s="1"/>
  <c r="F635" i="25" a="1"/>
  <c r="F635" i="25" s="1"/>
  <c r="F636" i="25" a="1"/>
  <c r="F636" i="25" s="1"/>
  <c r="F637" i="25" a="1"/>
  <c r="F637" i="25" s="1"/>
  <c r="F638" i="25" a="1"/>
  <c r="F638" i="25" s="1"/>
  <c r="F639" i="25" a="1"/>
  <c r="F639" i="25" s="1"/>
  <c r="F640" i="25" a="1"/>
  <c r="F640" i="25" s="1"/>
  <c r="F641" i="25" a="1"/>
  <c r="F641" i="25" s="1"/>
  <c r="F642" i="25" a="1"/>
  <c r="F642" i="25" s="1"/>
  <c r="F643" i="25" a="1"/>
  <c r="F643" i="25" s="1"/>
  <c r="F644" i="25" a="1"/>
  <c r="F644" i="25" s="1"/>
  <c r="F645" i="25" a="1"/>
  <c r="F645" i="25" s="1"/>
  <c r="F646" i="25" a="1"/>
  <c r="F646" i="25" s="1"/>
  <c r="F647" i="25" a="1"/>
  <c r="F647" i="25" s="1"/>
  <c r="F648" i="25" a="1"/>
  <c r="F648" i="25" s="1"/>
  <c r="F649" i="25" a="1"/>
  <c r="F649" i="25" s="1"/>
  <c r="F650" i="25" a="1"/>
  <c r="F650" i="25" s="1"/>
  <c r="F651" i="25" a="1"/>
  <c r="F651" i="25" s="1"/>
  <c r="F652" i="25" a="1"/>
  <c r="F652" i="25" s="1"/>
  <c r="F653" i="25" a="1"/>
  <c r="F653" i="25" s="1"/>
  <c r="F654" i="25" a="1"/>
  <c r="F654" i="25" s="1"/>
  <c r="F655" i="25" a="1"/>
  <c r="F655" i="25" s="1"/>
  <c r="F656" i="25" a="1"/>
  <c r="F656" i="25" s="1"/>
  <c r="F657" i="25" a="1"/>
  <c r="F657" i="25" s="1"/>
  <c r="F658" i="25" a="1"/>
  <c r="F658" i="25" s="1"/>
  <c r="F659" i="25" a="1"/>
  <c r="F659" i="25" s="1"/>
  <c r="F660" i="25" a="1"/>
  <c r="F660" i="25" s="1"/>
  <c r="F661" i="25" a="1"/>
  <c r="F661" i="25" s="1"/>
  <c r="F662" i="25" a="1"/>
  <c r="F662" i="25" s="1"/>
  <c r="F663" i="25" a="1"/>
  <c r="F663" i="25" s="1"/>
  <c r="F664" i="25" a="1"/>
  <c r="F664" i="25" s="1"/>
  <c r="F665" i="25" a="1"/>
  <c r="F665" i="25" s="1"/>
  <c r="F666" i="25" a="1"/>
  <c r="F666" i="25" s="1"/>
  <c r="F667" i="25" a="1"/>
  <c r="F667" i="25" s="1"/>
  <c r="F668" i="25" a="1"/>
  <c r="F668" i="25" s="1"/>
  <c r="F669" i="25" a="1"/>
  <c r="F669" i="25" s="1"/>
  <c r="F670" i="25" a="1"/>
  <c r="F670" i="25" s="1"/>
  <c r="F671" i="25" a="1"/>
  <c r="F671" i="25" s="1"/>
  <c r="F672" i="25" a="1"/>
  <c r="F672" i="25" s="1"/>
  <c r="F673" i="25" a="1"/>
  <c r="F673" i="25" s="1"/>
  <c r="F674" i="25" a="1"/>
  <c r="F674" i="25" s="1"/>
  <c r="F675" i="25" a="1"/>
  <c r="F675" i="25" s="1"/>
  <c r="F676" i="25" a="1"/>
  <c r="F676" i="25" s="1"/>
  <c r="F677" i="25" a="1"/>
  <c r="F677" i="25" s="1"/>
  <c r="F678" i="25" a="1"/>
  <c r="F678" i="25" s="1"/>
  <c r="F679" i="25" a="1"/>
  <c r="F679" i="25" s="1"/>
  <c r="F680" i="25" a="1"/>
  <c r="F680" i="25" s="1"/>
  <c r="F681" i="25" a="1"/>
  <c r="F681" i="25" s="1"/>
  <c r="F682" i="25" a="1"/>
  <c r="F682" i="25" s="1"/>
  <c r="F683" i="25" a="1"/>
  <c r="F683" i="25" s="1"/>
  <c r="F684" i="25" a="1"/>
  <c r="F684" i="25" s="1"/>
  <c r="F685" i="25" a="1"/>
  <c r="F685" i="25" s="1"/>
  <c r="F686" i="25" a="1"/>
  <c r="F686" i="25" s="1"/>
  <c r="F687" i="25" a="1"/>
  <c r="F687" i="25" s="1"/>
  <c r="F688" i="25" a="1"/>
  <c r="F688" i="25" s="1"/>
  <c r="F689" i="25" a="1"/>
  <c r="F689" i="25" s="1"/>
  <c r="F690" i="25" a="1"/>
  <c r="F690" i="25" s="1"/>
  <c r="F691" i="25" a="1"/>
  <c r="F691" i="25" s="1"/>
  <c r="F692" i="25" a="1"/>
  <c r="F692" i="25" s="1"/>
  <c r="F693" i="25" a="1"/>
  <c r="F693" i="25" s="1"/>
  <c r="F694" i="25" a="1"/>
  <c r="F694" i="25" s="1"/>
  <c r="F695" i="25" a="1"/>
  <c r="F695" i="25" s="1"/>
  <c r="F696" i="25" a="1"/>
  <c r="F696" i="25" s="1"/>
  <c r="F697" i="25" a="1"/>
  <c r="F697" i="25" s="1"/>
  <c r="F698" i="25" a="1"/>
  <c r="F698" i="25" s="1"/>
  <c r="F699" i="25" a="1"/>
  <c r="F699" i="25" s="1"/>
  <c r="F700" i="25" a="1"/>
  <c r="F700" i="25" s="1"/>
  <c r="F701" i="25" a="1"/>
  <c r="F701" i="25" s="1"/>
  <c r="F702" i="25" a="1"/>
  <c r="F702" i="25" s="1"/>
  <c r="F703" i="25" a="1"/>
  <c r="F703" i="25" s="1"/>
  <c r="F704" i="25" a="1"/>
  <c r="F704" i="25" s="1"/>
  <c r="F705" i="25" a="1"/>
  <c r="F705" i="25" s="1"/>
  <c r="F706" i="25" a="1"/>
  <c r="F706" i="25" s="1"/>
  <c r="F707" i="25" a="1"/>
  <c r="F707" i="25" s="1"/>
  <c r="F708" i="25" a="1"/>
  <c r="F708" i="25" s="1"/>
  <c r="F709" i="25" a="1"/>
  <c r="F709" i="25" s="1"/>
  <c r="F710" i="25" a="1"/>
  <c r="F710" i="25" s="1"/>
  <c r="F711" i="25" a="1"/>
  <c r="F711" i="25" s="1"/>
  <c r="F712" i="25" a="1"/>
  <c r="F712" i="25" s="1"/>
  <c r="F713" i="25" a="1"/>
  <c r="F713" i="25" s="1"/>
  <c r="F714" i="25" a="1"/>
  <c r="F714" i="25" s="1"/>
  <c r="F715" i="25" a="1"/>
  <c r="F715" i="25" s="1"/>
  <c r="F716" i="25" a="1"/>
  <c r="F716" i="25" s="1"/>
  <c r="F717" i="25" a="1"/>
  <c r="F717" i="25" s="1"/>
  <c r="F718" i="25" a="1"/>
  <c r="F718" i="25" s="1"/>
  <c r="F719" i="25" a="1"/>
  <c r="F719" i="25" s="1"/>
  <c r="F720" i="25" a="1"/>
  <c r="F720" i="25" s="1"/>
  <c r="F721" i="25" a="1"/>
  <c r="F721" i="25" s="1"/>
  <c r="F722" i="25" a="1"/>
  <c r="F722" i="25" s="1"/>
  <c r="F723" i="25" a="1"/>
  <c r="F723" i="25" s="1"/>
  <c r="F724" i="25" a="1"/>
  <c r="F724" i="25" s="1"/>
  <c r="F725" i="25" a="1"/>
  <c r="F725" i="25" s="1"/>
  <c r="F726" i="25" a="1"/>
  <c r="F726" i="25" s="1"/>
  <c r="F727" i="25" a="1"/>
  <c r="F727" i="25" s="1"/>
  <c r="F728" i="25" a="1"/>
  <c r="F728" i="25" s="1"/>
  <c r="F729" i="25" a="1"/>
  <c r="F729" i="25" s="1"/>
  <c r="F730" i="25" a="1"/>
  <c r="F730" i="25" s="1"/>
  <c r="F731" i="25" a="1"/>
  <c r="F731" i="25" s="1"/>
  <c r="F732" i="25" a="1"/>
  <c r="F732" i="25" s="1"/>
  <c r="F733" i="25" a="1"/>
  <c r="F733" i="25" s="1"/>
  <c r="F734" i="25" a="1"/>
  <c r="F734" i="25" s="1"/>
  <c r="F735" i="25" a="1"/>
  <c r="F735" i="25" s="1"/>
  <c r="F736" i="25" a="1"/>
  <c r="F736" i="25" s="1"/>
  <c r="F737" i="25" a="1"/>
  <c r="F737" i="25" s="1"/>
  <c r="F738" i="25" a="1"/>
  <c r="F738" i="25" s="1"/>
  <c r="F739" i="25" a="1"/>
  <c r="F739" i="25" s="1"/>
  <c r="F740" i="25" a="1"/>
  <c r="F740" i="25" s="1"/>
  <c r="F741" i="25" a="1"/>
  <c r="F741" i="25" s="1"/>
  <c r="F742" i="25" a="1"/>
  <c r="F742" i="25" s="1"/>
  <c r="F743" i="25" a="1"/>
  <c r="F743" i="25" s="1"/>
  <c r="F744" i="25" a="1"/>
  <c r="F744" i="25" s="1"/>
  <c r="F745" i="25" a="1"/>
  <c r="F745" i="25" s="1"/>
  <c r="F746" i="25" a="1"/>
  <c r="F746" i="25" s="1"/>
  <c r="F747" i="25" a="1"/>
  <c r="F747" i="25" s="1"/>
  <c r="F748" i="25" a="1"/>
  <c r="F748" i="25" s="1"/>
  <c r="F749" i="25" a="1"/>
  <c r="F749" i="25" s="1"/>
  <c r="F750" i="25" a="1"/>
  <c r="F750" i="25" s="1"/>
  <c r="F751" i="25" a="1"/>
  <c r="F751" i="25" s="1"/>
  <c r="F752" i="25" a="1"/>
  <c r="F752" i="25" s="1"/>
  <c r="F753" i="25" a="1"/>
  <c r="F753" i="25" s="1"/>
  <c r="F754" i="25" a="1"/>
  <c r="F754" i="25" s="1"/>
  <c r="F755" i="25" a="1"/>
  <c r="F755" i="25" s="1"/>
  <c r="F756" i="25" a="1"/>
  <c r="F756" i="25" s="1"/>
  <c r="F757" i="25" a="1"/>
  <c r="F757" i="25" s="1"/>
  <c r="F758" i="25" a="1"/>
  <c r="F758" i="25" s="1"/>
  <c r="F759" i="25" a="1"/>
  <c r="F759" i="25" s="1"/>
  <c r="F760" i="25" a="1"/>
  <c r="F760" i="25" s="1"/>
  <c r="F761" i="25" a="1"/>
  <c r="F761" i="25" s="1"/>
  <c r="F762" i="25" a="1"/>
  <c r="F762" i="25" s="1"/>
  <c r="F763" i="25" a="1"/>
  <c r="F763" i="25" s="1"/>
  <c r="F764" i="25" a="1"/>
  <c r="F764" i="25" s="1"/>
  <c r="F765" i="25" a="1"/>
  <c r="F765" i="25" s="1"/>
  <c r="F766" i="25" a="1"/>
  <c r="F766" i="25" s="1"/>
  <c r="F767" i="25" a="1"/>
  <c r="F767" i="25" s="1"/>
  <c r="F768" i="25" a="1"/>
  <c r="F768" i="25" s="1"/>
  <c r="F769" i="25" a="1"/>
  <c r="F769" i="25" s="1"/>
  <c r="F770" i="25" a="1"/>
  <c r="F770" i="25" s="1"/>
  <c r="F771" i="25" a="1"/>
  <c r="F771" i="25" s="1"/>
  <c r="F772" i="25" a="1"/>
  <c r="F772" i="25" s="1"/>
  <c r="F773" i="25" a="1"/>
  <c r="F773" i="25" s="1"/>
  <c r="F774" i="25" a="1"/>
  <c r="F774" i="25" s="1"/>
  <c r="F775" i="25" a="1"/>
  <c r="F775" i="25" s="1"/>
  <c r="F776" i="25" a="1"/>
  <c r="F776" i="25" s="1"/>
  <c r="F777" i="25" a="1"/>
  <c r="F777" i="25" s="1"/>
  <c r="F778" i="25" a="1"/>
  <c r="F778" i="25" s="1"/>
  <c r="F779" i="25" a="1"/>
  <c r="F779" i="25" s="1"/>
  <c r="F780" i="25" a="1"/>
  <c r="F780" i="25" s="1"/>
  <c r="F781" i="25" a="1"/>
  <c r="F781" i="25" s="1"/>
  <c r="F782" i="25" a="1"/>
  <c r="F782" i="25" s="1"/>
  <c r="F783" i="25" a="1"/>
  <c r="F783" i="25" s="1"/>
  <c r="F784" i="25" a="1"/>
  <c r="F784" i="25" s="1"/>
  <c r="F785" i="25" a="1"/>
  <c r="F785" i="25" s="1"/>
  <c r="F786" i="25" a="1"/>
  <c r="F786" i="25" s="1"/>
  <c r="F787" i="25" a="1"/>
  <c r="F787" i="25" s="1"/>
  <c r="F788" i="25" a="1"/>
  <c r="F788" i="25" s="1"/>
  <c r="F789" i="25" a="1"/>
  <c r="F789" i="25" s="1"/>
  <c r="F790" i="25" a="1"/>
  <c r="F790" i="25" s="1"/>
  <c r="F791" i="25" a="1"/>
  <c r="F791" i="25" s="1"/>
  <c r="F792" i="25" a="1"/>
  <c r="F792" i="25" s="1"/>
  <c r="F793" i="25" a="1"/>
  <c r="F793" i="25" s="1"/>
  <c r="F794" i="25" a="1"/>
  <c r="F794" i="25" s="1"/>
  <c r="F795" i="25" a="1"/>
  <c r="F795" i="25" s="1"/>
  <c r="F796" i="25" a="1"/>
  <c r="F796" i="25" s="1"/>
  <c r="F797" i="25" a="1"/>
  <c r="F797" i="25" s="1"/>
  <c r="F798" i="25" a="1"/>
  <c r="F798" i="25" s="1"/>
  <c r="F799" i="25" a="1"/>
  <c r="F799" i="25" s="1"/>
  <c r="F800" i="25" a="1"/>
  <c r="F800" i="25" s="1"/>
  <c r="F801" i="25" a="1"/>
  <c r="F801" i="25" s="1"/>
  <c r="F802" i="25" a="1"/>
  <c r="F802" i="25" s="1"/>
  <c r="F803" i="25" a="1"/>
  <c r="F803" i="25" s="1"/>
  <c r="F804" i="25" a="1"/>
  <c r="F804" i="25" s="1"/>
  <c r="F805" i="25" a="1"/>
  <c r="F805" i="25" s="1"/>
  <c r="F806" i="25" a="1"/>
  <c r="F806" i="25" s="1"/>
  <c r="F807" i="25" a="1"/>
  <c r="F807" i="25" s="1"/>
  <c r="F808" i="25" a="1"/>
  <c r="F808" i="25" s="1"/>
  <c r="F809" i="25" a="1"/>
  <c r="F809" i="25" s="1"/>
  <c r="F810" i="25" a="1"/>
  <c r="F810" i="25" s="1"/>
  <c r="F811" i="25" a="1"/>
  <c r="F811" i="25" s="1"/>
  <c r="F812" i="25" a="1"/>
  <c r="F812" i="25" s="1"/>
  <c r="F813" i="25" a="1"/>
  <c r="F813" i="25" s="1"/>
  <c r="F814" i="25" a="1"/>
  <c r="F814" i="25" s="1"/>
  <c r="F815" i="25" a="1"/>
  <c r="F815" i="25" s="1"/>
  <c r="F816" i="25" a="1"/>
  <c r="F816" i="25" s="1"/>
  <c r="F817" i="25" a="1"/>
  <c r="F817" i="25" s="1"/>
  <c r="F818" i="25" a="1"/>
  <c r="F818" i="25" s="1"/>
  <c r="F819" i="25" a="1"/>
  <c r="F819" i="25" s="1"/>
  <c r="F820" i="25" a="1"/>
  <c r="F820" i="25" s="1"/>
  <c r="F821" i="25" a="1"/>
  <c r="F821" i="25" s="1"/>
  <c r="F822" i="25" a="1"/>
  <c r="F822" i="25" s="1"/>
  <c r="F823" i="25" a="1"/>
  <c r="F823" i="25" s="1"/>
  <c r="F824" i="25" a="1"/>
  <c r="F824" i="25" s="1"/>
  <c r="F825" i="25" a="1"/>
  <c r="F825" i="25" s="1"/>
  <c r="F826" i="25" a="1"/>
  <c r="F826" i="25" s="1"/>
  <c r="F827" i="25" a="1"/>
  <c r="F827" i="25" s="1"/>
  <c r="F828" i="25" a="1"/>
  <c r="F828" i="25" s="1"/>
  <c r="F829" i="25" a="1"/>
  <c r="F829" i="25" s="1"/>
  <c r="F830" i="25" a="1"/>
  <c r="F830" i="25" s="1"/>
  <c r="F831" i="25" a="1"/>
  <c r="F831" i="25" s="1"/>
  <c r="F832" i="25" a="1"/>
  <c r="F832" i="25" s="1"/>
  <c r="F833" i="25" a="1"/>
  <c r="F833" i="25" s="1"/>
  <c r="F834" i="25" a="1"/>
  <c r="F834" i="25" s="1"/>
  <c r="F835" i="25" a="1"/>
  <c r="F835" i="25" s="1"/>
  <c r="F836" i="25" a="1"/>
  <c r="F836" i="25" s="1"/>
  <c r="F837" i="25" a="1"/>
  <c r="F837" i="25" s="1"/>
  <c r="F838" i="25" a="1"/>
  <c r="F838" i="25" s="1"/>
  <c r="F839" i="25" a="1"/>
  <c r="F839" i="25" s="1"/>
  <c r="F840" i="25" a="1"/>
  <c r="F840" i="25" s="1"/>
  <c r="F841" i="25" a="1"/>
  <c r="F841" i="25" s="1"/>
  <c r="F842" i="25" a="1"/>
  <c r="F842" i="25" s="1"/>
  <c r="F843" i="25" a="1"/>
  <c r="F843" i="25" s="1"/>
  <c r="F844" i="25" a="1"/>
  <c r="F844" i="25" s="1"/>
  <c r="F845" i="25" a="1"/>
  <c r="F845" i="25" s="1"/>
  <c r="F846" i="25" a="1"/>
  <c r="F846" i="25" s="1"/>
  <c r="F847" i="25" a="1"/>
  <c r="F847" i="25" s="1"/>
  <c r="F848" i="25" a="1"/>
  <c r="F848" i="25" s="1"/>
  <c r="F849" i="25" a="1"/>
  <c r="F849" i="25" s="1"/>
  <c r="F850" i="25" a="1"/>
  <c r="F850" i="25" s="1"/>
  <c r="F851" i="25" a="1"/>
  <c r="F851" i="25" s="1"/>
  <c r="F852" i="25" a="1"/>
  <c r="F852" i="25" s="1"/>
  <c r="F853" i="25" a="1"/>
  <c r="F853" i="25" s="1"/>
  <c r="F854" i="25" a="1"/>
  <c r="F854" i="25" s="1"/>
  <c r="F855" i="25" a="1"/>
  <c r="F855" i="25" s="1"/>
  <c r="F856" i="25" a="1"/>
  <c r="F856" i="25" s="1"/>
  <c r="F857" i="25" a="1"/>
  <c r="F857" i="25" s="1"/>
  <c r="F858" i="25" a="1"/>
  <c r="F858" i="25" s="1"/>
  <c r="F859" i="25" a="1"/>
  <c r="F859" i="25" s="1"/>
  <c r="F860" i="25" a="1"/>
  <c r="F860" i="25" s="1"/>
  <c r="F861" i="25" a="1"/>
  <c r="F861" i="25" s="1"/>
  <c r="F862" i="25" a="1"/>
  <c r="F862" i="25" s="1"/>
  <c r="F863" i="25" a="1"/>
  <c r="F863" i="25" s="1"/>
  <c r="F864" i="25" a="1"/>
  <c r="F864" i="25" s="1"/>
  <c r="F865" i="25" a="1"/>
  <c r="F865" i="25" s="1"/>
  <c r="F866" i="25" a="1"/>
  <c r="F866" i="25" s="1"/>
  <c r="F867" i="25" a="1"/>
  <c r="F867" i="25" s="1"/>
  <c r="F868" i="25" a="1"/>
  <c r="F868" i="25" s="1"/>
  <c r="F869" i="25" a="1"/>
  <c r="F869" i="25" s="1"/>
  <c r="F870" i="25" a="1"/>
  <c r="F870" i="25" s="1"/>
  <c r="F871" i="25" a="1"/>
  <c r="F871" i="25" s="1"/>
  <c r="F872" i="25" a="1"/>
  <c r="F872" i="25" s="1"/>
  <c r="F873" i="25" a="1"/>
  <c r="F873" i="25" s="1"/>
  <c r="F874" i="25" a="1"/>
  <c r="F874" i="25" s="1"/>
  <c r="F875" i="25" a="1"/>
  <c r="F875" i="25" s="1"/>
  <c r="F876" i="25" a="1"/>
  <c r="F876" i="25" s="1"/>
  <c r="F877" i="25" a="1"/>
  <c r="F877" i="25" s="1"/>
  <c r="F878" i="25" a="1"/>
  <c r="F878" i="25" s="1"/>
  <c r="F879" i="25" a="1"/>
  <c r="F879" i="25" s="1"/>
  <c r="F880" i="25" a="1"/>
  <c r="F880" i="25" s="1"/>
  <c r="F881" i="25" a="1"/>
  <c r="F881" i="25" s="1"/>
  <c r="F882" i="25" a="1"/>
  <c r="F882" i="25" s="1"/>
  <c r="F883" i="25" a="1"/>
  <c r="F883" i="25" s="1"/>
  <c r="F884" i="25" a="1"/>
  <c r="F884" i="25" s="1"/>
  <c r="F885" i="25" a="1"/>
  <c r="F885" i="25" s="1"/>
  <c r="F886" i="25" a="1"/>
  <c r="F886" i="25" s="1"/>
  <c r="F887" i="25" a="1"/>
  <c r="F887" i="25" s="1"/>
  <c r="F888" i="25" a="1"/>
  <c r="F888" i="25" s="1"/>
  <c r="F889" i="25" a="1"/>
  <c r="F889" i="25" s="1"/>
  <c r="F890" i="25" a="1"/>
  <c r="F890" i="25" s="1"/>
  <c r="F891" i="25" a="1"/>
  <c r="F891" i="25" s="1"/>
  <c r="F892" i="25" a="1"/>
  <c r="F892" i="25" s="1"/>
  <c r="F893" i="25" a="1"/>
  <c r="F893" i="25" s="1"/>
  <c r="F894" i="25" a="1"/>
  <c r="F894" i="25" s="1"/>
  <c r="F895" i="25" a="1"/>
  <c r="F895" i="25" s="1"/>
  <c r="F896" i="25" a="1"/>
  <c r="F896" i="25" s="1"/>
  <c r="F897" i="25" a="1"/>
  <c r="F897" i="25" s="1"/>
  <c r="F898" i="25" a="1"/>
  <c r="F898" i="25" s="1"/>
  <c r="F899" i="25" a="1"/>
  <c r="F899" i="25" s="1"/>
  <c r="F900" i="25" a="1"/>
  <c r="F900" i="25" s="1"/>
  <c r="F901" i="25" a="1"/>
  <c r="F901" i="25" s="1"/>
  <c r="F902" i="25" a="1"/>
  <c r="F902" i="25" s="1"/>
  <c r="F903" i="25" a="1"/>
  <c r="F903" i="25" s="1"/>
  <c r="F904" i="25" a="1"/>
  <c r="F904" i="25" s="1"/>
  <c r="F905" i="25" a="1"/>
  <c r="F905" i="25" s="1"/>
  <c r="F906" i="25" a="1"/>
  <c r="F906" i="25" s="1"/>
  <c r="F907" i="25" a="1"/>
  <c r="F907" i="25" s="1"/>
  <c r="F908" i="25" a="1"/>
  <c r="F908" i="25" s="1"/>
  <c r="F909" i="25" a="1"/>
  <c r="F909" i="25" s="1"/>
  <c r="F910" i="25" a="1"/>
  <c r="F910" i="25" s="1"/>
  <c r="F911" i="25" a="1"/>
  <c r="F911" i="25" s="1"/>
  <c r="F912" i="25" a="1"/>
  <c r="F912" i="25" s="1"/>
  <c r="F913" i="25" a="1"/>
  <c r="F913" i="25" s="1"/>
  <c r="F914" i="25" a="1"/>
  <c r="F914" i="25" s="1"/>
  <c r="F915" i="25" a="1"/>
  <c r="F915" i="25" s="1"/>
  <c r="F916" i="25" a="1"/>
  <c r="F916" i="25" s="1"/>
  <c r="F917" i="25" a="1"/>
  <c r="F917" i="25" s="1"/>
  <c r="F918" i="25" a="1"/>
  <c r="F918" i="25" s="1"/>
  <c r="F919" i="25" a="1"/>
  <c r="F919" i="25" s="1"/>
  <c r="F920" i="25" a="1"/>
  <c r="F920" i="25" s="1"/>
  <c r="F921" i="25" a="1"/>
  <c r="F921" i="25" s="1"/>
  <c r="F922" i="25" a="1"/>
  <c r="F922" i="25" s="1"/>
  <c r="F923" i="25" a="1"/>
  <c r="F923" i="25" s="1"/>
  <c r="F924" i="25" a="1"/>
  <c r="F924" i="25" s="1"/>
  <c r="F925" i="25" a="1"/>
  <c r="F925" i="25" s="1"/>
  <c r="F926" i="25" a="1"/>
  <c r="F926" i="25" s="1"/>
  <c r="F927" i="25" a="1"/>
  <c r="F927" i="25" s="1"/>
  <c r="F928" i="25" a="1"/>
  <c r="F928" i="25" s="1"/>
  <c r="F929" i="25" a="1"/>
  <c r="F929" i="25" s="1"/>
  <c r="F930" i="25" a="1"/>
  <c r="F930" i="25" s="1"/>
  <c r="F931" i="25" a="1"/>
  <c r="F931" i="25" s="1"/>
  <c r="F932" i="25" a="1"/>
  <c r="F932" i="25" s="1"/>
  <c r="F933" i="25" a="1"/>
  <c r="F933" i="25" s="1"/>
  <c r="F934" i="25" a="1"/>
  <c r="F934" i="25" s="1"/>
  <c r="F935" i="25" a="1"/>
  <c r="F935" i="25" s="1"/>
  <c r="F936" i="25" a="1"/>
  <c r="F936" i="25" s="1"/>
  <c r="F937" i="25" a="1"/>
  <c r="F937" i="25" s="1"/>
  <c r="F938" i="25" a="1"/>
  <c r="F938" i="25" s="1"/>
  <c r="F939" i="25" a="1"/>
  <c r="F939" i="25" s="1"/>
  <c r="F940" i="25" a="1"/>
  <c r="F940" i="25" s="1"/>
  <c r="F941" i="25" a="1"/>
  <c r="F941" i="25" s="1"/>
  <c r="F942" i="25" a="1"/>
  <c r="F942" i="25" s="1"/>
  <c r="F943" i="25" a="1"/>
  <c r="F943" i="25" s="1"/>
  <c r="F944" i="25" a="1"/>
  <c r="F944" i="25" s="1"/>
  <c r="F945" i="25" a="1"/>
  <c r="F945" i="25" s="1"/>
  <c r="F946" i="25" a="1"/>
  <c r="F946" i="25" s="1"/>
  <c r="F947" i="25" a="1"/>
  <c r="F947" i="25" s="1"/>
  <c r="F948" i="25" a="1"/>
  <c r="F948" i="25" s="1"/>
  <c r="F949" i="25" a="1"/>
  <c r="F949" i="25" s="1"/>
  <c r="F950" i="25" a="1"/>
  <c r="F950" i="25" s="1"/>
  <c r="F951" i="25" a="1"/>
  <c r="F951" i="25" s="1"/>
  <c r="F952" i="25" a="1"/>
  <c r="F952" i="25" s="1"/>
  <c r="F953" i="25" a="1"/>
  <c r="F953" i="25" s="1"/>
  <c r="F954" i="25" a="1"/>
  <c r="F954" i="25" s="1"/>
  <c r="F955" i="25" a="1"/>
  <c r="F955" i="25" s="1"/>
  <c r="F956" i="25" a="1"/>
  <c r="F956" i="25" s="1"/>
  <c r="F957" i="25" a="1"/>
  <c r="F957" i="25" s="1"/>
  <c r="F958" i="25" a="1"/>
  <c r="F958" i="25" s="1"/>
  <c r="F959" i="25" a="1"/>
  <c r="F959" i="25" s="1"/>
  <c r="F960" i="25" a="1"/>
  <c r="F960" i="25" s="1"/>
  <c r="F961" i="25" a="1"/>
  <c r="F961" i="25" s="1"/>
  <c r="F962" i="25" a="1"/>
  <c r="F962" i="25" s="1"/>
  <c r="F963" i="25" a="1"/>
  <c r="F963" i="25" s="1"/>
  <c r="F964" i="25" a="1"/>
  <c r="F964" i="25" s="1"/>
  <c r="F965" i="25" a="1"/>
  <c r="F965" i="25" s="1"/>
  <c r="F966" i="25" a="1"/>
  <c r="F966" i="25" s="1"/>
  <c r="F967" i="25" a="1"/>
  <c r="F967" i="25" s="1"/>
  <c r="F968" i="25" a="1"/>
  <c r="F968" i="25" s="1"/>
  <c r="F969" i="25" a="1"/>
  <c r="F969" i="25" s="1"/>
  <c r="F970" i="25" a="1"/>
  <c r="F970" i="25" s="1"/>
  <c r="F971" i="25" a="1"/>
  <c r="F971" i="25" s="1"/>
  <c r="F972" i="25" a="1"/>
  <c r="F972" i="25" s="1"/>
  <c r="F973" i="25" a="1"/>
  <c r="F973" i="25" s="1"/>
  <c r="F974" i="25" a="1"/>
  <c r="F974" i="25" s="1"/>
  <c r="F975" i="25" a="1"/>
  <c r="F975" i="25" s="1"/>
  <c r="F976" i="25" a="1"/>
  <c r="F976" i="25" s="1"/>
  <c r="F977" i="25" a="1"/>
  <c r="F977" i="25" s="1"/>
  <c r="F978" i="25" a="1"/>
  <c r="F978" i="25" s="1"/>
  <c r="F979" i="25" a="1"/>
  <c r="F979" i="25" s="1"/>
  <c r="F980" i="25" a="1"/>
  <c r="F980" i="25" s="1"/>
  <c r="F981" i="25" a="1"/>
  <c r="F981" i="25" s="1"/>
  <c r="F982" i="25" a="1"/>
  <c r="F982" i="25" s="1"/>
  <c r="F983" i="25" a="1"/>
  <c r="F983" i="25" s="1"/>
  <c r="F984" i="25" a="1"/>
  <c r="F984" i="25" s="1"/>
  <c r="F985" i="25" a="1"/>
  <c r="F985" i="25" s="1"/>
  <c r="F986" i="25" a="1"/>
  <c r="F986" i="25" s="1"/>
  <c r="F987" i="25" a="1"/>
  <c r="F987" i="25" s="1"/>
  <c r="F988" i="25" a="1"/>
  <c r="F988" i="25" s="1"/>
  <c r="F989" i="25" a="1"/>
  <c r="F989" i="25" s="1"/>
  <c r="F990" i="25" a="1"/>
  <c r="F990" i="25" s="1"/>
  <c r="F991" i="25" a="1"/>
  <c r="F991" i="25" s="1"/>
  <c r="F992" i="25" a="1"/>
  <c r="F992" i="25" s="1"/>
  <c r="F993" i="25" a="1"/>
  <c r="F993" i="25" s="1"/>
  <c r="F994" i="25" a="1"/>
  <c r="F994" i="25" s="1"/>
  <c r="F995" i="25" a="1"/>
  <c r="F995" i="25" s="1"/>
  <c r="F2" i="25" a="1"/>
  <c r="F2" i="25" s="1"/>
  <c r="C3" i="29"/>
  <c r="C4" i="29"/>
  <c r="C5" i="29"/>
  <c r="C6" i="29"/>
  <c r="C7" i="29"/>
  <c r="C8" i="29"/>
  <c r="C9" i="29"/>
  <c r="C10" i="29"/>
  <c r="C11" i="29"/>
  <c r="C12" i="29"/>
  <c r="C13" i="29"/>
  <c r="C14" i="29"/>
  <c r="C15" i="29"/>
  <c r="C16" i="29"/>
  <c r="C17" i="29"/>
  <c r="C18" i="29"/>
  <c r="C19" i="29"/>
  <c r="C20" i="29"/>
  <c r="C21" i="29"/>
  <c r="C22" i="29"/>
  <c r="C23" i="29"/>
  <c r="C24" i="29"/>
  <c r="C25" i="29"/>
  <c r="C26" i="29"/>
  <c r="C27" i="29"/>
  <c r="C28" i="29"/>
  <c r="C29" i="29"/>
  <c r="C30" i="29"/>
  <c r="C31" i="29"/>
  <c r="C32" i="29"/>
  <c r="C33" i="29"/>
  <c r="C34" i="29"/>
  <c r="C35" i="29"/>
  <c r="C36" i="29"/>
  <c r="C37" i="29"/>
  <c r="C38" i="29"/>
  <c r="C39" i="29"/>
  <c r="C40" i="29"/>
  <c r="C41" i="29"/>
  <c r="C42" i="29"/>
  <c r="C43" i="29"/>
  <c r="C44" i="29"/>
  <c r="C45" i="29"/>
  <c r="C46" i="29"/>
  <c r="C47" i="29"/>
  <c r="C48" i="29"/>
  <c r="C49" i="29"/>
  <c r="C50" i="29"/>
  <c r="C51" i="29"/>
  <c r="C52" i="29"/>
  <c r="C53" i="29"/>
  <c r="C54" i="29"/>
  <c r="C55" i="29"/>
  <c r="C56" i="29"/>
  <c r="C57" i="29"/>
  <c r="C58" i="29"/>
  <c r="C59" i="29"/>
  <c r="C60" i="29"/>
  <c r="C61" i="29"/>
  <c r="C62" i="29"/>
  <c r="C63" i="29"/>
  <c r="C64" i="29"/>
  <c r="C65" i="29"/>
  <c r="C66" i="29"/>
  <c r="C67" i="29"/>
  <c r="C68" i="29"/>
  <c r="C69" i="29"/>
  <c r="C70" i="29"/>
  <c r="C71" i="29"/>
  <c r="C72" i="29"/>
  <c r="C73" i="29"/>
  <c r="C74" i="29"/>
  <c r="C75" i="29"/>
  <c r="C76" i="29"/>
  <c r="C77" i="29"/>
  <c r="C78" i="29"/>
  <c r="C79" i="29"/>
  <c r="C80" i="29"/>
  <c r="C81" i="29"/>
  <c r="C82" i="29"/>
  <c r="C83" i="29"/>
  <c r="C84" i="29"/>
  <c r="C85" i="29"/>
  <c r="C86" i="29"/>
  <c r="C87" i="29"/>
  <c r="C88" i="29"/>
  <c r="C89" i="29"/>
  <c r="C90" i="29"/>
  <c r="C91" i="29"/>
  <c r="C92" i="29"/>
  <c r="C93" i="29"/>
  <c r="C94" i="29"/>
  <c r="C95" i="29"/>
  <c r="C96" i="29"/>
  <c r="C97" i="29"/>
  <c r="C98" i="29"/>
  <c r="C99" i="29"/>
  <c r="C100" i="29"/>
  <c r="C101" i="29"/>
  <c r="C102" i="29"/>
  <c r="C103" i="29"/>
  <c r="C104" i="29"/>
  <c r="C105" i="29"/>
  <c r="C106" i="29"/>
  <c r="C107" i="29"/>
  <c r="C108" i="29"/>
  <c r="C109" i="29"/>
  <c r="C110" i="29"/>
  <c r="C111" i="29"/>
  <c r="C112" i="29"/>
  <c r="C113" i="29"/>
  <c r="C114" i="29"/>
  <c r="C115" i="29"/>
  <c r="C116" i="29"/>
  <c r="C117" i="29"/>
  <c r="C118" i="29"/>
  <c r="C119" i="29"/>
  <c r="C120" i="29"/>
  <c r="C121" i="29"/>
  <c r="C122" i="29"/>
  <c r="C123" i="29"/>
  <c r="C124" i="29"/>
  <c r="C125" i="29"/>
  <c r="C126" i="29"/>
  <c r="C127" i="29"/>
  <c r="C128" i="29"/>
  <c r="C129" i="29"/>
  <c r="C130" i="29"/>
  <c r="C131" i="29"/>
  <c r="C132" i="29"/>
  <c r="C133" i="29"/>
  <c r="C134" i="29"/>
  <c r="C135" i="29"/>
  <c r="C136" i="29"/>
  <c r="C137" i="29"/>
  <c r="C138" i="29"/>
  <c r="C139" i="29"/>
  <c r="C140" i="29"/>
  <c r="C141" i="29"/>
  <c r="C142" i="29"/>
  <c r="C143" i="29"/>
  <c r="C144" i="29"/>
  <c r="C145" i="29"/>
  <c r="C146" i="29"/>
  <c r="C147" i="29"/>
  <c r="C148" i="29"/>
  <c r="C149" i="29"/>
  <c r="C150" i="29"/>
  <c r="C151" i="29"/>
  <c r="C152" i="29"/>
  <c r="C153" i="29"/>
  <c r="C154" i="29"/>
  <c r="C155" i="29"/>
  <c r="C156" i="29"/>
  <c r="C157" i="29"/>
  <c r="C158" i="29"/>
  <c r="C159" i="29"/>
  <c r="C160" i="29"/>
  <c r="C161" i="29"/>
  <c r="C162" i="29"/>
  <c r="C163" i="29"/>
  <c r="C164" i="29"/>
  <c r="C165" i="29"/>
  <c r="C166" i="29"/>
  <c r="C167" i="29"/>
  <c r="C168" i="29"/>
  <c r="C169" i="29"/>
  <c r="C170" i="29"/>
  <c r="C171" i="29"/>
  <c r="C172" i="29"/>
  <c r="C173" i="29"/>
  <c r="C174" i="29"/>
  <c r="C175" i="29"/>
  <c r="C176" i="29"/>
  <c r="C177" i="29"/>
  <c r="C178" i="29"/>
  <c r="C179" i="29"/>
  <c r="C180" i="29"/>
  <c r="C181" i="29"/>
  <c r="C182" i="29"/>
  <c r="C183" i="29"/>
  <c r="C184" i="29"/>
  <c r="C185" i="29"/>
  <c r="C186" i="29"/>
  <c r="C187" i="29"/>
  <c r="C188" i="29"/>
  <c r="C189" i="29"/>
  <c r="C190" i="29"/>
  <c r="C191" i="29"/>
  <c r="C192" i="29"/>
  <c r="C193" i="29"/>
  <c r="C194" i="29"/>
  <c r="C195" i="29"/>
  <c r="C196" i="29"/>
  <c r="C197" i="29"/>
  <c r="C198" i="29"/>
  <c r="C199" i="29"/>
  <c r="C200" i="29"/>
  <c r="C201" i="29"/>
  <c r="C202" i="29"/>
  <c r="C203" i="29"/>
  <c r="C204" i="29"/>
  <c r="C205" i="29"/>
  <c r="C206" i="29"/>
  <c r="C207" i="29"/>
  <c r="C208" i="29"/>
  <c r="C209" i="29"/>
  <c r="C210" i="29"/>
  <c r="C211" i="29"/>
  <c r="C212" i="29"/>
  <c r="C213" i="29"/>
  <c r="C214" i="29"/>
  <c r="C215" i="29"/>
  <c r="C216" i="29"/>
  <c r="C217" i="29"/>
  <c r="C218" i="29"/>
  <c r="C219" i="29"/>
  <c r="C220" i="29"/>
  <c r="C221" i="29"/>
  <c r="C222" i="29"/>
  <c r="C223" i="29"/>
  <c r="C224" i="29"/>
  <c r="C225" i="29"/>
  <c r="C226" i="29"/>
  <c r="C227" i="29"/>
  <c r="C228" i="29"/>
  <c r="C229" i="29"/>
  <c r="C230" i="29"/>
  <c r="C231" i="29"/>
  <c r="C232" i="29"/>
  <c r="C233" i="29"/>
  <c r="C234" i="29"/>
  <c r="C235" i="29"/>
  <c r="C236" i="29"/>
  <c r="C237" i="29"/>
  <c r="C238" i="29"/>
  <c r="C239" i="29"/>
  <c r="C240" i="29"/>
  <c r="C241" i="29"/>
  <c r="C242" i="29"/>
  <c r="C243" i="29"/>
  <c r="C244" i="29"/>
  <c r="C245" i="29"/>
  <c r="C246" i="29"/>
  <c r="C247" i="29"/>
  <c r="C248" i="29"/>
  <c r="C249" i="29"/>
  <c r="C250" i="29"/>
  <c r="C251" i="29"/>
  <c r="C252" i="29"/>
  <c r="C253" i="29"/>
  <c r="C254" i="29"/>
  <c r="C255" i="29"/>
  <c r="C256" i="29"/>
  <c r="C257" i="29"/>
  <c r="C258" i="29"/>
  <c r="C259" i="29"/>
  <c r="C260" i="29"/>
  <c r="C261" i="29"/>
  <c r="C262" i="29"/>
  <c r="C263" i="29"/>
  <c r="C264" i="29"/>
  <c r="C265" i="29"/>
  <c r="C266" i="29"/>
  <c r="C267" i="29"/>
  <c r="C268" i="29"/>
  <c r="C269" i="29"/>
  <c r="C270" i="29"/>
  <c r="C271" i="29"/>
  <c r="C272" i="29"/>
  <c r="C273" i="29"/>
  <c r="C274" i="29"/>
  <c r="C275" i="29"/>
  <c r="C276" i="29"/>
  <c r="C277" i="29"/>
  <c r="C278" i="29"/>
  <c r="C279" i="29"/>
  <c r="C280" i="29"/>
  <c r="C281" i="29"/>
  <c r="C282" i="29"/>
  <c r="C283" i="29"/>
  <c r="C284" i="29"/>
  <c r="C285" i="29"/>
  <c r="C286" i="29"/>
  <c r="C287" i="29"/>
  <c r="C288" i="29"/>
  <c r="C289" i="29"/>
  <c r="C290" i="29"/>
  <c r="C291" i="29"/>
  <c r="C292" i="29"/>
  <c r="C293" i="29"/>
  <c r="C294" i="29"/>
  <c r="C295" i="29"/>
  <c r="C296" i="29"/>
  <c r="C297" i="29"/>
  <c r="C298" i="29"/>
  <c r="C299" i="29"/>
  <c r="C300" i="29"/>
  <c r="C301" i="29"/>
  <c r="C302" i="29"/>
  <c r="C303" i="29"/>
  <c r="C304" i="29"/>
  <c r="C305" i="29"/>
  <c r="C306" i="29"/>
  <c r="C307" i="29"/>
  <c r="C308" i="29"/>
  <c r="C309" i="29"/>
  <c r="C310" i="29"/>
  <c r="C311" i="29"/>
  <c r="C312" i="29"/>
  <c r="C313" i="29"/>
  <c r="C314" i="29"/>
  <c r="C315" i="29"/>
  <c r="C316" i="29"/>
  <c r="C317" i="29"/>
  <c r="C318" i="29"/>
  <c r="C319" i="29"/>
  <c r="C320" i="29"/>
  <c r="C321" i="29"/>
  <c r="C322" i="29"/>
  <c r="C323" i="29"/>
  <c r="C324" i="29"/>
  <c r="C325" i="29"/>
  <c r="C326" i="29"/>
  <c r="C327" i="29"/>
  <c r="C328" i="29"/>
  <c r="C329" i="29"/>
  <c r="C330" i="29"/>
  <c r="C331" i="29"/>
  <c r="C332" i="29"/>
  <c r="C333" i="29"/>
  <c r="C334" i="29"/>
  <c r="C335" i="29"/>
  <c r="C336" i="29"/>
  <c r="C337" i="29"/>
  <c r="C338" i="29"/>
  <c r="C339" i="29"/>
  <c r="C340" i="29"/>
  <c r="C341" i="29"/>
  <c r="C342" i="29"/>
  <c r="C343" i="29"/>
  <c r="C344" i="29"/>
  <c r="C345" i="29"/>
  <c r="C346" i="29"/>
  <c r="C347" i="29"/>
  <c r="C348" i="29"/>
  <c r="C349" i="29"/>
  <c r="C350" i="29"/>
  <c r="C351" i="29"/>
  <c r="C352" i="29"/>
  <c r="C353" i="29"/>
  <c r="C354" i="29"/>
  <c r="C355" i="29"/>
  <c r="C356" i="29"/>
  <c r="C357" i="29"/>
  <c r="C358" i="29"/>
  <c r="C359" i="29"/>
  <c r="C360" i="29"/>
  <c r="C361" i="29"/>
  <c r="C362" i="29"/>
  <c r="C363" i="29"/>
  <c r="C364" i="29"/>
  <c r="C365" i="29"/>
  <c r="C366" i="29"/>
  <c r="C367" i="29"/>
  <c r="C368" i="29"/>
  <c r="C369" i="29"/>
  <c r="C370" i="29"/>
  <c r="C371" i="29"/>
  <c r="C372" i="29"/>
  <c r="C373" i="29"/>
  <c r="C374" i="29"/>
  <c r="C375" i="29"/>
  <c r="C376" i="29"/>
  <c r="C377" i="29"/>
  <c r="C378" i="29"/>
  <c r="C379" i="29"/>
  <c r="C380" i="29"/>
  <c r="C381" i="29"/>
  <c r="C382" i="29"/>
  <c r="C383" i="29"/>
  <c r="C384" i="29"/>
  <c r="C385" i="29"/>
  <c r="C386" i="29"/>
  <c r="C387" i="29"/>
  <c r="C388" i="29"/>
  <c r="C389" i="29"/>
  <c r="C390" i="29"/>
  <c r="C391" i="29"/>
  <c r="C392" i="29"/>
  <c r="C393" i="29"/>
  <c r="C394" i="29"/>
  <c r="C395" i="29"/>
  <c r="C396" i="29"/>
  <c r="C397" i="29"/>
  <c r="C398" i="29"/>
  <c r="C399" i="29"/>
  <c r="C400" i="29"/>
  <c r="C401" i="29"/>
  <c r="C402" i="29"/>
  <c r="C403" i="29"/>
  <c r="C404" i="29"/>
  <c r="C405" i="29"/>
  <c r="C406" i="29"/>
  <c r="C407" i="29"/>
  <c r="C408" i="29"/>
  <c r="C409" i="29"/>
  <c r="C410" i="29"/>
  <c r="C411" i="29"/>
  <c r="C412" i="29"/>
  <c r="C413" i="29"/>
  <c r="C414" i="29"/>
  <c r="C415" i="29"/>
  <c r="C416" i="29"/>
  <c r="C417" i="29"/>
  <c r="C418" i="29"/>
  <c r="C419" i="29"/>
  <c r="C420" i="29"/>
  <c r="C421" i="29"/>
  <c r="C422" i="29"/>
  <c r="C423" i="29"/>
  <c r="C424" i="29"/>
  <c r="C425" i="29"/>
  <c r="C426" i="29"/>
  <c r="C427" i="29"/>
  <c r="C428" i="29"/>
  <c r="C429" i="29"/>
  <c r="C430" i="29"/>
  <c r="C431" i="29"/>
  <c r="C432" i="29"/>
  <c r="C433" i="29"/>
  <c r="C434" i="29"/>
  <c r="C435" i="29"/>
  <c r="C436" i="29"/>
  <c r="C437" i="29"/>
  <c r="C438" i="29"/>
  <c r="C439" i="29"/>
  <c r="C440" i="29"/>
  <c r="C441" i="29"/>
  <c r="C442" i="29"/>
  <c r="C443" i="29"/>
  <c r="C444" i="29"/>
  <c r="C445" i="29"/>
  <c r="C446" i="29"/>
  <c r="C447" i="29"/>
  <c r="C448" i="29"/>
  <c r="C449" i="29"/>
  <c r="C450" i="29"/>
  <c r="C451" i="29"/>
  <c r="C452" i="29"/>
  <c r="C453" i="29"/>
  <c r="C454" i="29"/>
  <c r="C455" i="29"/>
  <c r="C456" i="29"/>
  <c r="C457" i="29"/>
  <c r="C458" i="29"/>
  <c r="C459" i="29"/>
  <c r="C460" i="29"/>
  <c r="C461" i="29"/>
  <c r="C462" i="29"/>
  <c r="C463" i="29"/>
  <c r="C464" i="29"/>
  <c r="C465" i="29"/>
  <c r="C466" i="29"/>
  <c r="C467" i="29"/>
  <c r="C468" i="29"/>
  <c r="C469" i="29"/>
  <c r="C470" i="29"/>
  <c r="C471" i="29"/>
  <c r="C472" i="29"/>
  <c r="C473" i="29"/>
  <c r="C474" i="29"/>
  <c r="C475" i="29"/>
  <c r="C476" i="29"/>
  <c r="C477" i="29"/>
  <c r="C478" i="29"/>
  <c r="C479" i="29"/>
  <c r="C480" i="29"/>
  <c r="C481" i="29"/>
  <c r="C482" i="29"/>
  <c r="C483" i="29"/>
  <c r="C484" i="29"/>
  <c r="C485" i="29"/>
  <c r="C486" i="29"/>
  <c r="C487" i="29"/>
  <c r="C488" i="29"/>
  <c r="C489" i="29"/>
  <c r="C490" i="29"/>
  <c r="C491" i="29"/>
  <c r="C492" i="29"/>
  <c r="C493" i="29"/>
  <c r="C494" i="29"/>
  <c r="C495" i="29"/>
  <c r="C496" i="29"/>
  <c r="C497" i="29"/>
  <c r="C498" i="29"/>
  <c r="C499" i="29"/>
  <c r="C500" i="29"/>
  <c r="C501" i="29"/>
  <c r="C502" i="29"/>
  <c r="C503" i="29"/>
  <c r="C504" i="29"/>
  <c r="C505" i="29"/>
  <c r="C506" i="29"/>
  <c r="C507" i="29"/>
  <c r="C508" i="29"/>
  <c r="C509" i="29"/>
  <c r="C510" i="29"/>
  <c r="C511" i="29"/>
  <c r="C512" i="29"/>
  <c r="C513" i="29"/>
  <c r="C514" i="29"/>
  <c r="C515" i="29"/>
  <c r="C516" i="29"/>
  <c r="C517" i="29"/>
  <c r="C518" i="29"/>
  <c r="C519" i="29"/>
  <c r="C520" i="29"/>
  <c r="C521" i="29"/>
  <c r="C522" i="29"/>
  <c r="C523" i="29"/>
  <c r="C524" i="29"/>
  <c r="C525" i="29"/>
  <c r="C526" i="29"/>
  <c r="C527" i="29"/>
  <c r="C528" i="29"/>
  <c r="C529" i="29"/>
  <c r="C530" i="29"/>
  <c r="C531" i="29"/>
  <c r="C532" i="29"/>
  <c r="C533" i="29"/>
  <c r="C534" i="29"/>
  <c r="C535" i="29"/>
  <c r="C536" i="29"/>
  <c r="C537" i="29"/>
  <c r="C538" i="29"/>
  <c r="C539" i="29"/>
  <c r="C540" i="29"/>
  <c r="C541" i="29"/>
  <c r="C542" i="29"/>
  <c r="C543" i="29"/>
  <c r="C544" i="29"/>
  <c r="C545" i="29"/>
  <c r="C546" i="29"/>
  <c r="C547" i="29"/>
  <c r="C548" i="29"/>
  <c r="C549" i="29"/>
  <c r="C550" i="29"/>
  <c r="C551" i="29"/>
  <c r="C552" i="29"/>
  <c r="C553" i="29"/>
  <c r="C554" i="29"/>
  <c r="C555" i="29"/>
  <c r="C556" i="29"/>
  <c r="C557" i="29"/>
  <c r="C558" i="29"/>
  <c r="C559" i="29"/>
  <c r="C560" i="29"/>
  <c r="C561" i="29"/>
  <c r="C562" i="29"/>
  <c r="C563" i="29"/>
  <c r="C564" i="29"/>
  <c r="C565" i="29"/>
  <c r="C566" i="29"/>
  <c r="C567" i="29"/>
  <c r="C568" i="29"/>
  <c r="C569" i="29"/>
  <c r="C570" i="29"/>
  <c r="C571" i="29"/>
  <c r="C572" i="29"/>
  <c r="C573" i="29"/>
  <c r="C574" i="29"/>
  <c r="C575" i="29"/>
  <c r="C576" i="29"/>
  <c r="C577" i="29"/>
  <c r="C578" i="29"/>
  <c r="C579" i="29"/>
  <c r="C580" i="29"/>
  <c r="C581" i="29"/>
  <c r="C582" i="29"/>
  <c r="C583" i="29"/>
  <c r="C584" i="29"/>
  <c r="C585" i="29"/>
  <c r="C586" i="29"/>
  <c r="C587" i="29"/>
  <c r="C588" i="29"/>
  <c r="C589" i="29"/>
  <c r="C590" i="29"/>
  <c r="C591" i="29"/>
  <c r="C592" i="29"/>
  <c r="C593" i="29"/>
  <c r="C594" i="29"/>
  <c r="C595" i="29"/>
  <c r="C596" i="29"/>
  <c r="C597" i="29"/>
  <c r="C598" i="29"/>
  <c r="C599" i="29"/>
  <c r="C600" i="29"/>
  <c r="C601" i="29"/>
  <c r="C602" i="29"/>
  <c r="C603" i="29"/>
  <c r="C604" i="29"/>
  <c r="C605" i="29"/>
  <c r="C606" i="29"/>
  <c r="C607" i="29"/>
  <c r="C608" i="29"/>
  <c r="C609" i="29"/>
  <c r="C610" i="29"/>
  <c r="C611" i="29"/>
  <c r="C612" i="29"/>
  <c r="C613" i="29"/>
  <c r="C614" i="29"/>
  <c r="C615" i="29"/>
  <c r="C616" i="29"/>
  <c r="C617" i="29"/>
  <c r="C618" i="29"/>
  <c r="C619" i="29"/>
  <c r="C620" i="29"/>
  <c r="C621" i="29"/>
  <c r="C622" i="29"/>
  <c r="C623" i="29"/>
  <c r="C624" i="29"/>
  <c r="C625" i="29"/>
  <c r="C626" i="29"/>
  <c r="C627" i="29"/>
  <c r="C628" i="29"/>
  <c r="C629" i="29"/>
  <c r="C630" i="29"/>
  <c r="C631" i="29"/>
  <c r="C632" i="29"/>
  <c r="C633" i="29"/>
  <c r="C634" i="29"/>
  <c r="C635" i="29"/>
  <c r="C636" i="29"/>
  <c r="C637" i="29"/>
  <c r="C638" i="29"/>
  <c r="C639" i="29"/>
  <c r="C640" i="29"/>
  <c r="C641" i="29"/>
  <c r="C642" i="29"/>
  <c r="C643" i="29"/>
  <c r="C644" i="29"/>
  <c r="C645" i="29"/>
  <c r="C646" i="29"/>
  <c r="C647" i="29"/>
  <c r="C648" i="29"/>
  <c r="C649" i="29"/>
  <c r="C650" i="29"/>
  <c r="C651" i="29"/>
  <c r="C652" i="29"/>
  <c r="C653" i="29"/>
  <c r="C654" i="29"/>
  <c r="C655" i="29"/>
  <c r="C656" i="29"/>
  <c r="C657" i="29"/>
  <c r="C658" i="29"/>
  <c r="C659" i="29"/>
  <c r="C660" i="29"/>
  <c r="C661" i="29"/>
  <c r="C662" i="29"/>
  <c r="C663" i="29"/>
  <c r="C664" i="29"/>
  <c r="C665" i="29"/>
  <c r="C666" i="29"/>
  <c r="C667" i="29"/>
  <c r="C668" i="29"/>
  <c r="C669" i="29"/>
  <c r="C670" i="29"/>
  <c r="C671" i="29"/>
  <c r="C672" i="29"/>
  <c r="C673" i="29"/>
  <c r="C674" i="29"/>
  <c r="C675" i="29"/>
  <c r="C676" i="29"/>
  <c r="C677" i="29"/>
  <c r="C678" i="29"/>
  <c r="C679" i="29"/>
  <c r="C680" i="29"/>
  <c r="C681" i="29"/>
  <c r="C682" i="29"/>
  <c r="C683" i="29"/>
  <c r="C684" i="29"/>
  <c r="C685" i="29"/>
  <c r="C686" i="29"/>
  <c r="C687" i="29"/>
  <c r="C688" i="29"/>
  <c r="C689" i="29"/>
  <c r="C690" i="29"/>
  <c r="C691" i="29"/>
  <c r="C692" i="29"/>
  <c r="C693" i="29"/>
  <c r="C694" i="29"/>
  <c r="C695" i="29"/>
  <c r="C696" i="29"/>
  <c r="C697" i="29"/>
  <c r="C698" i="29"/>
  <c r="C699" i="29"/>
  <c r="C700" i="29"/>
  <c r="C701" i="29"/>
  <c r="C702" i="29"/>
  <c r="C703" i="29"/>
  <c r="C704" i="29"/>
  <c r="C705" i="29"/>
  <c r="C706" i="29"/>
  <c r="C707" i="29"/>
  <c r="C708" i="29"/>
  <c r="C709" i="29"/>
  <c r="C710" i="29"/>
  <c r="C711" i="29"/>
  <c r="C712" i="29"/>
  <c r="C713" i="29"/>
  <c r="C714" i="29"/>
  <c r="C715" i="29"/>
  <c r="C716" i="29"/>
  <c r="C717" i="29"/>
  <c r="C718" i="29"/>
  <c r="C719" i="29"/>
  <c r="C720" i="29"/>
  <c r="C721" i="29"/>
  <c r="C722" i="29"/>
  <c r="C723" i="29"/>
  <c r="C724" i="29"/>
  <c r="C725" i="29"/>
  <c r="C726" i="29"/>
  <c r="C727" i="29"/>
  <c r="C728" i="29"/>
  <c r="C729" i="29"/>
  <c r="C730" i="29"/>
  <c r="C731" i="29"/>
  <c r="C732" i="29"/>
  <c r="C733" i="29"/>
  <c r="C734" i="29"/>
  <c r="C735" i="29"/>
  <c r="C736" i="29"/>
  <c r="C737" i="29"/>
  <c r="C738" i="29"/>
  <c r="C739" i="29"/>
  <c r="C740" i="29"/>
  <c r="C741" i="29"/>
  <c r="C742" i="29"/>
  <c r="C743" i="29"/>
  <c r="C744" i="29"/>
  <c r="C745" i="29"/>
  <c r="C746" i="29"/>
  <c r="C747" i="29"/>
  <c r="C748" i="29"/>
  <c r="C749" i="29"/>
  <c r="C750" i="29"/>
  <c r="C751" i="29"/>
  <c r="C752" i="29"/>
  <c r="C753" i="29"/>
  <c r="C754" i="29"/>
  <c r="C755" i="29"/>
  <c r="C756" i="29"/>
  <c r="C757" i="29"/>
  <c r="C758" i="29"/>
  <c r="C759" i="29"/>
  <c r="C760" i="29"/>
  <c r="C761" i="29"/>
  <c r="C762" i="29"/>
  <c r="C763" i="29"/>
  <c r="C764" i="29"/>
  <c r="C765" i="29"/>
  <c r="C766" i="29"/>
  <c r="C767" i="29"/>
  <c r="C768" i="29"/>
  <c r="C769" i="29"/>
  <c r="C770" i="29"/>
  <c r="C771" i="29"/>
  <c r="C772" i="29"/>
  <c r="C773" i="29"/>
  <c r="C774" i="29"/>
  <c r="C775" i="29"/>
  <c r="C776" i="29"/>
  <c r="C777" i="29"/>
  <c r="C778" i="29"/>
  <c r="C779" i="29"/>
  <c r="C780" i="29"/>
  <c r="C781" i="29"/>
  <c r="C782" i="29"/>
  <c r="C783" i="29"/>
  <c r="C784" i="29"/>
  <c r="C785" i="29"/>
  <c r="C786" i="29"/>
  <c r="C787" i="29"/>
  <c r="C788" i="29"/>
  <c r="C789" i="29"/>
  <c r="C790" i="29"/>
  <c r="C791" i="29"/>
  <c r="C792" i="29"/>
  <c r="C793" i="29"/>
  <c r="C794" i="29"/>
  <c r="C795" i="29"/>
  <c r="C796" i="29"/>
  <c r="C797" i="29"/>
  <c r="C798" i="29"/>
  <c r="C799" i="29"/>
  <c r="C800" i="29"/>
  <c r="C801" i="29"/>
  <c r="C802" i="29"/>
  <c r="C803" i="29"/>
  <c r="C804" i="29"/>
  <c r="C805" i="29"/>
  <c r="C806" i="29"/>
  <c r="C807" i="29"/>
  <c r="C808" i="29"/>
  <c r="C809" i="29"/>
  <c r="C810" i="29"/>
  <c r="C811" i="29"/>
  <c r="C812" i="29"/>
  <c r="C813" i="29"/>
  <c r="C814" i="29"/>
  <c r="C815" i="29"/>
  <c r="C816" i="29"/>
  <c r="C817" i="29"/>
  <c r="C818" i="29"/>
  <c r="C819" i="29"/>
  <c r="C820" i="29"/>
  <c r="C821" i="29"/>
  <c r="C822" i="29"/>
  <c r="C823" i="29"/>
  <c r="C824" i="29"/>
  <c r="C825" i="29"/>
  <c r="C826" i="29"/>
  <c r="C827" i="29"/>
  <c r="C828" i="29"/>
  <c r="C829" i="29"/>
  <c r="C830" i="29"/>
  <c r="C831" i="29"/>
  <c r="C832" i="29"/>
  <c r="C833" i="29"/>
  <c r="C834" i="29"/>
  <c r="C835" i="29"/>
  <c r="C836" i="29"/>
  <c r="C837" i="29"/>
  <c r="C838" i="29"/>
  <c r="C839" i="29"/>
  <c r="C840" i="29"/>
  <c r="C841" i="29"/>
  <c r="C842" i="29"/>
  <c r="C843" i="29"/>
  <c r="C844" i="29"/>
  <c r="C845" i="29"/>
  <c r="C846" i="29"/>
  <c r="C847" i="29"/>
  <c r="C848" i="29"/>
  <c r="C849" i="29"/>
  <c r="C850" i="29"/>
  <c r="C851" i="29"/>
  <c r="C852" i="29"/>
  <c r="C853" i="29"/>
  <c r="C854" i="29"/>
  <c r="C855" i="29"/>
  <c r="C856" i="29"/>
  <c r="C857" i="29"/>
  <c r="C858" i="29"/>
  <c r="C859" i="29"/>
  <c r="C860" i="29"/>
  <c r="C861" i="29"/>
  <c r="C862" i="29"/>
  <c r="C863" i="29"/>
  <c r="C864" i="29"/>
  <c r="C865" i="29"/>
  <c r="C866" i="29"/>
  <c r="C867" i="29"/>
  <c r="C868" i="29"/>
  <c r="C869" i="29"/>
  <c r="C870" i="29"/>
  <c r="C871" i="29"/>
  <c r="C872" i="29"/>
  <c r="C873" i="29"/>
  <c r="C874" i="29"/>
  <c r="C875" i="29"/>
  <c r="C876" i="29"/>
  <c r="C877" i="29"/>
  <c r="C878" i="29"/>
  <c r="C879" i="29"/>
  <c r="C880" i="29"/>
  <c r="C881" i="29"/>
  <c r="C882" i="29"/>
  <c r="C883" i="29"/>
  <c r="C884" i="29"/>
  <c r="C885" i="29"/>
  <c r="C886" i="29"/>
  <c r="C887" i="29"/>
  <c r="C888" i="29"/>
  <c r="C889" i="29"/>
  <c r="C890" i="29"/>
  <c r="C891" i="29"/>
  <c r="C892" i="29"/>
  <c r="C893" i="29"/>
  <c r="C894" i="29"/>
  <c r="C895" i="29"/>
  <c r="C896" i="29"/>
  <c r="C897" i="29"/>
  <c r="C898" i="29"/>
  <c r="C899" i="29"/>
  <c r="C900" i="29"/>
  <c r="C901" i="29"/>
  <c r="C902" i="29"/>
  <c r="C903" i="29"/>
  <c r="C904" i="29"/>
  <c r="C905" i="29"/>
  <c r="C906" i="29"/>
  <c r="C907" i="29"/>
  <c r="C908" i="29"/>
  <c r="C909" i="29"/>
  <c r="C910" i="29"/>
  <c r="C911" i="29"/>
  <c r="C912" i="29"/>
  <c r="C913" i="29"/>
  <c r="C914" i="29"/>
  <c r="C915" i="29"/>
  <c r="C916" i="29"/>
  <c r="C917" i="29"/>
  <c r="C918" i="29"/>
  <c r="C919" i="29"/>
  <c r="C920" i="29"/>
  <c r="C921" i="29"/>
  <c r="C922" i="29"/>
  <c r="C923" i="29"/>
  <c r="C924" i="29"/>
  <c r="C925" i="29"/>
  <c r="C926" i="29"/>
  <c r="C927" i="29"/>
  <c r="C928" i="29"/>
  <c r="C929" i="29"/>
  <c r="C930" i="29"/>
  <c r="C931" i="29"/>
  <c r="C932" i="29"/>
  <c r="C933" i="29"/>
  <c r="C934" i="29"/>
  <c r="C935" i="29"/>
  <c r="C936" i="29"/>
  <c r="C937" i="29"/>
  <c r="C938" i="29"/>
  <c r="C939" i="29"/>
  <c r="C940" i="29"/>
  <c r="C941" i="29"/>
  <c r="C942" i="29"/>
  <c r="C943" i="29"/>
  <c r="C944" i="29"/>
  <c r="C945" i="29"/>
  <c r="C946" i="29"/>
  <c r="C947" i="29"/>
  <c r="C948" i="29"/>
  <c r="C949" i="29"/>
  <c r="C950" i="29"/>
  <c r="C951" i="29"/>
  <c r="C952" i="29"/>
  <c r="C953" i="29"/>
  <c r="C954" i="29"/>
  <c r="C955" i="29"/>
  <c r="C956" i="29"/>
  <c r="C957" i="29"/>
  <c r="C958" i="29"/>
  <c r="C959" i="29"/>
  <c r="C960" i="29"/>
  <c r="C961" i="29"/>
  <c r="C962" i="29"/>
  <c r="C963" i="29"/>
  <c r="C964" i="29"/>
  <c r="C965" i="29"/>
  <c r="C966" i="29"/>
  <c r="C967" i="29"/>
  <c r="C968" i="29"/>
  <c r="C969" i="29"/>
  <c r="C970" i="29"/>
  <c r="C971" i="29"/>
  <c r="C972" i="29"/>
  <c r="C973" i="29"/>
  <c r="C974" i="29"/>
  <c r="C975" i="29"/>
  <c r="C976" i="29"/>
  <c r="C977" i="29"/>
  <c r="C978" i="29"/>
  <c r="C979" i="29"/>
  <c r="C980" i="29"/>
  <c r="C981" i="29"/>
  <c r="C982" i="29"/>
  <c r="C983" i="29"/>
  <c r="C984" i="29"/>
  <c r="C985" i="29"/>
  <c r="C986" i="29"/>
  <c r="C987" i="29"/>
  <c r="C988" i="29"/>
  <c r="C989" i="29"/>
  <c r="C990" i="29"/>
  <c r="C991" i="29"/>
  <c r="C992" i="29"/>
  <c r="C993" i="29"/>
  <c r="C994" i="29"/>
  <c r="C995" i="29"/>
  <c r="C996" i="29"/>
  <c r="C997" i="29"/>
  <c r="C998" i="29"/>
  <c r="C999" i="29"/>
  <c r="C1000" i="29"/>
  <c r="C1001" i="29"/>
  <c r="C1002" i="29"/>
  <c r="C1003" i="29"/>
  <c r="C1004" i="29"/>
  <c r="C1005" i="29"/>
  <c r="C1006" i="29"/>
  <c r="C1007" i="29"/>
  <c r="C1008" i="29"/>
  <c r="C1009" i="29"/>
  <c r="C1010" i="29"/>
  <c r="C1011" i="29"/>
  <c r="C1012" i="29"/>
  <c r="C1013" i="29"/>
  <c r="C1014" i="29"/>
  <c r="C1015" i="29"/>
  <c r="C1016" i="29"/>
  <c r="C1017" i="29"/>
  <c r="C1018" i="29"/>
  <c r="C1019" i="29"/>
  <c r="C1020" i="29"/>
  <c r="C1021" i="29"/>
  <c r="C1022" i="29"/>
  <c r="C1023" i="29"/>
  <c r="C1024" i="29"/>
  <c r="C1025" i="29"/>
  <c r="C1026" i="29"/>
  <c r="C1027" i="29"/>
  <c r="C1028" i="29"/>
  <c r="C2" i="29"/>
  <c r="C3" i="25"/>
  <c r="C4" i="25"/>
  <c r="C5" i="25"/>
  <c r="C6" i="25"/>
  <c r="C7" i="25"/>
  <c r="C2" i="25"/>
  <c r="J130" i="32" l="1"/>
  <c r="O131" i="32" a="1"/>
  <c r="O131" i="32" s="1"/>
  <c r="J128" i="32"/>
  <c r="O129" i="32" a="1"/>
  <c r="O129" i="32" s="1"/>
  <c r="O128" i="32" s="1"/>
  <c r="O93" i="32"/>
  <c r="J93" i="32"/>
  <c r="O124" i="32" a="1"/>
  <c r="O124" i="32" s="1"/>
  <c r="J98" i="32"/>
  <c r="O125" i="32" a="1"/>
  <c r="O125" i="32" s="1"/>
  <c r="J70" i="32"/>
  <c r="O71" i="32"/>
  <c r="O70" i="32" s="1"/>
  <c r="O127" i="32" a="1"/>
  <c r="O127" i="32" s="1"/>
  <c r="J126" i="32"/>
  <c r="O126" i="32" a="1"/>
  <c r="O126" i="32" s="1"/>
  <c r="O98" i="32"/>
  <c r="J101" i="32"/>
  <c r="J61" i="32"/>
  <c r="O62" i="32"/>
  <c r="O61" i="32" s="1"/>
  <c r="J40" i="32"/>
  <c r="O41" i="32" a="1"/>
  <c r="O41" i="32" s="1"/>
  <c r="O68" i="32"/>
  <c r="J67" i="32"/>
  <c r="J28" i="32"/>
  <c r="J86" i="32"/>
  <c r="O32" i="32"/>
  <c r="J31" i="32"/>
  <c r="O102" i="32" a="1"/>
  <c r="O102" i="32" s="1"/>
  <c r="O101" i="32" s="1"/>
  <c r="O87" i="32"/>
  <c r="J79" i="32"/>
  <c r="O79" i="32" s="1"/>
  <c r="C17" i="25"/>
  <c r="C18" i="25"/>
  <c r="C19" i="25"/>
  <c r="C20" i="25"/>
  <c r="C21" i="25"/>
  <c r="C22" i="25"/>
  <c r="C23" i="25"/>
  <c r="C24" i="25"/>
  <c r="C25" i="25"/>
  <c r="C26" i="25"/>
  <c r="C27" i="25"/>
  <c r="C28" i="25"/>
  <c r="C29" i="25"/>
  <c r="C30" i="25"/>
  <c r="C31" i="25"/>
  <c r="C32" i="25"/>
  <c r="C33" i="25"/>
  <c r="C34" i="25"/>
  <c r="C35" i="25"/>
  <c r="C36" i="25"/>
  <c r="C37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C52" i="25"/>
  <c r="C53" i="25"/>
  <c r="C54" i="25"/>
  <c r="C55" i="25"/>
  <c r="C56" i="25"/>
  <c r="C57" i="25"/>
  <c r="C58" i="25"/>
  <c r="C59" i="25"/>
  <c r="C60" i="25"/>
  <c r="C61" i="25"/>
  <c r="C62" i="25"/>
  <c r="C63" i="25"/>
  <c r="C64" i="25"/>
  <c r="C65" i="25"/>
  <c r="C66" i="25"/>
  <c r="C67" i="25"/>
  <c r="C68" i="25"/>
  <c r="C69" i="25"/>
  <c r="C70" i="25"/>
  <c r="C71" i="25"/>
  <c r="C72" i="25"/>
  <c r="C73" i="25"/>
  <c r="C74" i="25"/>
  <c r="C75" i="25"/>
  <c r="C76" i="25"/>
  <c r="C77" i="25"/>
  <c r="C78" i="25"/>
  <c r="C79" i="25"/>
  <c r="C80" i="25"/>
  <c r="C81" i="25"/>
  <c r="C82" i="25"/>
  <c r="C83" i="25"/>
  <c r="C84" i="25"/>
  <c r="C85" i="25"/>
  <c r="C86" i="25"/>
  <c r="C87" i="25"/>
  <c r="C88" i="25"/>
  <c r="C89" i="25"/>
  <c r="C90" i="25"/>
  <c r="C91" i="25"/>
  <c r="C92" i="25"/>
  <c r="C93" i="25"/>
  <c r="C94" i="25"/>
  <c r="C95" i="25"/>
  <c r="C96" i="25"/>
  <c r="C97" i="25"/>
  <c r="C98" i="25"/>
  <c r="C99" i="25"/>
  <c r="C100" i="25"/>
  <c r="C101" i="25"/>
  <c r="C102" i="25"/>
  <c r="C103" i="25"/>
  <c r="C104" i="25"/>
  <c r="C105" i="25"/>
  <c r="C106" i="25"/>
  <c r="C107" i="25"/>
  <c r="C108" i="25"/>
  <c r="C109" i="25"/>
  <c r="C110" i="25"/>
  <c r="C111" i="25"/>
  <c r="C112" i="25"/>
  <c r="C113" i="25"/>
  <c r="C114" i="25"/>
  <c r="C115" i="25"/>
  <c r="C116" i="25"/>
  <c r="C117" i="25"/>
  <c r="C118" i="25"/>
  <c r="C119" i="25"/>
  <c r="C120" i="25"/>
  <c r="C121" i="25"/>
  <c r="C122" i="25"/>
  <c r="C123" i="25"/>
  <c r="C124" i="25"/>
  <c r="C125" i="25"/>
  <c r="C126" i="25"/>
  <c r="C127" i="25"/>
  <c r="C128" i="25"/>
  <c r="C129" i="25"/>
  <c r="C130" i="25"/>
  <c r="C131" i="25"/>
  <c r="C132" i="25"/>
  <c r="C133" i="25"/>
  <c r="C134" i="25"/>
  <c r="C135" i="25"/>
  <c r="C136" i="25"/>
  <c r="C137" i="25"/>
  <c r="C138" i="25"/>
  <c r="C139" i="25"/>
  <c r="C140" i="25"/>
  <c r="C141" i="25"/>
  <c r="C142" i="25"/>
  <c r="C143" i="25"/>
  <c r="C144" i="25"/>
  <c r="C145" i="25"/>
  <c r="C146" i="25"/>
  <c r="C147" i="25"/>
  <c r="C148" i="25"/>
  <c r="C149" i="25"/>
  <c r="C150" i="25"/>
  <c r="C151" i="25"/>
  <c r="C152" i="25"/>
  <c r="C153" i="25"/>
  <c r="C154" i="25"/>
  <c r="C155" i="25"/>
  <c r="C156" i="25"/>
  <c r="C157" i="25"/>
  <c r="C158" i="25"/>
  <c r="C159" i="25"/>
  <c r="C160" i="25"/>
  <c r="C161" i="25"/>
  <c r="C162" i="25"/>
  <c r="C163" i="25"/>
  <c r="C164" i="25"/>
  <c r="C165" i="25"/>
  <c r="C166" i="25"/>
  <c r="C167" i="25"/>
  <c r="C168" i="25"/>
  <c r="C169" i="25"/>
  <c r="C170" i="25"/>
  <c r="C171" i="25"/>
  <c r="C172" i="25"/>
  <c r="C173" i="25"/>
  <c r="C174" i="25"/>
  <c r="C175" i="25"/>
  <c r="C176" i="25"/>
  <c r="C177" i="25"/>
  <c r="C178" i="25"/>
  <c r="C179" i="25"/>
  <c r="C180" i="25"/>
  <c r="C181" i="25"/>
  <c r="C182" i="25"/>
  <c r="C183" i="25"/>
  <c r="C184" i="25"/>
  <c r="C185" i="25"/>
  <c r="C186" i="25"/>
  <c r="C187" i="25"/>
  <c r="C188" i="25"/>
  <c r="C189" i="25"/>
  <c r="C190" i="25"/>
  <c r="C191" i="25"/>
  <c r="C192" i="25"/>
  <c r="C193" i="25"/>
  <c r="C194" i="25"/>
  <c r="C195" i="25"/>
  <c r="C196" i="25"/>
  <c r="C197" i="25"/>
  <c r="C198" i="25"/>
  <c r="C199" i="25"/>
  <c r="C200" i="25"/>
  <c r="C201" i="25"/>
  <c r="C202" i="25"/>
  <c r="C203" i="25"/>
  <c r="C204" i="25"/>
  <c r="C205" i="25"/>
  <c r="C206" i="25"/>
  <c r="C207" i="25"/>
  <c r="C208" i="25"/>
  <c r="C209" i="25"/>
  <c r="C210" i="25"/>
  <c r="C211" i="25"/>
  <c r="C212" i="25"/>
  <c r="C213" i="25"/>
  <c r="C214" i="25"/>
  <c r="C215" i="25"/>
  <c r="C216" i="25"/>
  <c r="C217" i="25"/>
  <c r="C218" i="25"/>
  <c r="C219" i="25"/>
  <c r="C220" i="25"/>
  <c r="C221" i="25"/>
  <c r="C222" i="25"/>
  <c r="C223" i="25"/>
  <c r="C224" i="25"/>
  <c r="C225" i="25"/>
  <c r="C226" i="25"/>
  <c r="C227" i="25"/>
  <c r="C228" i="25"/>
  <c r="C229" i="25"/>
  <c r="C230" i="25"/>
  <c r="C231" i="25"/>
  <c r="C232" i="25"/>
  <c r="C233" i="25"/>
  <c r="C234" i="25"/>
  <c r="C235" i="25"/>
  <c r="C236" i="25"/>
  <c r="C237" i="25"/>
  <c r="C238" i="25"/>
  <c r="C239" i="25"/>
  <c r="C240" i="25"/>
  <c r="C241" i="25"/>
  <c r="C242" i="25"/>
  <c r="C243" i="25"/>
  <c r="C244" i="25"/>
  <c r="C245" i="25"/>
  <c r="C246" i="25"/>
  <c r="C247" i="25"/>
  <c r="C248" i="25"/>
  <c r="C249" i="25"/>
  <c r="C250" i="25"/>
  <c r="C251" i="25"/>
  <c r="C252" i="25"/>
  <c r="C253" i="25"/>
  <c r="C254" i="25"/>
  <c r="C255" i="25"/>
  <c r="C256" i="25"/>
  <c r="C257" i="25"/>
  <c r="C258" i="25"/>
  <c r="C259" i="25"/>
  <c r="C260" i="25"/>
  <c r="C261" i="25"/>
  <c r="C262" i="25"/>
  <c r="C263" i="25"/>
  <c r="C264" i="25"/>
  <c r="C265" i="25"/>
  <c r="C266" i="25"/>
  <c r="C267" i="25"/>
  <c r="C268" i="25"/>
  <c r="C269" i="25"/>
  <c r="C270" i="25"/>
  <c r="C271" i="25"/>
  <c r="C272" i="25"/>
  <c r="C273" i="25"/>
  <c r="C274" i="25"/>
  <c r="C275" i="25"/>
  <c r="C276" i="25"/>
  <c r="C277" i="25"/>
  <c r="C278" i="25"/>
  <c r="C279" i="25"/>
  <c r="C280" i="25"/>
  <c r="C281" i="25"/>
  <c r="C282" i="25"/>
  <c r="C283" i="25"/>
  <c r="C284" i="25"/>
  <c r="C285" i="25"/>
  <c r="C286" i="25"/>
  <c r="C287" i="25"/>
  <c r="C288" i="25"/>
  <c r="C289" i="25"/>
  <c r="C290" i="25"/>
  <c r="C291" i="25"/>
  <c r="C292" i="25"/>
  <c r="C293" i="25"/>
  <c r="C294" i="25"/>
  <c r="C295" i="25"/>
  <c r="C296" i="25"/>
  <c r="C297" i="25"/>
  <c r="C298" i="25"/>
  <c r="C299" i="25"/>
  <c r="C300" i="25"/>
  <c r="C301" i="25"/>
  <c r="C302" i="25"/>
  <c r="C303" i="25"/>
  <c r="C304" i="25"/>
  <c r="C305" i="25"/>
  <c r="C306" i="25"/>
  <c r="C307" i="25"/>
  <c r="C308" i="25"/>
  <c r="C309" i="25"/>
  <c r="C310" i="25"/>
  <c r="C311" i="25"/>
  <c r="C312" i="25"/>
  <c r="C313" i="25"/>
  <c r="C314" i="25"/>
  <c r="C315" i="25"/>
  <c r="C316" i="25"/>
  <c r="C317" i="25"/>
  <c r="C318" i="25"/>
  <c r="C319" i="25"/>
  <c r="C320" i="25"/>
  <c r="C321" i="25"/>
  <c r="C322" i="25"/>
  <c r="C323" i="25"/>
  <c r="C324" i="25"/>
  <c r="C325" i="25"/>
  <c r="C326" i="25"/>
  <c r="C327" i="25"/>
  <c r="C328" i="25"/>
  <c r="C329" i="25"/>
  <c r="C330" i="25"/>
  <c r="C331" i="25"/>
  <c r="C332" i="25"/>
  <c r="C333" i="25"/>
  <c r="C334" i="25"/>
  <c r="C335" i="25"/>
  <c r="C336" i="25"/>
  <c r="C337" i="25"/>
  <c r="C338" i="25"/>
  <c r="C339" i="25"/>
  <c r="C340" i="25"/>
  <c r="C341" i="25"/>
  <c r="C342" i="25"/>
  <c r="C343" i="25"/>
  <c r="C344" i="25"/>
  <c r="C345" i="25"/>
  <c r="C346" i="25"/>
  <c r="C347" i="25"/>
  <c r="C348" i="25"/>
  <c r="C349" i="25"/>
  <c r="C350" i="25"/>
  <c r="C351" i="25"/>
  <c r="C352" i="25"/>
  <c r="C353" i="25"/>
  <c r="C354" i="25"/>
  <c r="C355" i="25"/>
  <c r="C356" i="25"/>
  <c r="C357" i="25"/>
  <c r="C358" i="25"/>
  <c r="C359" i="25"/>
  <c r="C360" i="25"/>
  <c r="C361" i="25"/>
  <c r="C362" i="25"/>
  <c r="C363" i="25"/>
  <c r="C364" i="25"/>
  <c r="C365" i="25"/>
  <c r="C366" i="25"/>
  <c r="C367" i="25"/>
  <c r="C368" i="25"/>
  <c r="C369" i="25"/>
  <c r="C370" i="25"/>
  <c r="C371" i="25"/>
  <c r="C372" i="25"/>
  <c r="C373" i="25"/>
  <c r="C374" i="25"/>
  <c r="C375" i="25"/>
  <c r="C376" i="25"/>
  <c r="C377" i="25"/>
  <c r="C378" i="25"/>
  <c r="C379" i="25"/>
  <c r="C380" i="25"/>
  <c r="C381" i="25"/>
  <c r="C382" i="25"/>
  <c r="C383" i="25"/>
  <c r="C384" i="25"/>
  <c r="C385" i="25"/>
  <c r="C386" i="25"/>
  <c r="C387" i="25"/>
  <c r="C388" i="25"/>
  <c r="C389" i="25"/>
  <c r="C390" i="25"/>
  <c r="C391" i="25"/>
  <c r="C392" i="25"/>
  <c r="C393" i="25"/>
  <c r="C394" i="25"/>
  <c r="C395" i="25"/>
  <c r="C396" i="25"/>
  <c r="C397" i="25"/>
  <c r="C398" i="25"/>
  <c r="C399" i="25"/>
  <c r="C400" i="25"/>
  <c r="C401" i="25"/>
  <c r="C402" i="25"/>
  <c r="C403" i="25"/>
  <c r="C404" i="25"/>
  <c r="C405" i="25"/>
  <c r="C406" i="25"/>
  <c r="C407" i="25"/>
  <c r="C408" i="25"/>
  <c r="C409" i="25"/>
  <c r="C410" i="25"/>
  <c r="C411" i="25"/>
  <c r="C412" i="25"/>
  <c r="C413" i="25"/>
  <c r="C414" i="25"/>
  <c r="C415" i="25"/>
  <c r="C416" i="25"/>
  <c r="C417" i="25"/>
  <c r="C418" i="25"/>
  <c r="C419" i="25"/>
  <c r="C420" i="25"/>
  <c r="C421" i="25"/>
  <c r="C422" i="25"/>
  <c r="C423" i="25"/>
  <c r="C424" i="25"/>
  <c r="C425" i="25"/>
  <c r="C426" i="25"/>
  <c r="C427" i="25"/>
  <c r="C428" i="25"/>
  <c r="C429" i="25"/>
  <c r="C430" i="25"/>
  <c r="C431" i="25"/>
  <c r="C432" i="25"/>
  <c r="C433" i="25"/>
  <c r="C434" i="25"/>
  <c r="C435" i="25"/>
  <c r="C436" i="25"/>
  <c r="C437" i="25"/>
  <c r="C438" i="25"/>
  <c r="C439" i="25"/>
  <c r="C440" i="25"/>
  <c r="C441" i="25"/>
  <c r="C442" i="25"/>
  <c r="C443" i="25"/>
  <c r="C444" i="25"/>
  <c r="C445" i="25"/>
  <c r="C446" i="25"/>
  <c r="C447" i="25"/>
  <c r="C448" i="25"/>
  <c r="C449" i="25"/>
  <c r="C450" i="25"/>
  <c r="C451" i="25"/>
  <c r="C452" i="25"/>
  <c r="C453" i="25"/>
  <c r="C454" i="25"/>
  <c r="C455" i="25"/>
  <c r="C456" i="25"/>
  <c r="C457" i="25"/>
  <c r="C458" i="25"/>
  <c r="C459" i="25"/>
  <c r="C460" i="25"/>
  <c r="C461" i="25"/>
  <c r="C462" i="25"/>
  <c r="C463" i="25"/>
  <c r="C464" i="25"/>
  <c r="C465" i="25"/>
  <c r="C466" i="25"/>
  <c r="C467" i="25"/>
  <c r="C468" i="25"/>
  <c r="C469" i="25"/>
  <c r="C470" i="25"/>
  <c r="C471" i="25"/>
  <c r="C472" i="25"/>
  <c r="C473" i="25"/>
  <c r="C474" i="25"/>
  <c r="C475" i="25"/>
  <c r="C476" i="25"/>
  <c r="C477" i="25"/>
  <c r="C478" i="25"/>
  <c r="C479" i="25"/>
  <c r="C480" i="25"/>
  <c r="C481" i="25"/>
  <c r="C482" i="25"/>
  <c r="C483" i="25"/>
  <c r="C484" i="25"/>
  <c r="C485" i="25"/>
  <c r="C486" i="25"/>
  <c r="C487" i="25"/>
  <c r="C488" i="25"/>
  <c r="C489" i="25"/>
  <c r="C490" i="25"/>
  <c r="C491" i="25"/>
  <c r="C492" i="25"/>
  <c r="C493" i="25"/>
  <c r="C494" i="25"/>
  <c r="C495" i="25"/>
  <c r="C496" i="25"/>
  <c r="C497" i="25"/>
  <c r="C498" i="25"/>
  <c r="C499" i="25"/>
  <c r="C500" i="25"/>
  <c r="C501" i="25"/>
  <c r="C502" i="25"/>
  <c r="C503" i="25"/>
  <c r="C504" i="25"/>
  <c r="C505" i="25"/>
  <c r="C506" i="25"/>
  <c r="C507" i="25"/>
  <c r="C508" i="25"/>
  <c r="C509" i="25"/>
  <c r="C510" i="25"/>
  <c r="C511" i="25"/>
  <c r="C512" i="25"/>
  <c r="C513" i="25"/>
  <c r="C514" i="25"/>
  <c r="C515" i="25"/>
  <c r="C516" i="25"/>
  <c r="C517" i="25"/>
  <c r="C518" i="25"/>
  <c r="C519" i="25"/>
  <c r="C520" i="25"/>
  <c r="C521" i="25"/>
  <c r="C522" i="25"/>
  <c r="C523" i="25"/>
  <c r="C524" i="25"/>
  <c r="C525" i="25"/>
  <c r="C526" i="25"/>
  <c r="C527" i="25"/>
  <c r="C528" i="25"/>
  <c r="C529" i="25"/>
  <c r="C530" i="25"/>
  <c r="C531" i="25"/>
  <c r="C532" i="25"/>
  <c r="C533" i="25"/>
  <c r="C534" i="25"/>
  <c r="C535" i="25"/>
  <c r="C536" i="25"/>
  <c r="C537" i="25"/>
  <c r="C538" i="25"/>
  <c r="C539" i="25"/>
  <c r="C540" i="25"/>
  <c r="C541" i="25"/>
  <c r="C542" i="25"/>
  <c r="C543" i="25"/>
  <c r="C544" i="25"/>
  <c r="C545" i="25"/>
  <c r="C546" i="25"/>
  <c r="C547" i="25"/>
  <c r="C548" i="25"/>
  <c r="C549" i="25"/>
  <c r="C550" i="25"/>
  <c r="C551" i="25"/>
  <c r="C552" i="25"/>
  <c r="C553" i="25"/>
  <c r="C554" i="25"/>
  <c r="C555" i="25"/>
  <c r="C556" i="25"/>
  <c r="C557" i="25"/>
  <c r="C558" i="25"/>
  <c r="C559" i="25"/>
  <c r="C560" i="25"/>
  <c r="C561" i="25"/>
  <c r="C562" i="25"/>
  <c r="C563" i="25"/>
  <c r="C564" i="25"/>
  <c r="C565" i="25"/>
  <c r="C566" i="25"/>
  <c r="C567" i="25"/>
  <c r="C568" i="25"/>
  <c r="C569" i="25"/>
  <c r="C570" i="25"/>
  <c r="C571" i="25"/>
  <c r="C572" i="25"/>
  <c r="C573" i="25"/>
  <c r="C574" i="25"/>
  <c r="C575" i="25"/>
  <c r="C576" i="25"/>
  <c r="C577" i="25"/>
  <c r="C578" i="25"/>
  <c r="C579" i="25"/>
  <c r="C580" i="25"/>
  <c r="C581" i="25"/>
  <c r="C582" i="25"/>
  <c r="C583" i="25"/>
  <c r="C584" i="25"/>
  <c r="C585" i="25"/>
  <c r="C586" i="25"/>
  <c r="C587" i="25"/>
  <c r="C588" i="25"/>
  <c r="C589" i="25"/>
  <c r="C590" i="25"/>
  <c r="C591" i="25"/>
  <c r="C592" i="25"/>
  <c r="C593" i="25"/>
  <c r="C594" i="25"/>
  <c r="C595" i="25"/>
  <c r="C596" i="25"/>
  <c r="C597" i="25"/>
  <c r="C598" i="25"/>
  <c r="C599" i="25"/>
  <c r="C600" i="25"/>
  <c r="C601" i="25"/>
  <c r="C602" i="25"/>
  <c r="C603" i="25"/>
  <c r="C604" i="25"/>
  <c r="C605" i="25"/>
  <c r="C606" i="25"/>
  <c r="C607" i="25"/>
  <c r="C608" i="25"/>
  <c r="C609" i="25"/>
  <c r="C610" i="25"/>
  <c r="C611" i="25"/>
  <c r="C612" i="25"/>
  <c r="C613" i="25"/>
  <c r="C614" i="25"/>
  <c r="C615" i="25"/>
  <c r="C616" i="25"/>
  <c r="C617" i="25"/>
  <c r="C618" i="25"/>
  <c r="C619" i="25"/>
  <c r="C620" i="25"/>
  <c r="C621" i="25"/>
  <c r="C622" i="25"/>
  <c r="C623" i="25"/>
  <c r="C624" i="25"/>
  <c r="C625" i="25"/>
  <c r="C626" i="25"/>
  <c r="C627" i="25"/>
  <c r="C628" i="25"/>
  <c r="C629" i="25"/>
  <c r="C630" i="25"/>
  <c r="C631" i="25"/>
  <c r="C632" i="25"/>
  <c r="C633" i="25"/>
  <c r="C634" i="25"/>
  <c r="C635" i="25"/>
  <c r="C636" i="25"/>
  <c r="C637" i="25"/>
  <c r="C638" i="25"/>
  <c r="C639" i="25"/>
  <c r="C640" i="25"/>
  <c r="C641" i="25"/>
  <c r="C642" i="25"/>
  <c r="C643" i="25"/>
  <c r="C644" i="25"/>
  <c r="C645" i="25"/>
  <c r="C646" i="25"/>
  <c r="C647" i="25"/>
  <c r="C648" i="25"/>
  <c r="C649" i="25"/>
  <c r="C650" i="25"/>
  <c r="C651" i="25"/>
  <c r="C652" i="25"/>
  <c r="C653" i="25"/>
  <c r="C654" i="25"/>
  <c r="C655" i="25"/>
  <c r="C656" i="25"/>
  <c r="C657" i="25"/>
  <c r="C658" i="25"/>
  <c r="C659" i="25"/>
  <c r="C660" i="25"/>
  <c r="C661" i="25"/>
  <c r="C662" i="25"/>
  <c r="C663" i="25"/>
  <c r="C664" i="25"/>
  <c r="C665" i="25"/>
  <c r="C666" i="25"/>
  <c r="C667" i="25"/>
  <c r="C668" i="25"/>
  <c r="C669" i="25"/>
  <c r="C670" i="25"/>
  <c r="C671" i="25"/>
  <c r="C672" i="25"/>
  <c r="C673" i="25"/>
  <c r="C674" i="25"/>
  <c r="C675" i="25"/>
  <c r="C676" i="25"/>
  <c r="C677" i="25"/>
  <c r="C678" i="25"/>
  <c r="C679" i="25"/>
  <c r="C680" i="25"/>
  <c r="C681" i="25"/>
  <c r="C682" i="25"/>
  <c r="C683" i="25"/>
  <c r="C684" i="25"/>
  <c r="C685" i="25"/>
  <c r="C686" i="25"/>
  <c r="C687" i="25"/>
  <c r="C688" i="25"/>
  <c r="C689" i="25"/>
  <c r="C690" i="25"/>
  <c r="C691" i="25"/>
  <c r="C692" i="25"/>
  <c r="C693" i="25"/>
  <c r="C694" i="25"/>
  <c r="C695" i="25"/>
  <c r="C696" i="25"/>
  <c r="C697" i="25"/>
  <c r="C698" i="25"/>
  <c r="C699" i="25"/>
  <c r="C700" i="25"/>
  <c r="C701" i="25"/>
  <c r="C702" i="25"/>
  <c r="C703" i="25"/>
  <c r="C704" i="25"/>
  <c r="C705" i="25"/>
  <c r="C706" i="25"/>
  <c r="C707" i="25"/>
  <c r="C708" i="25"/>
  <c r="C709" i="25"/>
  <c r="C710" i="25"/>
  <c r="C711" i="25"/>
  <c r="C712" i="25"/>
  <c r="C713" i="25"/>
  <c r="C714" i="25"/>
  <c r="C715" i="25"/>
  <c r="C716" i="25"/>
  <c r="C717" i="25"/>
  <c r="C718" i="25"/>
  <c r="C719" i="25"/>
  <c r="C720" i="25"/>
  <c r="C721" i="25"/>
  <c r="C722" i="25"/>
  <c r="C723" i="25"/>
  <c r="C724" i="25"/>
  <c r="C725" i="25"/>
  <c r="C726" i="25"/>
  <c r="C727" i="25"/>
  <c r="C728" i="25"/>
  <c r="C729" i="25"/>
  <c r="C730" i="25"/>
  <c r="C731" i="25"/>
  <c r="C732" i="25"/>
  <c r="C733" i="25"/>
  <c r="C734" i="25"/>
  <c r="C735" i="25"/>
  <c r="C736" i="25"/>
  <c r="C737" i="25"/>
  <c r="C738" i="25"/>
  <c r="C739" i="25"/>
  <c r="C740" i="25"/>
  <c r="C741" i="25"/>
  <c r="C742" i="25"/>
  <c r="C743" i="25"/>
  <c r="C744" i="25"/>
  <c r="C745" i="25"/>
  <c r="C746" i="25"/>
  <c r="C747" i="25"/>
  <c r="C748" i="25"/>
  <c r="C749" i="25"/>
  <c r="C750" i="25"/>
  <c r="C751" i="25"/>
  <c r="C752" i="25"/>
  <c r="C753" i="25"/>
  <c r="C754" i="25"/>
  <c r="C755" i="25"/>
  <c r="C756" i="25"/>
  <c r="C757" i="25"/>
  <c r="C758" i="25"/>
  <c r="C759" i="25"/>
  <c r="C760" i="25"/>
  <c r="C761" i="25"/>
  <c r="C762" i="25"/>
  <c r="C763" i="25"/>
  <c r="C764" i="25"/>
  <c r="C765" i="25"/>
  <c r="C766" i="25"/>
  <c r="C767" i="25"/>
  <c r="C768" i="25"/>
  <c r="C769" i="25"/>
  <c r="C770" i="25"/>
  <c r="C771" i="25"/>
  <c r="C772" i="25"/>
  <c r="C773" i="25"/>
  <c r="C774" i="25"/>
  <c r="C775" i="25"/>
  <c r="C776" i="25"/>
  <c r="C777" i="25"/>
  <c r="C778" i="25"/>
  <c r="C779" i="25"/>
  <c r="C780" i="25"/>
  <c r="C781" i="25"/>
  <c r="C782" i="25"/>
  <c r="C783" i="25"/>
  <c r="C784" i="25"/>
  <c r="C785" i="25"/>
  <c r="C786" i="25"/>
  <c r="C787" i="25"/>
  <c r="C788" i="25"/>
  <c r="C789" i="25"/>
  <c r="C790" i="25"/>
  <c r="C791" i="25"/>
  <c r="C792" i="25"/>
  <c r="C793" i="25"/>
  <c r="C794" i="25"/>
  <c r="C795" i="25"/>
  <c r="C796" i="25"/>
  <c r="C797" i="25"/>
  <c r="C798" i="25"/>
  <c r="C799" i="25"/>
  <c r="C800" i="25"/>
  <c r="C801" i="25"/>
  <c r="C802" i="25"/>
  <c r="C803" i="25"/>
  <c r="C804" i="25"/>
  <c r="C805" i="25"/>
  <c r="C806" i="25"/>
  <c r="C807" i="25"/>
  <c r="C808" i="25"/>
  <c r="C809" i="25"/>
  <c r="C810" i="25"/>
  <c r="C811" i="25"/>
  <c r="C812" i="25"/>
  <c r="C813" i="25"/>
  <c r="C814" i="25"/>
  <c r="C815" i="25"/>
  <c r="C816" i="25"/>
  <c r="C817" i="25"/>
  <c r="C818" i="25"/>
  <c r="C819" i="25"/>
  <c r="C820" i="25"/>
  <c r="C821" i="25"/>
  <c r="C822" i="25"/>
  <c r="C823" i="25"/>
  <c r="C824" i="25"/>
  <c r="C825" i="25"/>
  <c r="C826" i="25"/>
  <c r="C827" i="25"/>
  <c r="C828" i="25"/>
  <c r="C829" i="25"/>
  <c r="C830" i="25"/>
  <c r="C831" i="25"/>
  <c r="C832" i="25"/>
  <c r="C833" i="25"/>
  <c r="C834" i="25"/>
  <c r="C835" i="25"/>
  <c r="C836" i="25"/>
  <c r="C837" i="25"/>
  <c r="C838" i="25"/>
  <c r="C839" i="25"/>
  <c r="C840" i="25"/>
  <c r="C841" i="25"/>
  <c r="C842" i="25"/>
  <c r="C843" i="25"/>
  <c r="C844" i="25"/>
  <c r="C845" i="25"/>
  <c r="C846" i="25"/>
  <c r="C847" i="25"/>
  <c r="C848" i="25"/>
  <c r="C849" i="25"/>
  <c r="C850" i="25"/>
  <c r="C851" i="25"/>
  <c r="C852" i="25"/>
  <c r="C853" i="25"/>
  <c r="C854" i="25"/>
  <c r="C855" i="25"/>
  <c r="C856" i="25"/>
  <c r="C857" i="25"/>
  <c r="C858" i="25"/>
  <c r="C859" i="25"/>
  <c r="C860" i="25"/>
  <c r="C861" i="25"/>
  <c r="C862" i="25"/>
  <c r="C863" i="25"/>
  <c r="C864" i="25"/>
  <c r="C865" i="25"/>
  <c r="C866" i="25"/>
  <c r="C867" i="25"/>
  <c r="C868" i="25"/>
  <c r="C869" i="25"/>
  <c r="C870" i="25"/>
  <c r="C871" i="25"/>
  <c r="C872" i="25"/>
  <c r="C873" i="25"/>
  <c r="C874" i="25"/>
  <c r="C875" i="25"/>
  <c r="C876" i="25"/>
  <c r="C877" i="25"/>
  <c r="C878" i="25"/>
  <c r="C879" i="25"/>
  <c r="C880" i="25"/>
  <c r="C881" i="25"/>
  <c r="C882" i="25"/>
  <c r="C883" i="25"/>
  <c r="C884" i="25"/>
  <c r="C885" i="25"/>
  <c r="C886" i="25"/>
  <c r="C887" i="25"/>
  <c r="C888" i="25"/>
  <c r="C889" i="25"/>
  <c r="C890" i="25"/>
  <c r="C891" i="25"/>
  <c r="C892" i="25"/>
  <c r="C893" i="25"/>
  <c r="C894" i="25"/>
  <c r="C895" i="25"/>
  <c r="C896" i="25"/>
  <c r="C897" i="25"/>
  <c r="C898" i="25"/>
  <c r="C899" i="25"/>
  <c r="C900" i="25"/>
  <c r="C901" i="25"/>
  <c r="C902" i="25"/>
  <c r="C903" i="25"/>
  <c r="C904" i="25"/>
  <c r="C905" i="25"/>
  <c r="C906" i="25"/>
  <c r="C907" i="25"/>
  <c r="C908" i="25"/>
  <c r="C909" i="25"/>
  <c r="C910" i="25"/>
  <c r="C911" i="25"/>
  <c r="C912" i="25"/>
  <c r="C913" i="25"/>
  <c r="C914" i="25"/>
  <c r="C915" i="25"/>
  <c r="C916" i="25"/>
  <c r="C917" i="25"/>
  <c r="C918" i="25"/>
  <c r="C919" i="25"/>
  <c r="C920" i="25"/>
  <c r="C921" i="25"/>
  <c r="C922" i="25"/>
  <c r="C923" i="25"/>
  <c r="C924" i="25"/>
  <c r="C925" i="25"/>
  <c r="C926" i="25"/>
  <c r="C927" i="25"/>
  <c r="C928" i="25"/>
  <c r="C929" i="25"/>
  <c r="C930" i="25"/>
  <c r="C931" i="25"/>
  <c r="C932" i="25"/>
  <c r="C933" i="25"/>
  <c r="C934" i="25"/>
  <c r="C935" i="25"/>
  <c r="C936" i="25"/>
  <c r="C937" i="25"/>
  <c r="C938" i="25"/>
  <c r="C939" i="25"/>
  <c r="C940" i="25"/>
  <c r="C941" i="25"/>
  <c r="C942" i="25"/>
  <c r="C943" i="25"/>
  <c r="C944" i="25"/>
  <c r="C945" i="25"/>
  <c r="C946" i="25"/>
  <c r="C947" i="25"/>
  <c r="C948" i="25"/>
  <c r="C949" i="25"/>
  <c r="C950" i="25"/>
  <c r="C951" i="25"/>
  <c r="C952" i="25"/>
  <c r="C953" i="25"/>
  <c r="C954" i="25"/>
  <c r="C955" i="25"/>
  <c r="C956" i="25"/>
  <c r="C957" i="25"/>
  <c r="C958" i="25"/>
  <c r="C959" i="25"/>
  <c r="C960" i="25"/>
  <c r="C961" i="25"/>
  <c r="C962" i="25"/>
  <c r="C963" i="25"/>
  <c r="C964" i="25"/>
  <c r="C965" i="25"/>
  <c r="C966" i="25"/>
  <c r="C967" i="25"/>
  <c r="C968" i="25"/>
  <c r="C969" i="25"/>
  <c r="C970" i="25"/>
  <c r="C971" i="25"/>
  <c r="C972" i="25"/>
  <c r="C973" i="25"/>
  <c r="C974" i="25"/>
  <c r="C975" i="25"/>
  <c r="C976" i="25"/>
  <c r="C977" i="25"/>
  <c r="C978" i="25"/>
  <c r="C979" i="25"/>
  <c r="C980" i="25"/>
  <c r="C981" i="25"/>
  <c r="C982" i="25"/>
  <c r="C983" i="25"/>
  <c r="C984" i="25"/>
  <c r="C985" i="25"/>
  <c r="C986" i="25"/>
  <c r="C987" i="25"/>
  <c r="C988" i="25"/>
  <c r="C989" i="25"/>
  <c r="C990" i="25"/>
  <c r="C991" i="25"/>
  <c r="C992" i="25"/>
  <c r="C993" i="25"/>
  <c r="C994" i="25"/>
  <c r="C995" i="25"/>
  <c r="C8" i="25"/>
  <c r="C9" i="25"/>
  <c r="C11" i="25"/>
  <c r="C12" i="25"/>
  <c r="C13" i="25"/>
  <c r="C14" i="25"/>
  <c r="C15" i="25"/>
  <c r="C16" i="25"/>
  <c r="O86" i="32" l="1"/>
  <c r="O130" i="32"/>
  <c r="O67" i="32"/>
  <c r="O40" i="32"/>
  <c r="O31" i="32"/>
  <c r="O28" i="32"/>
  <c r="J134" i="32"/>
  <c r="H144" i="32" s="1"/>
  <c r="F3" i="31"/>
  <c r="F4" i="31"/>
  <c r="F5" i="31"/>
  <c r="F6" i="31"/>
  <c r="F7" i="31"/>
  <c r="F8" i="31"/>
  <c r="F9" i="31"/>
  <c r="F10" i="31"/>
  <c r="F11" i="31"/>
  <c r="F12" i="31"/>
  <c r="F13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4" i="31"/>
  <c r="F35" i="31"/>
  <c r="F36" i="31"/>
  <c r="F37" i="31"/>
  <c r="F2" i="31"/>
  <c r="O134" i="32" l="1"/>
  <c r="H145" i="32" s="1"/>
  <c r="E39" i="15"/>
  <c r="C3" i="28" l="1"/>
  <c r="E3" i="28" s="1"/>
  <c r="C4" i="28"/>
  <c r="E4" i="28" s="1"/>
  <c r="C5" i="28"/>
  <c r="C6" i="28"/>
  <c r="C7" i="28"/>
  <c r="E7" i="28" s="1"/>
  <c r="C8" i="28"/>
  <c r="E8" i="28" s="1"/>
  <c r="C9" i="28"/>
  <c r="C10" i="28"/>
  <c r="C11" i="28"/>
  <c r="C12" i="28"/>
  <c r="E12" i="28" s="1"/>
  <c r="C13" i="28"/>
  <c r="C14" i="28"/>
  <c r="C15" i="28"/>
  <c r="C16" i="28"/>
  <c r="C2" i="28"/>
  <c r="E2" i="28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CE269B-0569-4869-A210-BA25FCF9233D}" keepAlive="1" name="Запрос — Таблица1" description="Соединение с запросом &quot;Таблица1&quot; в книге." type="5" refreshedVersion="8" background="1" saveData="1">
    <dbPr connection="Provider=Microsoft.Mashup.OleDb.1;Data Source=$Workbook$;Location=Таблица1;Extended Properties=&quot;&quot;" command="SELECT * FROM [Таблица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<sst xmlns="http://schemas.openxmlformats.org/spreadsheetml/2006/main" count="5966" uniqueCount="410">
  <si>
    <t>Воронеж</t>
  </si>
  <si>
    <t>ТВ</t>
  </si>
  <si>
    <t>Каналы</t>
  </si>
  <si>
    <t>Спонсорство</t>
  </si>
  <si>
    <t>Прямая Реклама</t>
  </si>
  <si>
    <t>ООН</t>
  </si>
  <si>
    <t>BB</t>
  </si>
  <si>
    <t>-</t>
  </si>
  <si>
    <t>DBB</t>
  </si>
  <si>
    <t>PL</t>
  </si>
  <si>
    <t>SS</t>
  </si>
  <si>
    <t>CF</t>
  </si>
  <si>
    <t>Indoor</t>
  </si>
  <si>
    <t>Авиапарк</t>
  </si>
  <si>
    <t>ТЦ Атриум</t>
  </si>
  <si>
    <t>ПВЗ</t>
  </si>
  <si>
    <t>ТЦ Коламбус</t>
  </si>
  <si>
    <t>Метро</t>
  </si>
  <si>
    <t>Количество веток</t>
  </si>
  <si>
    <t>Digital Screen в вагонах</t>
  </si>
  <si>
    <t>DCF на ст.метро</t>
  </si>
  <si>
    <t>Digital Screen на ст.Савеловская</t>
  </si>
  <si>
    <t>Стикеры в вагонах А2</t>
  </si>
  <si>
    <t>Стикеры в вагонах над дверью</t>
  </si>
  <si>
    <t>Радио</t>
  </si>
  <si>
    <t>Количество выходов за весь период</t>
  </si>
  <si>
    <t>Видео без продвижения</t>
  </si>
  <si>
    <t>Промо-пост без продвижения</t>
  </si>
  <si>
    <t>Аудио</t>
  </si>
  <si>
    <t>Промо-пост</t>
  </si>
  <si>
    <t>Видео</t>
  </si>
  <si>
    <t>Экраны на сцене</t>
  </si>
  <si>
    <t>Экраны в чаше локации/стадиона</t>
  </si>
  <si>
    <t>Плазменные панели на територии локации/стадиона</t>
  </si>
  <si>
    <t xml:space="preserve">Лого на входе </t>
  </si>
  <si>
    <t>Голосовое сообщение до старта мероприятия</t>
  </si>
  <si>
    <t xml:space="preserve">Голосовое сообщение во время мероприятия </t>
  </si>
  <si>
    <t>Брендирование</t>
  </si>
  <si>
    <t>брендинг вип-зоны</t>
  </si>
  <si>
    <t>размещение арт-объекта</t>
  </si>
  <si>
    <t>бренд-зона/лаундж-зона</t>
  </si>
  <si>
    <t>брендинг браслетов</t>
  </si>
  <si>
    <t>брендинг одежды персонала (бармены, гардеробщики)</t>
  </si>
  <si>
    <t>брендированная раздатка (например, флешмоб с брендированными масками с лицом артиста)</t>
  </si>
  <si>
    <t>брендированная зона раздачи мерча</t>
  </si>
  <si>
    <t>Промо-акции</t>
  </si>
  <si>
    <t>Различные акции с участием промо-персонала</t>
  </si>
  <si>
    <t xml:space="preserve">Взаимодействие с артистом во время мероприятия </t>
  </si>
  <si>
    <t xml:space="preserve">Интеграция в шоу (например, сброс брендированных шаров, упоминания от артиста на сцене)
</t>
  </si>
  <si>
    <t>UGC</t>
  </si>
  <si>
    <t>Посты в социальных сетях, опубликованные посетителями мероприятия</t>
  </si>
  <si>
    <t>Лого партнера</t>
  </si>
  <si>
    <t>Интеграция в фото и видео отчеты</t>
  </si>
  <si>
    <t>PR публикации</t>
  </si>
  <si>
    <t>Интеграция в посты у артиста</t>
  </si>
  <si>
    <t>Омск</t>
  </si>
  <si>
    <t>Калининград</t>
  </si>
  <si>
    <t>Хабаровск</t>
  </si>
  <si>
    <t>Нижний Новгород</t>
  </si>
  <si>
    <t>Чебоксары</t>
  </si>
  <si>
    <t>Сочи</t>
  </si>
  <si>
    <t>Краснодар</t>
  </si>
  <si>
    <t>Новосибирск</t>
  </si>
  <si>
    <t>Казань</t>
  </si>
  <si>
    <t>Кемерово</t>
  </si>
  <si>
    <t>Томск</t>
  </si>
  <si>
    <t>Екатеринбург</t>
  </si>
  <si>
    <t>Санкт-Петербург</t>
  </si>
  <si>
    <t>Москва</t>
  </si>
  <si>
    <t>Город</t>
  </si>
  <si>
    <t>Формат</t>
  </si>
  <si>
    <t>Город+Формат</t>
  </si>
  <si>
    <t>Канал</t>
  </si>
  <si>
    <t>Минуты в день</t>
  </si>
  <si>
    <t>OTS</t>
  </si>
  <si>
    <t>Источник: Mediascope</t>
  </si>
  <si>
    <t xml:space="preserve">ТНТ 4 </t>
  </si>
  <si>
    <t xml:space="preserve">ПЯТНИЦА </t>
  </si>
  <si>
    <t xml:space="preserve">Ю </t>
  </si>
  <si>
    <t xml:space="preserve">СТС LOVE </t>
  </si>
  <si>
    <t xml:space="preserve">РОССИЯ 24 </t>
  </si>
  <si>
    <t xml:space="preserve">ТНТ </t>
  </si>
  <si>
    <t xml:space="preserve">СТС </t>
  </si>
  <si>
    <t xml:space="preserve">РОССИЯ 1 </t>
  </si>
  <si>
    <t xml:space="preserve">ПЕРВЫЙ КАНАЛ </t>
  </si>
  <si>
    <t>Радиостанция</t>
  </si>
  <si>
    <t>Авторадио</t>
  </si>
  <si>
    <t>Like FM</t>
  </si>
  <si>
    <t>Comedy Radio</t>
  </si>
  <si>
    <t>Юмор FM</t>
  </si>
  <si>
    <t>Relax FM</t>
  </si>
  <si>
    <t>Радио ENERGY</t>
  </si>
  <si>
    <t>STUDIO 21</t>
  </si>
  <si>
    <t>Европа Плюс</t>
  </si>
  <si>
    <t>Business FM</t>
  </si>
  <si>
    <t>Коэф</t>
  </si>
  <si>
    <t>персональные браслеты (фан зона/танц пол)</t>
  </si>
  <si>
    <t>Баннеры</t>
  </si>
  <si>
    <t>печатные баннеры/бегущие строки на трибунах</t>
  </si>
  <si>
    <t>DSS</t>
  </si>
  <si>
    <t>Карусель</t>
  </si>
  <si>
    <t>брендинг кресел во всем зале</t>
  </si>
  <si>
    <t>DCF</t>
  </si>
  <si>
    <t>OLV - размещение в видео (in-stream)</t>
  </si>
  <si>
    <t>брендинг сидушек/пуфиков/шезлонгов в общих зонах</t>
  </si>
  <si>
    <t>Медиафасады</t>
  </si>
  <si>
    <t>HTML5 баннер</t>
  </si>
  <si>
    <t>Билборд в ВК</t>
  </si>
  <si>
    <t>флаги/штендеры/лайтбоксы/расклеенные печатные лого/тейбл-тенты на локации мероприятия</t>
  </si>
  <si>
    <t>брендинг зоны бара</t>
  </si>
  <si>
    <t>брендинг сцены/спортивной площадки (например, логотип на льду на хоккее)</t>
  </si>
  <si>
    <t>брендинг меню</t>
  </si>
  <si>
    <t>брендинг посуды в баре</t>
  </si>
  <si>
    <t>брендинг гардероба</t>
  </si>
  <si>
    <t>брендинг номерков</t>
  </si>
  <si>
    <t>брендинг зоны туалета</t>
  </si>
  <si>
    <t>раздача/продажа брендированного мерча на площадке</t>
  </si>
  <si>
    <t>брендинг одежды артистов/спорстменов</t>
  </si>
  <si>
    <t>брендирование подарков (новогодние елки)</t>
  </si>
  <si>
    <t>AR-фотозона (с интерактивом)</t>
  </si>
  <si>
    <t>Фотозона</t>
  </si>
  <si>
    <t>Хроно креатива</t>
  </si>
  <si>
    <t>Доля/Время взаимодействия с креативом</t>
  </si>
  <si>
    <t>Время взаимодействия с креативойм</t>
  </si>
  <si>
    <t>Качество контакта</t>
  </si>
  <si>
    <t>Индекс Качества контакта</t>
  </si>
  <si>
    <t>Частота</t>
  </si>
  <si>
    <t>Специальные проекты (среднее время на проекте)</t>
  </si>
  <si>
    <t>Креативные видео интеграции в шоу (VK, YT)</t>
  </si>
  <si>
    <t>Нативные видео интеграции у блогеров (VK, YT)</t>
  </si>
  <si>
    <t>Альт-роллы YT</t>
  </si>
  <si>
    <t>Smart ТВ</t>
  </si>
  <si>
    <t>Rewarded Видео</t>
  </si>
  <si>
    <t>Блогеры (посты в ленте)</t>
  </si>
  <si>
    <t>0-60</t>
  </si>
  <si>
    <t>Посев в группах (посты в ленте)</t>
  </si>
  <si>
    <t>TG стикеры</t>
  </si>
  <si>
    <t>0-20</t>
  </si>
  <si>
    <t>Telegram Ads</t>
  </si>
  <si>
    <t>0-6</t>
  </si>
  <si>
    <t>Маркетплейсы</t>
  </si>
  <si>
    <t>0-5, от 1 до 5</t>
  </si>
  <si>
    <t>Кассы самообслуживания в супермаркетах</t>
  </si>
  <si>
    <t>0-5</t>
  </si>
  <si>
    <t>заменяемые параметры</t>
  </si>
  <si>
    <t>добавленная эстимация</t>
  </si>
  <si>
    <t>Источник: оценка агентства OMD</t>
  </si>
  <si>
    <t>Численность, уники</t>
  </si>
  <si>
    <t>Регион</t>
  </si>
  <si>
    <t xml:space="preserve">МИР </t>
  </si>
  <si>
    <t xml:space="preserve">КАРУСЕЛЬ </t>
  </si>
  <si>
    <t xml:space="preserve">НТВ </t>
  </si>
  <si>
    <t xml:space="preserve">ТВ ЦЕНТР </t>
  </si>
  <si>
    <t xml:space="preserve">РЕН ТВ </t>
  </si>
  <si>
    <t xml:space="preserve">ТВ-3 </t>
  </si>
  <si>
    <t xml:space="preserve">ДОМАШНИЙ </t>
  </si>
  <si>
    <t xml:space="preserve">ЗВЕЗДА </t>
  </si>
  <si>
    <t xml:space="preserve">ПЯТЫЙ КАНАЛ </t>
  </si>
  <si>
    <t xml:space="preserve">ГТРК "ВОРОНЕЖ" </t>
  </si>
  <si>
    <t xml:space="preserve">МАТЧ ТВ </t>
  </si>
  <si>
    <t xml:space="preserve">ГТРК "ВОРОНЕЖ"  </t>
  </si>
  <si>
    <t xml:space="preserve">РОССИЯ К </t>
  </si>
  <si>
    <t xml:space="preserve">ЧЕ </t>
  </si>
  <si>
    <t xml:space="preserve">2X2 </t>
  </si>
  <si>
    <t xml:space="preserve">СОЛНЦЕ </t>
  </si>
  <si>
    <t xml:space="preserve">МУЗ ТВ </t>
  </si>
  <si>
    <t xml:space="preserve">МУЛЬТ </t>
  </si>
  <si>
    <t xml:space="preserve">ДОМ КИНО </t>
  </si>
  <si>
    <t xml:space="preserve">СПАС </t>
  </si>
  <si>
    <t xml:space="preserve">СУББОТА </t>
  </si>
  <si>
    <t xml:space="preserve">СОЛОВЬЁВLIVE </t>
  </si>
  <si>
    <t xml:space="preserve">ЕДИНЫЙ РЕКЛАМНЫЙ КАНАЛ </t>
  </si>
  <si>
    <t xml:space="preserve">МУЖСКОЙ РЕКЛАМНЫЙ КАНАЛ </t>
  </si>
  <si>
    <t xml:space="preserve">ЖЕНСКИЙ РЕКЛАМНЫЙ КАНАЛ </t>
  </si>
  <si>
    <t xml:space="preserve">ДЕТСКИЙ РЕКЛАМНЫЙ КАНАЛ </t>
  </si>
  <si>
    <t xml:space="preserve">ЦИФРОВОЙ РЕКЛАМНЫЙ КАНАЛ МУЛЬТ ПЛЮС </t>
  </si>
  <si>
    <t xml:space="preserve">РЕКЛАМНЫЙ КАНАЛ ФЕНИКС </t>
  </si>
  <si>
    <t xml:space="preserve">РЕКЛАМНЫЙ КАНАЛ 1ТВЧ </t>
  </si>
  <si>
    <t xml:space="preserve">МОСФИЛЬМ. ЗОЛОТАЯ КОЛЛЕКЦИЯ </t>
  </si>
  <si>
    <t xml:space="preserve">ОТВ </t>
  </si>
  <si>
    <t xml:space="preserve">ГТРК "УРАЛ" </t>
  </si>
  <si>
    <t xml:space="preserve">ЧЕТВЕРТЫЙ КАНАЛ </t>
  </si>
  <si>
    <t xml:space="preserve">ГТРК "УРАЛ"  </t>
  </si>
  <si>
    <t xml:space="preserve">ГТРК "ТАТАРСТАН" </t>
  </si>
  <si>
    <t xml:space="preserve">ГТРК "ТАТАРСТАН"  </t>
  </si>
  <si>
    <t xml:space="preserve">ГТРК "КУЗБАСС" </t>
  </si>
  <si>
    <t xml:space="preserve">ГТРК "КУЗБАСС"  </t>
  </si>
  <si>
    <t xml:space="preserve">ГТРК "КУБАНЬ" </t>
  </si>
  <si>
    <t xml:space="preserve">ГТРК "КУБАНЬ"  </t>
  </si>
  <si>
    <t xml:space="preserve">МОСКВА. ДОВЕРИЕ </t>
  </si>
  <si>
    <t xml:space="preserve">360° </t>
  </si>
  <si>
    <t xml:space="preserve">МОСКВА-24 </t>
  </si>
  <si>
    <t xml:space="preserve">ГТРК "НИЖНИЙ НОВГОРОД" </t>
  </si>
  <si>
    <t xml:space="preserve">ГТРК "НИЖНИЙ НОВГОРОД"  </t>
  </si>
  <si>
    <t xml:space="preserve">ГТРК "НОВОСИБИРСК" </t>
  </si>
  <si>
    <t xml:space="preserve">ГТРК "ИРТЫШ" </t>
  </si>
  <si>
    <t xml:space="preserve">ГТРК "ИРТЫШ"  </t>
  </si>
  <si>
    <t xml:space="preserve">ГТРК "САНКТ-ПЕТЕРБУРГ" </t>
  </si>
  <si>
    <t xml:space="preserve">САНКТ-ПЕТЕРБУРГ </t>
  </si>
  <si>
    <t xml:space="preserve">ТЕЛЕКАНАЛ 78 </t>
  </si>
  <si>
    <t xml:space="preserve">ГТРК "ТОМСК"  </t>
  </si>
  <si>
    <t xml:space="preserve">ГТРК "ТОМСК" </t>
  </si>
  <si>
    <t xml:space="preserve">ГТРК "ХАБАРОВСК"  </t>
  </si>
  <si>
    <t xml:space="preserve">ГТРК "ХАБАРОВСК" </t>
  </si>
  <si>
    <t>Ср OTS тыс. dly на 1 поверхность</t>
  </si>
  <si>
    <t>Источник: AdMetrix</t>
  </si>
  <si>
    <t xml:space="preserve">BB </t>
  </si>
  <si>
    <t xml:space="preserve">DBB </t>
  </si>
  <si>
    <t xml:space="preserve">SS </t>
  </si>
  <si>
    <t xml:space="preserve">DSS </t>
  </si>
  <si>
    <t xml:space="preserve">CF </t>
  </si>
  <si>
    <t xml:space="preserve">DCF </t>
  </si>
  <si>
    <t xml:space="preserve">Медиафасад </t>
  </si>
  <si>
    <t>Средний пассажиропоток в день в метро</t>
  </si>
  <si>
    <t>Средний пассажиропоток в день в метро, 18+</t>
  </si>
  <si>
    <t>Пассажиров приходится в день на ветку</t>
  </si>
  <si>
    <t>Станция</t>
  </si>
  <si>
    <t>DFM</t>
  </si>
  <si>
    <t>Love Radio</t>
  </si>
  <si>
    <t>Maximum</t>
  </si>
  <si>
    <t>Rock FM</t>
  </si>
  <si>
    <t>Royal Radio</t>
  </si>
  <si>
    <t>БИМ радио</t>
  </si>
  <si>
    <t>Вести FM</t>
  </si>
  <si>
    <t>Восток FM</t>
  </si>
  <si>
    <t>Говорит Москва</t>
  </si>
  <si>
    <t>Детское Радио</t>
  </si>
  <si>
    <t>Дорожное радио</t>
  </si>
  <si>
    <t>Джем FM</t>
  </si>
  <si>
    <t>Другое</t>
  </si>
  <si>
    <t>Казак FM</t>
  </si>
  <si>
    <t>КоммерсантъFM</t>
  </si>
  <si>
    <t>Маяк</t>
  </si>
  <si>
    <t>Москва FM</t>
  </si>
  <si>
    <t>Наше Радио</t>
  </si>
  <si>
    <t>Новое Радио</t>
  </si>
  <si>
    <t>Орфей</t>
  </si>
  <si>
    <t>Питер FM</t>
  </si>
  <si>
    <t>Радио 107</t>
  </si>
  <si>
    <t>Радио 7 на семи холмах</t>
  </si>
  <si>
    <t>Радио Romantika</t>
  </si>
  <si>
    <t>Радио Metro</t>
  </si>
  <si>
    <t>Радио Sputnik</t>
  </si>
  <si>
    <t>Радио Ваня</t>
  </si>
  <si>
    <t>Радио Дача</t>
  </si>
  <si>
    <t>Радио Джаз</t>
  </si>
  <si>
    <t>Радио Звезда</t>
  </si>
  <si>
    <t>Радио Комсомольская правда / Радио КП</t>
  </si>
  <si>
    <t>Радио Культура</t>
  </si>
  <si>
    <t>Радио Монте-Карло</t>
  </si>
  <si>
    <t>Радио Петербург</t>
  </si>
  <si>
    <t>Радио Пилот</t>
  </si>
  <si>
    <t>Радио Рекорд</t>
  </si>
  <si>
    <t>Радио России</t>
  </si>
  <si>
    <t>Радио Русский Хит</t>
  </si>
  <si>
    <t>Радио СИ</t>
  </si>
  <si>
    <t>Радио Сибирь</t>
  </si>
  <si>
    <t>Радио Шансон</t>
  </si>
  <si>
    <t>Радио Шоколад</t>
  </si>
  <si>
    <t>Радио Эрмитаж</t>
  </si>
  <si>
    <t>Радио Юнитон</t>
  </si>
  <si>
    <t>Ретро FM</t>
  </si>
  <si>
    <t>Русское Радио</t>
  </si>
  <si>
    <t>Такси FM</t>
  </si>
  <si>
    <t>Хит FM</t>
  </si>
  <si>
    <t>Эльдорадио</t>
  </si>
  <si>
    <t>Носитель</t>
  </si>
  <si>
    <t>Продолжительность</t>
  </si>
  <si>
    <t>OTS 18+ в месяц</t>
  </si>
  <si>
    <t>OTS тыс. 18+ в день</t>
  </si>
  <si>
    <t>Анапа</t>
  </si>
  <si>
    <t>ТЦ Красная Площадь</t>
  </si>
  <si>
    <t>экраны</t>
  </si>
  <si>
    <t>Красногорск</t>
  </si>
  <si>
    <t>ТЦ Vegas, Крокус сити</t>
  </si>
  <si>
    <t>Такси</t>
  </si>
  <si>
    <t>Digital-мобиль</t>
  </si>
  <si>
    <t>автомобиль</t>
  </si>
  <si>
    <t>Аэроэкспрессы (Москва)</t>
  </si>
  <si>
    <t>Сапсаны</t>
  </si>
  <si>
    <t>Ласточки</t>
  </si>
  <si>
    <t>ТЦ Охотный ряд</t>
  </si>
  <si>
    <t>ТЦ XL</t>
  </si>
  <si>
    <t>ТЦ Саларис</t>
  </si>
  <si>
    <t>ТЦ Vegas, Кунцево</t>
  </si>
  <si>
    <t>ТЦ Европейский</t>
  </si>
  <si>
    <t>ТЦ Афимолл</t>
  </si>
  <si>
    <t>ТЦ Гагаринский</t>
  </si>
  <si>
    <t>ТЦ Авиапарк</t>
  </si>
  <si>
    <t>ТЦ Vegas, Каширское</t>
  </si>
  <si>
    <t>Азбука Вкуса</t>
  </si>
  <si>
    <t>Подольск</t>
  </si>
  <si>
    <t>ТЦ Центральный</t>
  </si>
  <si>
    <t>Ростов-на-Дону</t>
  </si>
  <si>
    <t>ТЦ Золотой Вавилон</t>
  </si>
  <si>
    <t>Самара</t>
  </si>
  <si>
    <t>ТЦ Мега</t>
  </si>
  <si>
    <t>ТЦ Вива ленд</t>
  </si>
  <si>
    <t>ТЦ Атмосфера</t>
  </si>
  <si>
    <t>ТЦ Меркурий</t>
  </si>
  <si>
    <t>ТЦ Балканскй-3</t>
  </si>
  <si>
    <t>Тюмень</t>
  </si>
  <si>
    <t>ТЦ Солнечный</t>
  </si>
  <si>
    <t>Химки</t>
  </si>
  <si>
    <t>ТЦ Мега, Химки</t>
  </si>
  <si>
    <t>Блок распространения</t>
  </si>
  <si>
    <t>Локальный</t>
  </si>
  <si>
    <t>КРАСНОДАР</t>
  </si>
  <si>
    <t>ОМСК</t>
  </si>
  <si>
    <t>ХАБАРОВСК</t>
  </si>
  <si>
    <t>КЕМЕРОВО</t>
  </si>
  <si>
    <t>ТОМСК</t>
  </si>
  <si>
    <t>МОСКВА</t>
  </si>
  <si>
    <t>САНКТ-ПЕТЕРБУРГ</t>
  </si>
  <si>
    <t>НИЖНИЙ НОВГОРОД</t>
  </si>
  <si>
    <t>КАЗАНЬ</t>
  </si>
  <si>
    <t>ЕКАТЕРИНБУРГ</t>
  </si>
  <si>
    <t>ВОРОНЕЖ</t>
  </si>
  <si>
    <t>НОВОСИБИРСК</t>
  </si>
  <si>
    <t>Сетевой</t>
  </si>
  <si>
    <t>Орбитальный</t>
  </si>
  <si>
    <t>Охват</t>
  </si>
  <si>
    <t>Спб</t>
  </si>
  <si>
    <t>ЕКБ</t>
  </si>
  <si>
    <t>16+</t>
  </si>
  <si>
    <t xml:space="preserve">Стоимость за посетителя мероприятия </t>
  </si>
  <si>
    <t xml:space="preserve">Стоимость за охваченного пользователя </t>
  </si>
  <si>
    <t xml:space="preserve">Стоимость за контакт </t>
  </si>
  <si>
    <t>Стоимость привлеченного клиента</t>
  </si>
  <si>
    <t>ЭФФЕКТИВНОСТЬ</t>
  </si>
  <si>
    <t>Общий бюджет</t>
  </si>
  <si>
    <t>Продакшен фото-зоны и лайтбокса, букингсекретных артистов</t>
  </si>
  <si>
    <t xml:space="preserve">Интеграционный платеж (организатору) </t>
  </si>
  <si>
    <t>БЮДЖЕТ</t>
  </si>
  <si>
    <t>Количество проданных билетов через виджит/витрину</t>
  </si>
  <si>
    <t xml:space="preserve">Агентская комиссия </t>
  </si>
  <si>
    <t>GMV</t>
  </si>
  <si>
    <t>Средняя цена билета</t>
  </si>
  <si>
    <t>Кол-во посетителей всего, тыс.</t>
  </si>
  <si>
    <t>ПЛАНОВЫЙ РЕЗУЛЬТАТ МЕРОПРИЯТИЯ</t>
  </si>
  <si>
    <t>Итог</t>
  </si>
  <si>
    <t>Сайт / размер аудитории</t>
  </si>
  <si>
    <t>Количество просмотров статьи/блога, тыс. или заполнить сайт</t>
  </si>
  <si>
    <t>Тип активации: ДОПОЛНИТЕЛЬНЫЕ АКТИВАЦИИ ПОСЛЕ МЕРОПРИЯТИЯ</t>
  </si>
  <si>
    <t>Тип активации: ПРОДВИЖЕНИЕ НА МЕРОПРИЯТИИ</t>
  </si>
  <si>
    <t>Посев в VK</t>
  </si>
  <si>
    <t>PR</t>
  </si>
  <si>
    <t>Блогеры в VK</t>
  </si>
  <si>
    <t>Блогеры в TG</t>
  </si>
  <si>
    <t>Посев в TG</t>
  </si>
  <si>
    <t>Статьи с упоминанием события</t>
  </si>
  <si>
    <t>Статьи о событии</t>
  </si>
  <si>
    <t>Хронометраж</t>
  </si>
  <si>
    <t>Количество просмотров статьи, тыс. или заполнить сайт</t>
  </si>
  <si>
    <t>Айдентика Бренда партнера на сайте</t>
  </si>
  <si>
    <t>Баннер боковой во 2м экране</t>
  </si>
  <si>
    <t>Баннер боковой в 1 экране</t>
  </si>
  <si>
    <t>Billboard в шапке сайта</t>
  </si>
  <si>
    <t>Посешаемость сайта за весь период, тыс. или заполнить сайт</t>
  </si>
  <si>
    <t>Digital</t>
  </si>
  <si>
    <t>Время взаимодействия с креативом</t>
  </si>
  <si>
    <t>Размер аудитории ресурса в тыс. (без продвижения)</t>
  </si>
  <si>
    <t>Количество показов за весь период, тыс.</t>
  </si>
  <si>
    <t>Радиостанции из списка</t>
  </si>
  <si>
    <t>Радиостанции</t>
  </si>
  <si>
    <t>Количество выходов в день</t>
  </si>
  <si>
    <t>Количество сторон</t>
  </si>
  <si>
    <t>Каналы из списка</t>
  </si>
  <si>
    <t>Количество минут в день</t>
  </si>
  <si>
    <t xml:space="preserve"> Тип активации: ДО МЕРОПРИЯТИЯ (медиа продвижение и PR)</t>
  </si>
  <si>
    <t>Охват 16+  ('000) (с учетом доли брендирования)</t>
  </si>
  <si>
    <t>Индекс качества (для медиа)</t>
  </si>
  <si>
    <t>Как оцениваем OTS медиа, в случае отсутствия данных по OTS и Охватам у поставщика</t>
  </si>
  <si>
    <r>
      <t xml:space="preserve">OTS 16+   ('000)
</t>
    </r>
    <r>
      <rPr>
        <b/>
        <i/>
        <sz val="10"/>
        <color theme="1"/>
        <rFont val="Aptos Narrow"/>
        <family val="2"/>
        <scheme val="minor"/>
      </rPr>
      <t>(с учетом доли брендирования)</t>
    </r>
  </si>
  <si>
    <t>Охват 16+* ('000)</t>
  </si>
  <si>
    <t xml:space="preserve">
OTS 16+  ('000)
</t>
  </si>
  <si>
    <t>Доля брендирования</t>
  </si>
  <si>
    <t>Период размещения, дни</t>
  </si>
  <si>
    <t>Форматы</t>
  </si>
  <si>
    <t>Описание</t>
  </si>
  <si>
    <t>Медиа факторы</t>
  </si>
  <si>
    <t>#</t>
  </si>
  <si>
    <t>в тысячах человек</t>
  </si>
  <si>
    <t>План посетителей</t>
  </si>
  <si>
    <t>в днях</t>
  </si>
  <si>
    <t>Общий период размещения</t>
  </si>
  <si>
    <t>количество дней на фестивале/площадке</t>
  </si>
  <si>
    <t>концерт/фестиваль/площадка</t>
  </si>
  <si>
    <t>Тип площадки</t>
  </si>
  <si>
    <t>15 городов</t>
  </si>
  <si>
    <t>Гео</t>
  </si>
  <si>
    <t>Унифицированная аудитория для всех медиа, тыс. 16+</t>
  </si>
  <si>
    <t>ЦА</t>
  </si>
  <si>
    <t>Параметры</t>
  </si>
  <si>
    <t xml:space="preserve">Счиатется автоматически на основе данных внутри калькулятора </t>
  </si>
  <si>
    <t xml:space="preserve">Вводится пользователем </t>
  </si>
  <si>
    <t>Предлагаем делать оценку на ЦА 18+</t>
  </si>
  <si>
    <t>в сопроводительном письме говорим, что сроки обусловлены сезоном отпусков и необходимости участия как аналитиков, так и департамента стратегического планирования медиа, про ЦА</t>
  </si>
  <si>
    <t>Последующие изменения и дополнения Калькулятора и УФО не учтены в расчете и будут оценены отдельно при необходимости доработки</t>
  </si>
  <si>
    <t>ИТОГО:</t>
  </si>
  <si>
    <t>1) Формирование и согласование детального брифа на подготовку УФО
2) Написание методологии для формирования УФО
3) Техническая реализация - производство УФО
4) Обсуждение разработанной УФО
5) Доработка УФО в соответствии с полученными комментариями</t>
  </si>
  <si>
    <t>УФО учитывает:
- возможность выбора типа/этапа активации (до мероприятия, во время мероприятия, дополнительные активации по итогам мероприятия), медиа каналов 360 и PR, форматы размещения
- внесение фактических данных, на базе которых будет произведена оценка эффективности комплексного проекта</t>
  </si>
  <si>
    <t>2. Универсальная/единая форма отчетности (УФО) по итогам размещения/активности для комплексных проектов</t>
  </si>
  <si>
    <t>1) Формирование и согласование детального брифа на подготовку Калькулятора
2) Сбор, обработка и валидация аналитических и статистических данных для имплементации расчетов Калькулятора
3) Написание методологии для расчетов Калькулятора
4) Техническая реализация - производство Калькулятора
5) Обсуждение разработанного Калькулятора
6) Доработка Калькулятора в соответствии с полученными комментариями</t>
  </si>
  <si>
    <t xml:space="preserve">Оценка эффективности согласно брифу учитывает: 
- список городов (всего 15) 
- ЦА Все 18+
- разбивку по типам/этапам активации (до мероприятия, во время мероприятия, дополнительные активации по итогам мероприятия)
- список медиа каналов 360 и PR 
- детализацию по форматам
- параметры качества по каналам, форматам
- оценку Охвата/OTS, стоимости размещения, стоимость за Контакт и стоимость за Посетителя </t>
  </si>
  <si>
    <t>1. Калькулятор для оценки эффективности комплексных проектов, нацеленных на продвижение бренда</t>
  </si>
  <si>
    <t>Этапы подготовки</t>
  </si>
  <si>
    <t>Содержание</t>
  </si>
  <si>
    <t>Результат</t>
  </si>
  <si>
    <t>Коммерческое предложение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</si>
</sst>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_-;\-* #,##0_-;_-* &quot;-&quot;??_-;_-@_-"/>
    <numFmt numFmtId="165" formatCode="_-* #,##0.0000\ &quot;₽&quot;_-;\-* #,##0.0000\ &quot;₽&quot;_-;_-* &quot;-&quot;??\ &quot;₽&quot;_-;_-@_-"/>
    <numFmt numFmtId="166" formatCode="_-* #,##0.00\ [$₽-419]_-;\-* #,##0.00\ [$₽-419]_-;_-* &quot;-&quot;??\ [$₽-419]_-;_-@_-"/>
    <numFmt numFmtId="167" formatCode="#,##0.00\ &quot;₽&quot;"/>
    <numFmt numFmtId="168" formatCode="0.000"/>
    <numFmt numFmtId="169" formatCode="_-* #,##0.0_-;\-* #,##0.0_-;_-* &quot;-&quot;??_-;_-@_-"/>
  </numFmts>
  <fonts count="30" x14ac:knownFonts="1">
    <font>
      <sz val="11"/>
      <color theme="1"/>
      <name val="Aptos Narrow"/>
      <family val="2"/>
      <charset val="204"/>
      <scheme val="minor"/>
    </font>
    <font>
      <sz val="10"/>
      <color rgb="FF000000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i/>
      <sz val="11"/>
      <color theme="1"/>
      <name val="Aptos Narrow"/>
      <family val="2"/>
      <charset val="204"/>
      <scheme val="minor"/>
    </font>
    <font>
      <b/>
      <sz val="12"/>
      <color rgb="FF000000"/>
      <name val="Calibri"/>
      <family val="2"/>
      <charset val="204"/>
    </font>
    <font>
      <sz val="12"/>
      <color rgb="FF000000"/>
      <name val="Calibri"/>
      <family val="2"/>
      <charset val="204"/>
    </font>
    <font>
      <i/>
      <sz val="12"/>
      <color rgb="FF000000"/>
      <name val="Calibri"/>
      <family val="2"/>
      <charset val="204"/>
    </font>
    <font>
      <b/>
      <i/>
      <sz val="12"/>
      <color rgb="FF000000"/>
      <name val="Calibri"/>
      <family val="2"/>
      <charset val="204"/>
    </font>
    <font>
      <sz val="11"/>
      <color rgb="FF000000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rgb="FF000000"/>
      <name val="Calibri"/>
      <family val="2"/>
      <charset val="204"/>
    </font>
    <font>
      <sz val="8"/>
      <name val="Aptos Narrow"/>
      <family val="2"/>
      <charset val="204"/>
      <scheme val="minor"/>
    </font>
    <font>
      <sz val="10"/>
      <color theme="1"/>
      <name val="Aptos Narrow"/>
      <family val="2"/>
      <charset val="204"/>
      <scheme val="minor"/>
    </font>
    <font>
      <b/>
      <sz val="10"/>
      <color theme="1"/>
      <name val="Aptos Narrow"/>
      <family val="2"/>
      <scheme val="minor"/>
    </font>
    <font>
      <sz val="11"/>
      <name val="Aptos Narrow"/>
      <family val="2"/>
      <charset val="204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charset val="204"/>
      <scheme val="minor"/>
    </font>
    <font>
      <sz val="10"/>
      <color rgb="FF000000"/>
      <name val="Aptos Narrow"/>
      <family val="2"/>
      <scheme val="minor"/>
    </font>
    <font>
      <sz val="10"/>
      <name val="Aptos Narrow"/>
      <family val="2"/>
      <scheme val="minor"/>
    </font>
    <font>
      <b/>
      <i/>
      <sz val="10"/>
      <color rgb="FF000000"/>
      <name val="Aptos Narrow"/>
      <family val="2"/>
      <charset val="204"/>
      <scheme val="minor"/>
    </font>
    <font>
      <b/>
      <i/>
      <sz val="10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i/>
      <sz val="10"/>
      <color rgb="FF000000"/>
      <name val="Aptos Narrow"/>
      <family val="2"/>
      <scheme val="minor"/>
    </font>
    <font>
      <b/>
      <sz val="10"/>
      <color rgb="FF000000"/>
      <name val="Aptos Narrow"/>
      <family val="2"/>
      <charset val="204"/>
      <scheme val="minor"/>
    </font>
    <font>
      <sz val="10"/>
      <color theme="0"/>
      <name val="Aptos Narrow"/>
      <family val="2"/>
      <charset val="204"/>
      <scheme val="minor"/>
    </font>
    <font>
      <u/>
      <sz val="11"/>
      <color theme="10"/>
      <name val="Aptos Narrow"/>
      <family val="2"/>
      <charset val="204"/>
      <scheme val="minor"/>
    </font>
    <font>
      <b/>
      <sz val="10"/>
      <color theme="1"/>
      <name val="Aptos Narrow"/>
      <family val="2"/>
      <charset val="204"/>
      <scheme val="minor"/>
    </font>
    <font>
      <b/>
      <i/>
      <sz val="10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1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97132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6" fillId="0" borderId="0" applyNumberFormat="0" applyFill="0" applyBorder="0" applyAlignment="0" applyProtection="0"/>
  </cellStyleXfs>
  <cellXfs count="219">
    <xf numFmtId="0" fontId="0" fillId="0" borderId="0" xfId="0"/>
    <xf numFmtId="0" fontId="1" fillId="4" borderId="0" xfId="1" applyFill="1" applyAlignment="1">
      <alignment vertical="top"/>
    </xf>
    <xf numFmtId="43" fontId="0" fillId="0" borderId="0" xfId="2" applyFont="1"/>
    <xf numFmtId="43" fontId="0" fillId="0" borderId="0" xfId="0" applyNumberFormat="1"/>
    <xf numFmtId="0" fontId="3" fillId="0" borderId="0" xfId="0" applyFont="1"/>
    <xf numFmtId="0" fontId="4" fillId="0" borderId="2" xfId="0" applyFont="1" applyBorder="1" applyAlignment="1">
      <alignment horizontal="center" vertical="center" wrapText="1" readingOrder="1"/>
    </xf>
    <xf numFmtId="0" fontId="4" fillId="6" borderId="2" xfId="0" applyFont="1" applyFill="1" applyBorder="1" applyAlignment="1">
      <alignment horizontal="center" vertical="center" wrapText="1" readingOrder="1"/>
    </xf>
    <xf numFmtId="0" fontId="4" fillId="7" borderId="2" xfId="0" applyFont="1" applyFill="1" applyBorder="1" applyAlignment="1">
      <alignment horizontal="center" vertical="center" wrapText="1" readingOrder="1"/>
    </xf>
    <xf numFmtId="0" fontId="8" fillId="0" borderId="0" xfId="0" applyFont="1"/>
    <xf numFmtId="0" fontId="8" fillId="8" borderId="0" xfId="0" applyFont="1" applyFill="1"/>
    <xf numFmtId="0" fontId="8" fillId="9" borderId="0" xfId="0" applyFont="1" applyFill="1"/>
    <xf numFmtId="0" fontId="4" fillId="7" borderId="2" xfId="0" applyFont="1" applyFill="1" applyBorder="1" applyAlignment="1">
      <alignment horizontal="center" vertical="center" readingOrder="1"/>
    </xf>
    <xf numFmtId="0" fontId="5" fillId="0" borderId="2" xfId="0" applyFont="1" applyBorder="1" applyAlignment="1">
      <alignment horizontal="left" vertical="center" readingOrder="1"/>
    </xf>
    <xf numFmtId="0" fontId="5" fillId="8" borderId="2" xfId="0" applyFont="1" applyFill="1" applyBorder="1" applyAlignment="1">
      <alignment horizontal="center" vertical="center" readingOrder="1"/>
    </xf>
    <xf numFmtId="9" fontId="5" fillId="0" borderId="2" xfId="0" applyNumberFormat="1" applyFont="1" applyBorder="1" applyAlignment="1">
      <alignment horizontal="center" vertical="center" readingOrder="1"/>
    </xf>
    <xf numFmtId="0" fontId="5" fillId="0" borderId="2" xfId="0" applyFont="1" applyBorder="1" applyAlignment="1">
      <alignment horizontal="center" vertical="center" readingOrder="1"/>
    </xf>
    <xf numFmtId="0" fontId="6" fillId="9" borderId="2" xfId="0" applyFont="1" applyFill="1" applyBorder="1" applyAlignment="1">
      <alignment horizontal="left" vertical="center" readingOrder="1"/>
    </xf>
    <xf numFmtId="0" fontId="6" fillId="8" borderId="2" xfId="0" applyFont="1" applyFill="1" applyBorder="1" applyAlignment="1">
      <alignment horizontal="center" vertical="center" readingOrder="1"/>
    </xf>
    <xf numFmtId="9" fontId="6" fillId="0" borderId="2" xfId="0" applyNumberFormat="1" applyFont="1" applyBorder="1" applyAlignment="1">
      <alignment horizontal="center" vertical="center" readingOrder="1"/>
    </xf>
    <xf numFmtId="0" fontId="6" fillId="0" borderId="2" xfId="0" applyFont="1" applyBorder="1" applyAlignment="1">
      <alignment horizontal="center" vertical="center" readingOrder="1"/>
    </xf>
    <xf numFmtId="0" fontId="7" fillId="7" borderId="2" xfId="0" applyFont="1" applyFill="1" applyBorder="1" applyAlignment="1">
      <alignment horizontal="center" vertical="center" readingOrder="1"/>
    </xf>
    <xf numFmtId="0" fontId="9" fillId="0" borderId="0" xfId="0" applyFont="1"/>
    <xf numFmtId="0" fontId="1" fillId="4" borderId="2" xfId="1" applyFill="1" applyBorder="1" applyAlignment="1">
      <alignment vertical="top"/>
    </xf>
    <xf numFmtId="0" fontId="11" fillId="0" borderId="0" xfId="0" applyFont="1"/>
    <xf numFmtId="0" fontId="10" fillId="0" borderId="0" xfId="0" applyFont="1"/>
    <xf numFmtId="0" fontId="13" fillId="5" borderId="2" xfId="0" applyFont="1" applyFill="1" applyBorder="1"/>
    <xf numFmtId="0" fontId="14" fillId="2" borderId="2" xfId="0" applyFont="1" applyFill="1" applyBorder="1" applyAlignment="1">
      <alignment horizontal="center"/>
    </xf>
    <xf numFmtId="0" fontId="13" fillId="3" borderId="2" xfId="0" applyFont="1" applyFill="1" applyBorder="1"/>
    <xf numFmtId="0" fontId="10" fillId="10" borderId="0" xfId="0" applyFont="1" applyFill="1"/>
    <xf numFmtId="164" fontId="13" fillId="3" borderId="2" xfId="2" applyNumberFormat="1" applyFont="1" applyFill="1" applyBorder="1"/>
    <xf numFmtId="9" fontId="0" fillId="0" borderId="0" xfId="3" applyFont="1"/>
    <xf numFmtId="0" fontId="4" fillId="11" borderId="2" xfId="0" applyFont="1" applyFill="1" applyBorder="1" applyAlignment="1">
      <alignment horizontal="center" vertical="center" wrapText="1" readingOrder="1"/>
    </xf>
    <xf numFmtId="0" fontId="0" fillId="0" borderId="2" xfId="0" applyBorder="1"/>
    <xf numFmtId="0" fontId="4" fillId="12" borderId="1" xfId="0" applyFont="1" applyFill="1" applyBorder="1" applyAlignment="1">
      <alignment horizontal="center" vertical="center" wrapText="1" readingOrder="1"/>
    </xf>
    <xf numFmtId="0" fontId="0" fillId="2" borderId="0" xfId="0" applyFill="1"/>
    <xf numFmtId="0" fontId="0" fillId="12" borderId="0" xfId="0" applyFill="1"/>
    <xf numFmtId="0" fontId="9" fillId="10" borderId="0" xfId="0" applyFont="1" applyFill="1"/>
    <xf numFmtId="164" fontId="0" fillId="0" borderId="0" xfId="2" applyNumberFormat="1" applyFont="1"/>
    <xf numFmtId="164" fontId="0" fillId="0" borderId="0" xfId="0" applyNumberFormat="1"/>
    <xf numFmtId="0" fontId="0" fillId="13" borderId="2" xfId="0" applyFill="1" applyBorder="1" applyAlignment="1">
      <alignment vertical="center" wrapText="1"/>
    </xf>
    <xf numFmtId="164" fontId="0" fillId="0" borderId="2" xfId="2" applyNumberFormat="1" applyFont="1" applyBorder="1"/>
    <xf numFmtId="164" fontId="2" fillId="0" borderId="2" xfId="2" applyNumberFormat="1" applyFont="1" applyBorder="1"/>
    <xf numFmtId="164" fontId="0" fillId="0" borderId="2" xfId="2" applyNumberFormat="1" applyFont="1" applyFill="1" applyBorder="1"/>
    <xf numFmtId="0" fontId="9" fillId="0" borderId="2" xfId="0" applyFont="1" applyBorder="1"/>
    <xf numFmtId="164" fontId="9" fillId="0" borderId="2" xfId="2" applyNumberFormat="1" applyFont="1" applyBorder="1"/>
    <xf numFmtId="43" fontId="0" fillId="0" borderId="2" xfId="2" applyFont="1" applyBorder="1"/>
    <xf numFmtId="0" fontId="15" fillId="0" borderId="0" xfId="0" applyFont="1"/>
    <xf numFmtId="0" fontId="16" fillId="0" borderId="0" xfId="0" applyFont="1"/>
    <xf numFmtId="0" fontId="5" fillId="0" borderId="0" xfId="0" applyFont="1" applyAlignment="1">
      <alignment horizontal="center" vertical="center" readingOrder="1"/>
    </xf>
    <xf numFmtId="0" fontId="4" fillId="7" borderId="0" xfId="0" applyFont="1" applyFill="1" applyAlignment="1">
      <alignment horizontal="center" vertical="center" readingOrder="1"/>
    </xf>
    <xf numFmtId="0" fontId="0" fillId="14" borderId="2" xfId="0" applyFill="1" applyBorder="1"/>
    <xf numFmtId="0" fontId="17" fillId="0" borderId="0" xfId="0" applyFont="1"/>
    <xf numFmtId="0" fontId="1" fillId="5" borderId="3" xfId="1" applyFill="1" applyBorder="1" applyAlignment="1" applyProtection="1">
      <alignment horizontal="left" vertical="top" wrapText="1"/>
      <protection locked="0"/>
    </xf>
    <xf numFmtId="0" fontId="1" fillId="4" borderId="0" xfId="1" applyFill="1" applyProtection="1">
      <protection locked="0"/>
    </xf>
    <xf numFmtId="0" fontId="1" fillId="4" borderId="0" xfId="1" applyFill="1" applyAlignment="1" applyProtection="1">
      <alignment horizontal="center"/>
      <protection locked="0"/>
    </xf>
    <xf numFmtId="0" fontId="18" fillId="4" borderId="0" xfId="1" applyFont="1" applyFill="1" applyAlignment="1" applyProtection="1">
      <alignment horizontal="right" vertical="top"/>
      <protection locked="0"/>
    </xf>
    <xf numFmtId="0" fontId="1" fillId="4" borderId="0" xfId="1" applyFill="1" applyAlignment="1" applyProtection="1">
      <alignment horizontal="left" vertical="top" wrapText="1"/>
      <protection locked="0"/>
    </xf>
    <xf numFmtId="0" fontId="1" fillId="4" borderId="0" xfId="1" applyFill="1" applyAlignment="1" applyProtection="1">
      <alignment horizontal="center" vertical="top" wrapText="1"/>
      <protection locked="0"/>
    </xf>
    <xf numFmtId="0" fontId="1" fillId="4" borderId="0" xfId="1" applyFill="1" applyAlignment="1" applyProtection="1">
      <alignment horizontal="left" vertical="top"/>
      <protection locked="0"/>
    </xf>
    <xf numFmtId="0" fontId="1" fillId="4" borderId="0" xfId="1" applyFill="1" applyAlignment="1" applyProtection="1">
      <alignment horizontal="center" vertical="top"/>
      <protection locked="0"/>
    </xf>
    <xf numFmtId="0" fontId="1" fillId="4" borderId="0" xfId="1" applyFill="1" applyAlignment="1" applyProtection="1">
      <alignment horizontal="center" vertical="center" wrapText="1"/>
      <protection locked="0"/>
    </xf>
    <xf numFmtId="0" fontId="1" fillId="4" borderId="0" xfId="1" applyFill="1" applyAlignment="1" applyProtection="1">
      <alignment horizontal="center" vertical="top" wrapText="1"/>
      <protection locked="0"/>
    </xf>
    <xf numFmtId="0" fontId="18" fillId="4" borderId="0" xfId="1" applyFont="1" applyFill="1" applyAlignment="1" applyProtection="1">
      <alignment horizontal="left" vertical="top"/>
      <protection locked="0"/>
    </xf>
    <xf numFmtId="0" fontId="18" fillId="4" borderId="0" xfId="1" applyFont="1" applyFill="1" applyAlignment="1" applyProtection="1">
      <alignment horizontal="center" vertical="top"/>
      <protection locked="0"/>
    </xf>
    <xf numFmtId="0" fontId="1" fillId="4" borderId="0" xfId="1" applyFill="1" applyAlignment="1" applyProtection="1">
      <alignment vertical="center" wrapText="1"/>
      <protection locked="0"/>
    </xf>
    <xf numFmtId="0" fontId="1" fillId="4" borderId="2" xfId="1" applyFill="1" applyBorder="1" applyProtection="1">
      <protection locked="0"/>
    </xf>
    <xf numFmtId="0" fontId="1" fillId="4" borderId="2" xfId="1" applyFill="1" applyBorder="1" applyAlignment="1" applyProtection="1">
      <alignment horizontal="left" vertical="top" wrapText="1"/>
      <protection locked="0"/>
    </xf>
    <xf numFmtId="165" fontId="19" fillId="3" borderId="2" xfId="1" applyNumberFormat="1" applyFont="1" applyFill="1" applyBorder="1" applyAlignment="1">
      <alignment horizontal="center" vertical="top" wrapText="1"/>
    </xf>
    <xf numFmtId="0" fontId="1" fillId="4" borderId="2" xfId="1" applyFill="1" applyBorder="1" applyAlignment="1" applyProtection="1">
      <alignment horizontal="left" vertical="top"/>
      <protection locked="0"/>
    </xf>
    <xf numFmtId="0" fontId="1" fillId="4" borderId="2" xfId="1" applyFill="1" applyBorder="1" applyAlignment="1" applyProtection="1">
      <alignment horizontal="center" vertical="top"/>
      <protection locked="0"/>
    </xf>
    <xf numFmtId="0" fontId="1" fillId="4" borderId="4" xfId="1" applyFill="1" applyBorder="1" applyAlignment="1" applyProtection="1">
      <alignment horizontal="center"/>
      <protection locked="0"/>
    </xf>
    <xf numFmtId="0" fontId="20" fillId="4" borderId="4" xfId="1" applyFont="1" applyFill="1" applyBorder="1" applyAlignment="1" applyProtection="1">
      <alignment horizontal="center" vertical="top" wrapText="1"/>
      <protection locked="0"/>
    </xf>
    <xf numFmtId="164" fontId="1" fillId="4" borderId="2" xfId="1" applyNumberFormat="1" applyFill="1" applyBorder="1" applyAlignment="1" applyProtection="1">
      <alignment horizontal="left" vertical="top" wrapText="1"/>
      <protection locked="0"/>
    </xf>
    <xf numFmtId="165" fontId="1" fillId="3" borderId="2" xfId="1" applyNumberFormat="1" applyFill="1" applyBorder="1" applyAlignment="1">
      <alignment horizontal="center" vertical="top" wrapText="1"/>
    </xf>
    <xf numFmtId="0" fontId="1" fillId="4" borderId="1" xfId="1" applyFill="1" applyBorder="1" applyAlignment="1" applyProtection="1">
      <alignment horizontal="center"/>
      <protection locked="0"/>
    </xf>
    <xf numFmtId="0" fontId="20" fillId="4" borderId="1" xfId="1" applyFont="1" applyFill="1" applyBorder="1" applyAlignment="1" applyProtection="1">
      <alignment horizontal="center" vertical="top" wrapText="1"/>
      <protection locked="0"/>
    </xf>
    <xf numFmtId="0" fontId="1" fillId="4" borderId="2" xfId="1" applyFill="1" applyBorder="1" applyAlignment="1" applyProtection="1">
      <alignment horizontal="center" vertical="top" wrapText="1"/>
      <protection locked="0"/>
    </xf>
    <xf numFmtId="0" fontId="1" fillId="0" borderId="2" xfId="1" applyBorder="1" applyAlignment="1" applyProtection="1">
      <alignment horizontal="left" vertical="top" wrapText="1"/>
      <protection locked="0"/>
    </xf>
    <xf numFmtId="0" fontId="1" fillId="0" borderId="2" xfId="1" applyBorder="1" applyAlignment="1" applyProtection="1">
      <alignment horizontal="center" vertical="top" wrapText="1"/>
      <protection locked="0"/>
    </xf>
    <xf numFmtId="44" fontId="1" fillId="3" borderId="5" xfId="1" applyNumberFormat="1" applyFill="1" applyBorder="1" applyAlignment="1">
      <alignment horizontal="center" vertical="top" wrapText="1"/>
    </xf>
    <xf numFmtId="44" fontId="1" fillId="3" borderId="6" xfId="1" applyNumberFormat="1" applyFill="1" applyBorder="1" applyAlignment="1">
      <alignment horizontal="center" vertical="top" wrapText="1"/>
    </xf>
    <xf numFmtId="44" fontId="1" fillId="3" borderId="3" xfId="1" applyNumberFormat="1" applyFill="1" applyBorder="1" applyAlignment="1">
      <alignment horizontal="center" vertical="top" wrapText="1"/>
    </xf>
    <xf numFmtId="44" fontId="1" fillId="5" borderId="5" xfId="1" applyNumberFormat="1" applyFill="1" applyBorder="1" applyAlignment="1" applyProtection="1">
      <alignment horizontal="center" vertical="top" wrapText="1"/>
      <protection locked="0"/>
    </xf>
    <xf numFmtId="44" fontId="1" fillId="5" borderId="6" xfId="1" applyNumberFormat="1" applyFill="1" applyBorder="1" applyAlignment="1" applyProtection="1">
      <alignment horizontal="center" vertical="top" wrapText="1"/>
      <protection locked="0"/>
    </xf>
    <xf numFmtId="44" fontId="1" fillId="5" borderId="3" xfId="1" applyNumberFormat="1" applyFill="1" applyBorder="1" applyAlignment="1" applyProtection="1">
      <alignment horizontal="center" vertical="top" wrapText="1"/>
      <protection locked="0"/>
    </xf>
    <xf numFmtId="0" fontId="1" fillId="4" borderId="5" xfId="1" applyFill="1" applyBorder="1" applyAlignment="1" applyProtection="1">
      <alignment horizontal="left" vertical="top" wrapText="1"/>
      <protection locked="0"/>
    </xf>
    <xf numFmtId="166" fontId="1" fillId="5" borderId="2" xfId="1" applyNumberFormat="1" applyFill="1" applyBorder="1" applyAlignment="1" applyProtection="1">
      <alignment horizontal="center" vertical="top" wrapText="1"/>
      <protection locked="0"/>
    </xf>
    <xf numFmtId="167" fontId="1" fillId="5" borderId="2" xfId="4" applyNumberFormat="1" applyFont="1" applyFill="1" applyBorder="1" applyAlignment="1" applyProtection="1">
      <alignment horizontal="left" vertical="top" wrapText="1"/>
      <protection locked="0"/>
    </xf>
    <xf numFmtId="0" fontId="1" fillId="4" borderId="5" xfId="1" applyFill="1" applyBorder="1" applyAlignment="1" applyProtection="1">
      <alignment horizontal="left" vertical="top"/>
      <protection locked="0"/>
    </xf>
    <xf numFmtId="0" fontId="1" fillId="4" borderId="7" xfId="1" applyFill="1" applyBorder="1" applyAlignment="1" applyProtection="1">
      <alignment horizontal="center"/>
      <protection locked="0"/>
    </xf>
    <xf numFmtId="0" fontId="20" fillId="4" borderId="7" xfId="1" applyFont="1" applyFill="1" applyBorder="1" applyAlignment="1" applyProtection="1">
      <alignment horizontal="center" vertical="top" wrapText="1"/>
      <protection locked="0"/>
    </xf>
    <xf numFmtId="164" fontId="1" fillId="5" borderId="5" xfId="2" applyNumberFormat="1" applyFont="1" applyFill="1" applyBorder="1" applyAlignment="1" applyProtection="1">
      <alignment horizontal="center" vertical="top" wrapText="1"/>
      <protection locked="0"/>
    </xf>
    <xf numFmtId="164" fontId="1" fillId="5" borderId="6" xfId="2" applyNumberFormat="1" applyFont="1" applyFill="1" applyBorder="1" applyAlignment="1" applyProtection="1">
      <alignment horizontal="center" vertical="top" wrapText="1"/>
      <protection locked="0"/>
    </xf>
    <xf numFmtId="164" fontId="1" fillId="5" borderId="3" xfId="2" applyNumberFormat="1" applyFont="1" applyFill="1" applyBorder="1" applyAlignment="1" applyProtection="1">
      <alignment horizontal="center" vertical="top" wrapText="1"/>
      <protection locked="0"/>
    </xf>
    <xf numFmtId="0" fontId="1" fillId="4" borderId="4" xfId="1" applyFill="1" applyBorder="1" applyAlignment="1" applyProtection="1">
      <alignment horizontal="center" vertical="top"/>
      <protection locked="0"/>
    </xf>
    <xf numFmtId="0" fontId="20" fillId="4" borderId="1" xfId="1" applyFont="1" applyFill="1" applyBorder="1" applyAlignment="1" applyProtection="1">
      <alignment horizontal="center" vertical="top" wrapText="1"/>
      <protection locked="0"/>
    </xf>
    <xf numFmtId="166" fontId="1" fillId="5" borderId="2" xfId="2" applyNumberFormat="1" applyFont="1" applyFill="1" applyBorder="1" applyAlignment="1" applyProtection="1">
      <alignment horizontal="center" vertical="top" wrapText="1"/>
      <protection locked="0"/>
    </xf>
    <xf numFmtId="0" fontId="1" fillId="4" borderId="1" xfId="1" applyFill="1" applyBorder="1" applyAlignment="1" applyProtection="1">
      <alignment horizontal="center" vertical="top"/>
      <protection locked="0"/>
    </xf>
    <xf numFmtId="43" fontId="1" fillId="5" borderId="2" xfId="2" applyFont="1" applyFill="1" applyBorder="1" applyAlignment="1" applyProtection="1">
      <alignment horizontal="center" vertical="top" wrapText="1"/>
      <protection locked="0"/>
    </xf>
    <xf numFmtId="168" fontId="1" fillId="3" borderId="2" xfId="2" applyNumberFormat="1" applyFont="1" applyFill="1" applyBorder="1" applyAlignment="1" applyProtection="1">
      <alignment horizontal="center" vertical="top" wrapText="1"/>
    </xf>
    <xf numFmtId="0" fontId="1" fillId="4" borderId="7" xfId="1" applyFill="1" applyBorder="1" applyAlignment="1" applyProtection="1">
      <alignment horizontal="center" vertical="top"/>
      <protection locked="0"/>
    </xf>
    <xf numFmtId="0" fontId="20" fillId="4" borderId="7" xfId="1" applyFont="1" applyFill="1" applyBorder="1" applyAlignment="1" applyProtection="1">
      <alignment horizontal="center" vertical="top" wrapText="1"/>
      <protection locked="0"/>
    </xf>
    <xf numFmtId="0" fontId="21" fillId="4" borderId="0" xfId="1" applyFont="1" applyFill="1" applyProtection="1">
      <protection locked="0"/>
    </xf>
    <xf numFmtId="164" fontId="22" fillId="2" borderId="2" xfId="1" applyNumberFormat="1" applyFont="1" applyFill="1" applyBorder="1" applyAlignment="1">
      <alignment horizontal="left" vertical="top" wrapText="1"/>
    </xf>
    <xf numFmtId="0" fontId="22" fillId="2" borderId="2" xfId="1" quotePrefix="1" applyFont="1" applyFill="1" applyBorder="1" applyAlignment="1">
      <alignment horizontal="left" vertical="top" wrapText="1"/>
    </xf>
    <xf numFmtId="0" fontId="22" fillId="2" borderId="2" xfId="1" quotePrefix="1" applyFont="1" applyFill="1" applyBorder="1" applyAlignment="1" applyProtection="1">
      <alignment horizontal="left" vertical="top" wrapText="1"/>
      <protection locked="0"/>
    </xf>
    <xf numFmtId="164" fontId="22" fillId="2" borderId="2" xfId="1" quotePrefix="1" applyNumberFormat="1" applyFont="1" applyFill="1" applyBorder="1" applyAlignment="1">
      <alignment horizontal="left" vertical="top" wrapText="1"/>
    </xf>
    <xf numFmtId="0" fontId="21" fillId="2" borderId="2" xfId="1" quotePrefix="1" applyFont="1" applyFill="1" applyBorder="1" applyAlignment="1" applyProtection="1">
      <alignment horizontal="left" vertical="top" wrapText="1"/>
      <protection locked="0"/>
    </xf>
    <xf numFmtId="164" fontId="21" fillId="2" borderId="2" xfId="2" quotePrefix="1" applyNumberFormat="1" applyFont="1" applyFill="1" applyBorder="1" applyAlignment="1" applyProtection="1">
      <alignment horizontal="left" vertical="top" wrapText="1"/>
      <protection locked="0"/>
    </xf>
    <xf numFmtId="0" fontId="21" fillId="2" borderId="5" xfId="1" quotePrefix="1" applyFont="1" applyFill="1" applyBorder="1" applyAlignment="1" applyProtection="1">
      <alignment horizontal="left" vertical="top" wrapText="1"/>
      <protection locked="0"/>
    </xf>
    <xf numFmtId="0" fontId="21" fillId="2" borderId="2" xfId="1" quotePrefix="1" applyFont="1" applyFill="1" applyBorder="1" applyAlignment="1" applyProtection="1">
      <alignment horizontal="center" vertical="top" wrapText="1"/>
      <protection locked="0"/>
    </xf>
    <xf numFmtId="0" fontId="21" fillId="2" borderId="3" xfId="1" quotePrefix="1" applyFont="1" applyFill="1" applyBorder="1" applyAlignment="1" applyProtection="1">
      <alignment horizontal="left" vertical="top" wrapText="1"/>
      <protection locked="0"/>
    </xf>
    <xf numFmtId="0" fontId="21" fillId="2" borderId="2" xfId="1" applyFont="1" applyFill="1" applyBorder="1" applyAlignment="1" applyProtection="1">
      <alignment horizontal="left" vertical="top"/>
      <protection locked="0"/>
    </xf>
    <xf numFmtId="0" fontId="21" fillId="2" borderId="2" xfId="1" applyFont="1" applyFill="1" applyBorder="1" applyAlignment="1" applyProtection="1">
      <alignment horizontal="center" vertical="center" wrapText="1"/>
      <protection locked="0"/>
    </xf>
    <xf numFmtId="0" fontId="23" fillId="4" borderId="0" xfId="1" applyFont="1" applyFill="1" applyAlignment="1" applyProtection="1">
      <alignment horizontal="right" vertical="top"/>
      <protection locked="0"/>
    </xf>
    <xf numFmtId="164" fontId="1" fillId="3" borderId="2" xfId="1" applyNumberFormat="1" applyFill="1" applyBorder="1"/>
    <xf numFmtId="0" fontId="1" fillId="3" borderId="2" xfId="1" applyFill="1" applyBorder="1" applyAlignment="1">
      <alignment vertical="center" wrapText="1"/>
    </xf>
    <xf numFmtId="0" fontId="1" fillId="5" borderId="2" xfId="1" applyFill="1" applyBorder="1" applyAlignment="1" applyProtection="1">
      <alignment vertical="center" wrapText="1"/>
      <protection locked="0"/>
    </xf>
    <xf numFmtId="164" fontId="1" fillId="5" borderId="2" xfId="2" applyNumberFormat="1" applyFont="1" applyFill="1" applyBorder="1" applyAlignment="1" applyProtection="1">
      <alignment vertical="center" wrapText="1"/>
      <protection locked="0"/>
    </xf>
    <xf numFmtId="164" fontId="1" fillId="3" borderId="2" xfId="2" applyNumberFormat="1" applyFont="1" applyFill="1" applyBorder="1" applyAlignment="1" applyProtection="1">
      <alignment vertical="center" wrapText="1"/>
    </xf>
    <xf numFmtId="9" fontId="1" fillId="5" borderId="5" xfId="3" applyFont="1" applyFill="1" applyBorder="1" applyAlignment="1" applyProtection="1">
      <alignment horizontal="center" vertical="top" wrapText="1"/>
      <protection locked="0"/>
    </xf>
    <xf numFmtId="0" fontId="0" fillId="5" borderId="2" xfId="0" quotePrefix="1" applyFill="1" applyBorder="1" applyAlignment="1" applyProtection="1">
      <alignment horizontal="center"/>
      <protection locked="0"/>
    </xf>
    <xf numFmtId="0" fontId="1" fillId="4" borderId="3" xfId="1" quotePrefix="1" applyFill="1" applyBorder="1" applyAlignment="1" applyProtection="1">
      <alignment horizontal="left" vertical="top" wrapText="1"/>
      <protection locked="0"/>
    </xf>
    <xf numFmtId="0" fontId="21" fillId="4" borderId="4" xfId="1" applyFont="1" applyFill="1" applyBorder="1" applyAlignment="1" applyProtection="1">
      <alignment horizontal="center" vertical="top" wrapText="1"/>
      <protection locked="0"/>
    </xf>
    <xf numFmtId="0" fontId="21" fillId="4" borderId="1" xfId="1" applyFont="1" applyFill="1" applyBorder="1" applyAlignment="1" applyProtection="1">
      <alignment horizontal="center" vertical="top" wrapText="1"/>
      <protection locked="0"/>
    </xf>
    <xf numFmtId="0" fontId="1" fillId="0" borderId="0" xfId="1" applyProtection="1">
      <protection locked="0"/>
    </xf>
    <xf numFmtId="164" fontId="22" fillId="2" borderId="2" xfId="1" applyNumberFormat="1" applyFont="1" applyFill="1" applyBorder="1"/>
    <xf numFmtId="2" fontId="1" fillId="2" borderId="2" xfId="1" applyNumberFormat="1" applyFill="1" applyBorder="1" applyAlignment="1">
      <alignment vertical="center" wrapText="1"/>
    </xf>
    <xf numFmtId="0" fontId="1" fillId="2" borderId="2" xfId="1" applyFill="1" applyBorder="1" applyAlignment="1" applyProtection="1">
      <alignment vertical="center" wrapText="1"/>
      <protection locked="0"/>
    </xf>
    <xf numFmtId="0" fontId="24" fillId="2" borderId="2" xfId="1" applyFont="1" applyFill="1" applyBorder="1" applyAlignment="1" applyProtection="1">
      <alignment horizontal="center" vertical="center" wrapText="1"/>
      <protection locked="0"/>
    </xf>
    <xf numFmtId="164" fontId="22" fillId="2" borderId="2" xfId="2" applyNumberFormat="1" applyFont="1" applyFill="1" applyBorder="1" applyAlignment="1" applyProtection="1">
      <alignment vertical="center" wrapText="1"/>
    </xf>
    <xf numFmtId="164" fontId="1" fillId="2" borderId="2" xfId="2" applyNumberFormat="1" applyFont="1" applyFill="1" applyBorder="1" applyAlignment="1" applyProtection="1">
      <alignment vertical="center" wrapText="1"/>
      <protection locked="0"/>
    </xf>
    <xf numFmtId="9" fontId="1" fillId="2" borderId="5" xfId="1" applyNumberFormat="1" applyFill="1" applyBorder="1" applyAlignment="1" applyProtection="1">
      <alignment horizontal="center" vertical="center" wrapText="1"/>
      <protection locked="0"/>
    </xf>
    <xf numFmtId="0" fontId="1" fillId="2" borderId="2" xfId="1" applyFill="1" applyBorder="1" applyAlignment="1" applyProtection="1">
      <alignment horizontal="center" vertical="top" wrapText="1"/>
      <protection locked="0"/>
    </xf>
    <xf numFmtId="0" fontId="1" fillId="2" borderId="3" xfId="1" applyFill="1" applyBorder="1" applyAlignment="1" applyProtection="1">
      <alignment horizontal="left" vertical="top" wrapText="1"/>
      <protection locked="0"/>
    </xf>
    <xf numFmtId="0" fontId="24" fillId="2" borderId="2" xfId="1" applyFont="1" applyFill="1" applyBorder="1" applyAlignment="1" applyProtection="1">
      <alignment horizontal="center" vertical="center"/>
      <protection locked="0"/>
    </xf>
    <xf numFmtId="0" fontId="21" fillId="4" borderId="7" xfId="1" applyFont="1" applyFill="1" applyBorder="1" applyAlignment="1" applyProtection="1">
      <alignment horizontal="center" vertical="top" wrapText="1"/>
      <protection locked="0"/>
    </xf>
    <xf numFmtId="0" fontId="1" fillId="5" borderId="2" xfId="1" applyFill="1" applyBorder="1" applyAlignment="1" applyProtection="1">
      <alignment horizontal="center" vertical="top" wrapText="1"/>
      <protection locked="0"/>
    </xf>
    <xf numFmtId="0" fontId="1" fillId="5" borderId="2" xfId="1" applyFill="1" applyBorder="1" applyAlignment="1" applyProtection="1">
      <alignment vertical="top" wrapText="1"/>
      <protection locked="0"/>
    </xf>
    <xf numFmtId="43" fontId="1" fillId="3" borderId="2" xfId="2" applyFont="1" applyFill="1" applyBorder="1" applyAlignment="1" applyProtection="1">
      <alignment vertical="center" wrapText="1"/>
    </xf>
    <xf numFmtId="164" fontId="1" fillId="5" borderId="2" xfId="2" applyNumberFormat="1" applyFont="1" applyFill="1" applyBorder="1" applyAlignment="1" applyProtection="1">
      <alignment vertical="top" wrapText="1"/>
      <protection locked="0"/>
    </xf>
    <xf numFmtId="0" fontId="0" fillId="5" borderId="2" xfId="0" applyFill="1" applyBorder="1" applyAlignment="1" applyProtection="1">
      <alignment horizontal="center"/>
      <protection locked="0"/>
    </xf>
    <xf numFmtId="0" fontId="1" fillId="4" borderId="3" xfId="1" applyFill="1" applyBorder="1" applyAlignment="1" applyProtection="1">
      <alignment horizontal="left" vertical="top" wrapText="1"/>
      <protection locked="0"/>
    </xf>
    <xf numFmtId="43" fontId="22" fillId="2" borderId="2" xfId="2" applyFont="1" applyFill="1" applyBorder="1" applyAlignment="1" applyProtection="1">
      <alignment vertical="center" wrapText="1"/>
    </xf>
    <xf numFmtId="169" fontId="1" fillId="3" borderId="2" xfId="1" applyNumberFormat="1" applyFill="1" applyBorder="1"/>
    <xf numFmtId="0" fontId="1" fillId="4" borderId="3" xfId="1" applyFill="1" applyBorder="1" applyAlignment="1" applyProtection="1">
      <alignment vertical="top" wrapText="1"/>
      <protection locked="0"/>
    </xf>
    <xf numFmtId="0" fontId="1" fillId="4" borderId="2" xfId="1" applyFill="1" applyBorder="1" applyAlignment="1" applyProtection="1">
      <alignment vertical="top"/>
      <protection locked="0"/>
    </xf>
    <xf numFmtId="169" fontId="22" fillId="2" borderId="2" xfId="1" applyNumberFormat="1" applyFont="1" applyFill="1" applyBorder="1"/>
    <xf numFmtId="0" fontId="1" fillId="3" borderId="2" xfId="1" applyFill="1" applyBorder="1"/>
    <xf numFmtId="0" fontId="1" fillId="5" borderId="2" xfId="1" applyFill="1" applyBorder="1" applyAlignment="1" applyProtection="1">
      <alignment horizontal="center" vertical="center" wrapText="1"/>
      <protection locked="0"/>
    </xf>
    <xf numFmtId="2" fontId="1" fillId="3" borderId="2" xfId="1" applyNumberFormat="1" applyFill="1" applyBorder="1" applyAlignment="1">
      <alignment vertical="center" wrapText="1"/>
    </xf>
    <xf numFmtId="9" fontId="1" fillId="5" borderId="5" xfId="1" applyNumberFormat="1" applyFill="1" applyBorder="1" applyAlignment="1" applyProtection="1">
      <alignment horizontal="center" vertical="center" wrapText="1"/>
      <protection locked="0"/>
    </xf>
    <xf numFmtId="0" fontId="18" fillId="4" borderId="2" xfId="1" applyFont="1" applyFill="1" applyBorder="1" applyAlignment="1" applyProtection="1">
      <alignment horizontal="left" vertical="top"/>
      <protection locked="0"/>
    </xf>
    <xf numFmtId="0" fontId="21" fillId="4" borderId="2" xfId="1" applyFont="1" applyFill="1" applyBorder="1" applyAlignment="1" applyProtection="1">
      <alignment horizontal="center" vertical="top" wrapText="1"/>
      <protection locked="0"/>
    </xf>
    <xf numFmtId="0" fontId="24" fillId="2" borderId="2" xfId="1" applyFont="1" applyFill="1" applyBorder="1" applyAlignment="1">
      <alignment horizontal="center" vertical="center" wrapText="1"/>
    </xf>
    <xf numFmtId="164" fontId="24" fillId="2" borderId="2" xfId="1" applyNumberFormat="1" applyFont="1" applyFill="1" applyBorder="1" applyAlignment="1">
      <alignment horizontal="center" vertical="center" wrapText="1"/>
    </xf>
    <xf numFmtId="164" fontId="24" fillId="2" borderId="2" xfId="2" applyNumberFormat="1" applyFont="1" applyFill="1" applyBorder="1" applyAlignment="1" applyProtection="1">
      <alignment horizontal="center" vertical="center" wrapText="1"/>
      <protection locked="0"/>
    </xf>
    <xf numFmtId="0" fontId="24" fillId="2" borderId="5" xfId="1" applyFont="1" applyFill="1" applyBorder="1" applyAlignment="1" applyProtection="1">
      <alignment horizontal="center" vertical="center" wrapText="1"/>
      <protection locked="0"/>
    </xf>
    <xf numFmtId="0" fontId="24" fillId="2" borderId="3" xfId="1" applyFont="1" applyFill="1" applyBorder="1" applyAlignment="1" applyProtection="1">
      <alignment horizontal="center" vertical="center"/>
      <protection locked="0"/>
    </xf>
    <xf numFmtId="0" fontId="13" fillId="5" borderId="2" xfId="1" applyFont="1" applyFill="1" applyBorder="1" applyAlignment="1" applyProtection="1">
      <alignment vertical="center" wrapText="1"/>
      <protection locked="0"/>
    </xf>
    <xf numFmtId="164" fontId="24" fillId="2" borderId="2" xfId="1" applyNumberFormat="1" applyFont="1" applyFill="1" applyBorder="1" applyAlignment="1">
      <alignment horizontal="right" vertical="center" wrapText="1"/>
    </xf>
    <xf numFmtId="0" fontId="18" fillId="5" borderId="2" xfId="1" applyFont="1" applyFill="1" applyBorder="1" applyAlignment="1" applyProtection="1">
      <alignment horizontal="left" vertical="top" wrapText="1"/>
      <protection locked="0"/>
    </xf>
    <xf numFmtId="164" fontId="18" fillId="5" borderId="2" xfId="2" applyNumberFormat="1" applyFont="1" applyFill="1" applyBorder="1" applyAlignment="1" applyProtection="1">
      <alignment horizontal="left" vertical="top" wrapText="1"/>
      <protection locked="0"/>
    </xf>
    <xf numFmtId="43" fontId="1" fillId="3" borderId="2" xfId="1" applyNumberFormat="1" applyFill="1" applyBorder="1"/>
    <xf numFmtId="164" fontId="14" fillId="2" borderId="2" xfId="1" applyNumberFormat="1" applyFont="1" applyFill="1" applyBorder="1" applyAlignment="1">
      <alignment horizontal="center" vertical="center" wrapText="1"/>
    </xf>
    <xf numFmtId="0" fontId="25" fillId="4" borderId="0" xfId="1" applyFont="1" applyFill="1" applyProtection="1">
      <protection locked="0"/>
    </xf>
    <xf numFmtId="0" fontId="26" fillId="5" borderId="2" xfId="5" applyFill="1" applyBorder="1" applyAlignment="1" applyProtection="1">
      <alignment horizontal="left" vertical="top" wrapText="1"/>
      <protection locked="0"/>
    </xf>
    <xf numFmtId="164" fontId="1" fillId="3" borderId="2" xfId="2" applyNumberFormat="1" applyFont="1" applyFill="1" applyBorder="1" applyAlignment="1" applyProtection="1">
      <alignment horizontal="left" vertical="top" wrapText="1"/>
      <protection locked="0"/>
    </xf>
    <xf numFmtId="164" fontId="0" fillId="3" borderId="2" xfId="2" applyNumberFormat="1" applyFont="1" applyFill="1" applyBorder="1" applyProtection="1"/>
    <xf numFmtId="164" fontId="14" fillId="2" borderId="2" xfId="1" applyNumberFormat="1" applyFont="1" applyFill="1" applyBorder="1"/>
    <xf numFmtId="0" fontId="1" fillId="5" borderId="2" xfId="1" applyFill="1" applyBorder="1" applyAlignment="1" applyProtection="1">
      <alignment horizontal="left" vertical="top" wrapText="1"/>
      <protection locked="0"/>
    </xf>
    <xf numFmtId="164" fontId="1" fillId="5" borderId="2" xfId="2" applyNumberFormat="1" applyFont="1" applyFill="1" applyBorder="1" applyAlignment="1" applyProtection="1">
      <alignment horizontal="left" vertical="top" wrapText="1"/>
      <protection locked="0"/>
    </xf>
    <xf numFmtId="0" fontId="1" fillId="5" borderId="4" xfId="1" applyFill="1" applyBorder="1" applyAlignment="1" applyProtection="1">
      <alignment vertical="center" wrapText="1"/>
      <protection locked="0"/>
    </xf>
    <xf numFmtId="0" fontId="1" fillId="4" borderId="8" xfId="1" applyFill="1" applyBorder="1" applyAlignment="1" applyProtection="1">
      <alignment vertical="top" wrapText="1"/>
      <protection locked="0"/>
    </xf>
    <xf numFmtId="0" fontId="1" fillId="4" borderId="4" xfId="1" applyFill="1" applyBorder="1" applyAlignment="1" applyProtection="1">
      <alignment vertical="top"/>
      <protection locked="0"/>
    </xf>
    <xf numFmtId="164" fontId="27" fillId="2" borderId="2" xfId="1" applyNumberFormat="1" applyFont="1" applyFill="1" applyBorder="1" applyAlignment="1">
      <alignment horizontal="center" vertical="center" wrapText="1"/>
    </xf>
    <xf numFmtId="9" fontId="1" fillId="5" borderId="2" xfId="1" applyNumberFormat="1" applyFill="1" applyBorder="1" applyAlignment="1" applyProtection="1">
      <alignment horizontal="center" vertical="center" wrapText="1"/>
      <protection locked="0"/>
    </xf>
    <xf numFmtId="0" fontId="1" fillId="4" borderId="2" xfId="1" applyFill="1" applyBorder="1" applyAlignment="1" applyProtection="1">
      <alignment vertical="top" wrapText="1"/>
      <protection locked="0"/>
    </xf>
    <xf numFmtId="0" fontId="1" fillId="0" borderId="2" xfId="1" applyBorder="1" applyAlignment="1" applyProtection="1">
      <alignment vertical="top"/>
      <protection locked="0"/>
    </xf>
    <xf numFmtId="0" fontId="1" fillId="2" borderId="2" xfId="1" applyFill="1" applyBorder="1" applyAlignment="1" applyProtection="1">
      <alignment horizontal="left" vertical="top" wrapText="1"/>
      <protection locked="0"/>
    </xf>
    <xf numFmtId="9" fontId="1" fillId="2" borderId="2" xfId="1" applyNumberFormat="1" applyFill="1" applyBorder="1" applyAlignment="1" applyProtection="1">
      <alignment horizontal="center" vertical="center" wrapText="1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1" fillId="2" borderId="2" xfId="1" applyFill="1" applyBorder="1" applyAlignment="1" applyProtection="1">
      <alignment vertical="top" wrapText="1"/>
      <protection locked="0"/>
    </xf>
    <xf numFmtId="0" fontId="22" fillId="2" borderId="2" xfId="1" applyFont="1" applyFill="1" applyBorder="1" applyAlignment="1" applyProtection="1">
      <alignment horizontal="center" vertical="center"/>
      <protection locked="0"/>
    </xf>
    <xf numFmtId="0" fontId="1" fillId="5" borderId="7" xfId="1" applyFill="1" applyBorder="1" applyAlignment="1" applyProtection="1">
      <alignment vertical="center" wrapText="1"/>
      <protection locked="0"/>
    </xf>
    <xf numFmtId="164" fontId="1" fillId="5" borderId="7" xfId="2" applyNumberFormat="1" applyFont="1" applyFill="1" applyBorder="1" applyAlignment="1" applyProtection="1">
      <alignment vertical="center" wrapText="1"/>
      <protection locked="0"/>
    </xf>
    <xf numFmtId="0" fontId="0" fillId="5" borderId="9" xfId="0" applyFill="1" applyBorder="1" applyAlignment="1" applyProtection="1">
      <alignment horizontal="center"/>
      <protection locked="0"/>
    </xf>
    <xf numFmtId="0" fontId="1" fillId="4" borderId="7" xfId="1" applyFill="1" applyBorder="1" applyAlignment="1" applyProtection="1">
      <alignment vertical="top"/>
      <protection locked="0"/>
    </xf>
    <xf numFmtId="0" fontId="24" fillId="2" borderId="7" xfId="1" applyFont="1" applyFill="1" applyBorder="1" applyAlignment="1" applyProtection="1">
      <alignment horizontal="center" vertical="center"/>
      <protection locked="0"/>
    </xf>
    <xf numFmtId="0" fontId="25" fillId="4" borderId="0" xfId="0" applyFont="1" applyFill="1"/>
    <xf numFmtId="0" fontId="18" fillId="4" borderId="0" xfId="1" applyFont="1" applyFill="1" applyAlignment="1" applyProtection="1">
      <alignment horizontal="right" vertical="center"/>
      <protection locked="0"/>
    </xf>
    <xf numFmtId="0" fontId="24" fillId="2" borderId="2" xfId="1" applyFont="1" applyFill="1" applyBorder="1" applyAlignment="1" applyProtection="1">
      <alignment horizontal="center" vertical="center" wrapText="1"/>
      <protection locked="0"/>
    </xf>
    <xf numFmtId="0" fontId="14" fillId="2" borderId="2" xfId="1" applyFont="1" applyFill="1" applyBorder="1" applyAlignment="1" applyProtection="1">
      <alignment horizontal="center" vertical="center" wrapText="1"/>
      <protection locked="0"/>
    </xf>
    <xf numFmtId="0" fontId="24" fillId="4" borderId="0" xfId="1" applyFont="1" applyFill="1" applyAlignment="1" applyProtection="1">
      <alignment horizontal="center" vertical="center" wrapText="1"/>
      <protection locked="0"/>
    </xf>
    <xf numFmtId="0" fontId="1" fillId="5" borderId="10" xfId="1" applyFill="1" applyBorder="1" applyAlignment="1" applyProtection="1">
      <alignment horizontal="right" vertical="top" wrapText="1"/>
      <protection locked="0"/>
    </xf>
    <xf numFmtId="0" fontId="1" fillId="0" borderId="11" xfId="1" applyBorder="1" applyProtection="1">
      <protection locked="0"/>
    </xf>
    <xf numFmtId="0" fontId="21" fillId="4" borderId="12" xfId="1" applyFont="1" applyFill="1" applyBorder="1" applyAlignment="1" applyProtection="1">
      <alignment horizontal="left" vertical="top" wrapText="1"/>
      <protection locked="0"/>
    </xf>
    <xf numFmtId="0" fontId="1" fillId="5" borderId="13" xfId="1" applyFill="1" applyBorder="1" applyAlignment="1" applyProtection="1">
      <alignment horizontal="right" vertical="top" wrapText="1"/>
      <protection locked="0"/>
    </xf>
    <xf numFmtId="0" fontId="21" fillId="0" borderId="14" xfId="1" applyFont="1" applyBorder="1" applyAlignment="1" applyProtection="1">
      <alignment horizontal="left" vertical="top" wrapText="1"/>
      <protection locked="0"/>
    </xf>
    <xf numFmtId="0" fontId="0" fillId="5" borderId="15" xfId="0" applyFill="1" applyBorder="1" applyProtection="1">
      <protection locked="0"/>
    </xf>
    <xf numFmtId="0" fontId="1" fillId="0" borderId="16" xfId="1" applyBorder="1" applyAlignment="1" applyProtection="1">
      <alignment horizontal="left" vertical="top"/>
      <protection locked="0"/>
    </xf>
    <xf numFmtId="0" fontId="21" fillId="4" borderId="17" xfId="1" applyFont="1" applyFill="1" applyBorder="1" applyAlignment="1" applyProtection="1">
      <alignment horizontal="left" vertical="top" wrapText="1"/>
      <protection locked="0"/>
    </xf>
    <xf numFmtId="0" fontId="1" fillId="0" borderId="0" xfId="1" applyAlignment="1" applyProtection="1">
      <alignment horizontal="left" vertical="top"/>
      <protection locked="0"/>
    </xf>
    <xf numFmtId="0" fontId="21" fillId="4" borderId="14" xfId="1" applyFont="1" applyFill="1" applyBorder="1" applyAlignment="1" applyProtection="1">
      <alignment horizontal="left" vertical="top" wrapText="1"/>
      <protection locked="0"/>
    </xf>
    <xf numFmtId="0" fontId="1" fillId="5" borderId="18" xfId="1" applyFill="1" applyBorder="1" applyAlignment="1" applyProtection="1">
      <alignment horizontal="right" vertical="top" wrapText="1"/>
      <protection locked="0"/>
    </xf>
    <xf numFmtId="0" fontId="1" fillId="0" borderId="19" xfId="1" applyBorder="1" applyAlignment="1" applyProtection="1">
      <alignment horizontal="left" vertical="top"/>
      <protection locked="0"/>
    </xf>
    <xf numFmtId="0" fontId="21" fillId="4" borderId="20" xfId="1" applyFont="1" applyFill="1" applyBorder="1" applyAlignment="1" applyProtection="1">
      <alignment horizontal="left" vertical="top" wrapText="1"/>
      <protection locked="0"/>
    </xf>
    <xf numFmtId="0" fontId="24" fillId="4" borderId="0" xfId="1" applyFont="1" applyFill="1" applyAlignment="1" applyProtection="1">
      <alignment horizontal="center" vertical="center"/>
      <protection locked="0"/>
    </xf>
    <xf numFmtId="164" fontId="1" fillId="3" borderId="18" xfId="1" applyNumberFormat="1" applyFill="1" applyBorder="1" applyAlignment="1">
      <alignment horizontal="right" vertical="top" wrapText="1"/>
    </xf>
    <xf numFmtId="0" fontId="1" fillId="4" borderId="19" xfId="1" applyFill="1" applyBorder="1" applyAlignment="1" applyProtection="1">
      <alignment horizontal="left" vertical="top" wrapText="1"/>
      <protection locked="0"/>
    </xf>
    <xf numFmtId="0" fontId="24" fillId="2" borderId="21" xfId="1" applyFont="1" applyFill="1" applyBorder="1" applyAlignment="1" applyProtection="1">
      <alignment horizontal="center" vertical="center"/>
      <protection locked="0"/>
    </xf>
    <xf numFmtId="0" fontId="24" fillId="2" borderId="22" xfId="1" applyFont="1" applyFill="1" applyBorder="1" applyAlignment="1" applyProtection="1">
      <alignment horizontal="center" vertical="center"/>
      <protection locked="0"/>
    </xf>
    <xf numFmtId="0" fontId="24" fillId="2" borderId="23" xfId="1" applyFont="1" applyFill="1" applyBorder="1" applyAlignment="1" applyProtection="1">
      <alignment horizontal="center" vertical="center"/>
      <protection locked="0"/>
    </xf>
    <xf numFmtId="0" fontId="1" fillId="0" borderId="0" xfId="1" applyAlignment="1" applyProtection="1">
      <alignment horizontal="left" vertical="center" wrapText="1"/>
      <protection locked="0"/>
    </xf>
    <xf numFmtId="0" fontId="1" fillId="3" borderId="0" xfId="1" applyFill="1" applyProtection="1">
      <protection locked="0"/>
    </xf>
    <xf numFmtId="0" fontId="18" fillId="4" borderId="0" xfId="1" applyFont="1" applyFill="1" applyAlignment="1" applyProtection="1">
      <alignment vertical="center"/>
      <protection locked="0"/>
    </xf>
    <xf numFmtId="0" fontId="1" fillId="5" borderId="0" xfId="1" applyFill="1" applyProtection="1">
      <protection locked="0"/>
    </xf>
    <xf numFmtId="0" fontId="1" fillId="4" borderId="0" xfId="1" applyFill="1" applyAlignment="1" applyProtection="1">
      <alignment horizontal="right" vertical="center" wrapText="1"/>
      <protection locked="0"/>
    </xf>
    <xf numFmtId="167" fontId="1" fillId="4" borderId="0" xfId="1" applyNumberFormat="1" applyFill="1" applyAlignment="1" applyProtection="1">
      <alignment horizontal="right" vertical="center" wrapText="1"/>
      <protection locked="0"/>
    </xf>
  </cellXfs>
  <cellStyles count="6">
    <cellStyle name="Normal 2" xfId="1" xr:uid="{BD6A2156-ECE9-4961-A32E-D44B79B65FFD}"/>
    <cellStyle name="Гиперссылка" xfId="5" builtinId="8"/>
    <cellStyle name="Денежный" xfId="4" builtinId="4"/>
    <cellStyle name="Обычный" xfId="0" builtinId="0"/>
    <cellStyle name="Процентный" xfId="3" builtinId="5"/>
    <cellStyle name="Финансовый" xfId="2" builtinId="3"/>
  </cellStyles>
  <dxfs count="9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204"/>
        <scheme val="none"/>
      </font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9525</xdr:colOff>
          <xdr:row>15</xdr:row>
          <xdr:rowOff>47625</xdr:rowOff>
        </xdr:from>
        <xdr:to>
          <xdr:col>4</xdr:col>
          <xdr:colOff>2552700</xdr:colOff>
          <xdr:row>16</xdr:row>
          <xdr:rowOff>266700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B5288AEF-DD3F-4EAD-BC67-8BFCF3DDC8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ru-RU" sz="1100" b="0" i="0" u="none" strike="noStrike" baseline="0">
                  <a:solidFill>
                    <a:srgbClr val="000000"/>
                  </a:solidFill>
                  <a:latin typeface="Aptos Narrow"/>
                </a:rPr>
                <a:t>Показать УФО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com\Desktop\&#1052;&#1058;&#1057;\&#1050;&#1072;&#1083;&#1100;&#1082;&#1091;&#1083;&#1103;&#1090;&#1086;&#1088;_&#1086;&#1094;&#1077;&#1085;&#1082;&#1080;_&#1084;&#1077;&#1088;&#1086;&#1087;&#1088;&#1080;&#1103;&#1090;&#1080;&#1081;_&#1052;&#1058;&#1057;_Live_&#1087;&#1086;_&#1075;&#1086;&#1088;&#1086;&#1076;&#1072;&#1084;_140825_&#1074;&#1089;&#1077;_&#1075;&#1086;&#1088;&#1086;&#1076;&#1072;.xlsm" TargetMode="External"/><Relationship Id="rId1" Type="http://schemas.openxmlformats.org/officeDocument/2006/relationships/externalLinkPath" Target="/Users/icom/Desktop/&#1052;&#1058;&#1057;/&#1050;&#1072;&#1083;&#1100;&#1082;&#1091;&#1083;&#1103;&#1090;&#1086;&#1088;_&#1086;&#1094;&#1077;&#1085;&#1082;&#1080;_&#1084;&#1077;&#1088;&#1086;&#1087;&#1088;&#1080;&#1103;&#1090;&#1080;&#1081;_&#1052;&#1058;&#1057;_Live_&#1087;&#1086;_&#1075;&#1086;&#1088;&#1086;&#1076;&#1072;&#1084;_140825_&#1074;&#1089;&#1077;_&#1075;&#1086;&#1088;&#1086;&#1076;&#107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Воронеж"/>
      <sheetName val="Омск"/>
      <sheetName val="Калининград"/>
      <sheetName val="Хабаровск"/>
      <sheetName val="Нижний Новгород"/>
      <sheetName val="Чебоксары"/>
      <sheetName val="Сочи"/>
      <sheetName val="Краснодар"/>
      <sheetName val="Новосибирск"/>
      <sheetName val="Казань"/>
      <sheetName val="Кемерово"/>
      <sheetName val="Томск"/>
      <sheetName val="Екатеринбург"/>
      <sheetName val="Санкт-Петербург"/>
      <sheetName val="ЧЕК-ЛИСТ"/>
      <sheetName val="Итоговые показатели по городам"/>
      <sheetName val="UFO"/>
      <sheetName val="ТВ Каналы"/>
      <sheetName val="Радиостанции"/>
      <sheetName val="Списки"/>
      <sheetName val="Коэфы качество контакта"/>
      <sheetName val="ЦА по городам"/>
      <sheetName val="Коэфы брендирование"/>
      <sheetName val="ТВ"/>
      <sheetName val="OOH"/>
      <sheetName val="Метро"/>
      <sheetName val="Radio"/>
      <sheetName val="Indoor"/>
      <sheetName val="ТВ исходник"/>
      <sheetName val="Радио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">
          <cell r="B1" t="str">
            <v>Формат</v>
          </cell>
          <cell r="C1" t="str">
            <v>Город+Формат</v>
          </cell>
        </row>
        <row r="2">
          <cell r="B2" t="str">
            <v>Прямая Реклама</v>
          </cell>
          <cell r="C2" t="str">
            <v>МоскваПрямая Реклама</v>
          </cell>
        </row>
        <row r="3">
          <cell r="B3" t="str">
            <v>Прямая Реклама</v>
          </cell>
          <cell r="C3" t="str">
            <v>МоскваПрямая Реклама</v>
          </cell>
        </row>
        <row r="4">
          <cell r="B4" t="str">
            <v>Спонсорство</v>
          </cell>
          <cell r="C4" t="str">
            <v>МоскваСпонсорство</v>
          </cell>
        </row>
        <row r="5">
          <cell r="B5" t="str">
            <v>Спонсорство</v>
          </cell>
          <cell r="C5" t="str">
            <v>МоскваСпонсорство</v>
          </cell>
        </row>
        <row r="6">
          <cell r="B6" t="str">
            <v>Спонсорство</v>
          </cell>
          <cell r="C6" t="str">
            <v>Санкт-ПетербургСпонсорство</v>
          </cell>
        </row>
        <row r="7">
          <cell r="B7" t="str">
            <v>Спонсорство</v>
          </cell>
          <cell r="C7" t="str">
            <v>Санкт-ПетербургСпонсорство</v>
          </cell>
        </row>
        <row r="8">
          <cell r="B8" t="str">
            <v>Прямая Реклама</v>
          </cell>
          <cell r="C8" t="str">
            <v>Санкт-ПетербургПрямая Реклама</v>
          </cell>
        </row>
        <row r="9">
          <cell r="B9" t="str">
            <v>Прямая Реклама</v>
          </cell>
          <cell r="C9" t="str">
            <v>Санкт-ПетербургПрямая Реклама</v>
          </cell>
        </row>
        <row r="10">
          <cell r="B10" t="str">
            <v>Спонсорство</v>
          </cell>
        </row>
        <row r="11">
          <cell r="B11" t="str">
            <v>Спонсорство</v>
          </cell>
          <cell r="C11" t="str">
            <v>КраснодарСпонсорство</v>
          </cell>
        </row>
        <row r="12">
          <cell r="B12" t="str">
            <v>Прямая Реклама</v>
          </cell>
          <cell r="C12" t="str">
            <v>ВоронежПрямая Реклама</v>
          </cell>
        </row>
        <row r="13">
          <cell r="C13" t="str">
            <v/>
          </cell>
        </row>
        <row r="14">
          <cell r="C14" t="str">
            <v/>
          </cell>
        </row>
        <row r="15">
          <cell r="C15" t="str">
            <v/>
          </cell>
        </row>
        <row r="16">
          <cell r="C16" t="str">
            <v/>
          </cell>
        </row>
        <row r="17">
          <cell r="C17" t="str">
            <v/>
          </cell>
        </row>
        <row r="18">
          <cell r="C18" t="str">
            <v/>
          </cell>
        </row>
        <row r="19">
          <cell r="C19" t="str">
            <v/>
          </cell>
        </row>
        <row r="20">
          <cell r="C20" t="str">
            <v/>
          </cell>
        </row>
        <row r="21">
          <cell r="C21" t="str">
            <v/>
          </cell>
        </row>
        <row r="22">
          <cell r="C22" t="str">
            <v/>
          </cell>
        </row>
        <row r="23">
          <cell r="C23" t="str">
            <v/>
          </cell>
        </row>
        <row r="24">
          <cell r="C24" t="str">
            <v/>
          </cell>
        </row>
        <row r="25">
          <cell r="C25" t="str">
            <v/>
          </cell>
        </row>
        <row r="26">
          <cell r="C26" t="str">
            <v/>
          </cell>
        </row>
        <row r="27">
          <cell r="C27" t="str">
            <v/>
          </cell>
        </row>
        <row r="28">
          <cell r="C28" t="str">
            <v/>
          </cell>
        </row>
        <row r="29">
          <cell r="C29" t="str">
            <v/>
          </cell>
        </row>
        <row r="30">
          <cell r="C30" t="str">
            <v/>
          </cell>
        </row>
        <row r="31">
          <cell r="C31" t="str">
            <v/>
          </cell>
        </row>
        <row r="32">
          <cell r="C32" t="str">
            <v/>
          </cell>
        </row>
        <row r="33">
          <cell r="C33" t="str">
            <v/>
          </cell>
        </row>
        <row r="34">
          <cell r="C34" t="str">
            <v/>
          </cell>
        </row>
        <row r="35">
          <cell r="C35" t="str">
            <v/>
          </cell>
        </row>
        <row r="36">
          <cell r="C36" t="str">
            <v/>
          </cell>
        </row>
        <row r="37">
          <cell r="C37" t="str">
            <v/>
          </cell>
        </row>
        <row r="38">
          <cell r="C38" t="str">
            <v/>
          </cell>
        </row>
        <row r="39">
          <cell r="C39" t="str">
            <v/>
          </cell>
        </row>
        <row r="40">
          <cell r="C40" t="str">
            <v/>
          </cell>
        </row>
        <row r="41">
          <cell r="C41" t="str">
            <v/>
          </cell>
        </row>
        <row r="42">
          <cell r="C42" t="str">
            <v/>
          </cell>
        </row>
        <row r="43">
          <cell r="C43" t="str">
            <v/>
          </cell>
        </row>
        <row r="44">
          <cell r="C44" t="str">
            <v/>
          </cell>
        </row>
        <row r="45">
          <cell r="C45" t="str">
            <v/>
          </cell>
        </row>
        <row r="46">
          <cell r="C46" t="str">
            <v/>
          </cell>
        </row>
        <row r="47">
          <cell r="C47" t="str">
            <v/>
          </cell>
        </row>
        <row r="48">
          <cell r="C48" t="str">
            <v/>
          </cell>
        </row>
        <row r="49">
          <cell r="C49" t="str">
            <v/>
          </cell>
        </row>
        <row r="50">
          <cell r="C50" t="str">
            <v/>
          </cell>
        </row>
        <row r="51">
          <cell r="C51" t="str">
            <v/>
          </cell>
        </row>
        <row r="52">
          <cell r="C52" t="str">
            <v/>
          </cell>
        </row>
        <row r="53">
          <cell r="C53" t="str">
            <v/>
          </cell>
        </row>
        <row r="54">
          <cell r="C54" t="str">
            <v/>
          </cell>
        </row>
        <row r="55">
          <cell r="C55" t="str">
            <v/>
          </cell>
        </row>
        <row r="56">
          <cell r="C56" t="str">
            <v/>
          </cell>
        </row>
        <row r="57">
          <cell r="C57" t="str">
            <v/>
          </cell>
        </row>
        <row r="58">
          <cell r="C58" t="str">
            <v/>
          </cell>
        </row>
        <row r="59">
          <cell r="C59" t="str">
            <v/>
          </cell>
        </row>
        <row r="60">
          <cell r="C60" t="str">
            <v/>
          </cell>
        </row>
        <row r="61">
          <cell r="C61" t="str">
            <v/>
          </cell>
        </row>
        <row r="62">
          <cell r="C62" t="str">
            <v/>
          </cell>
        </row>
        <row r="63">
          <cell r="C63" t="str">
            <v/>
          </cell>
        </row>
        <row r="64">
          <cell r="C64" t="str">
            <v/>
          </cell>
        </row>
        <row r="65">
          <cell r="C65" t="str">
            <v/>
          </cell>
        </row>
        <row r="66">
          <cell r="C66" t="str">
            <v/>
          </cell>
        </row>
        <row r="67">
          <cell r="C67" t="str">
            <v/>
          </cell>
        </row>
        <row r="68">
          <cell r="C68" t="str">
            <v/>
          </cell>
        </row>
        <row r="69">
          <cell r="C69" t="str">
            <v/>
          </cell>
        </row>
        <row r="70">
          <cell r="C70" t="str">
            <v/>
          </cell>
        </row>
        <row r="71">
          <cell r="C71" t="str">
            <v/>
          </cell>
        </row>
        <row r="72">
          <cell r="C72" t="str">
            <v/>
          </cell>
        </row>
        <row r="73">
          <cell r="C73" t="str">
            <v/>
          </cell>
        </row>
        <row r="74">
          <cell r="C74" t="str">
            <v/>
          </cell>
        </row>
        <row r="75">
          <cell r="C75" t="str">
            <v/>
          </cell>
        </row>
        <row r="76">
          <cell r="C76" t="str">
            <v/>
          </cell>
        </row>
        <row r="77">
          <cell r="C77" t="str">
            <v/>
          </cell>
        </row>
        <row r="78">
          <cell r="C78" t="str">
            <v/>
          </cell>
        </row>
        <row r="79">
          <cell r="C79" t="str">
            <v/>
          </cell>
        </row>
        <row r="80">
          <cell r="C80" t="str">
            <v/>
          </cell>
        </row>
        <row r="81">
          <cell r="C81" t="str">
            <v/>
          </cell>
        </row>
        <row r="82">
          <cell r="C82" t="str">
            <v/>
          </cell>
        </row>
        <row r="83">
          <cell r="C83" t="str">
            <v/>
          </cell>
        </row>
        <row r="84">
          <cell r="C84" t="str">
            <v/>
          </cell>
        </row>
        <row r="85">
          <cell r="C85" t="str">
            <v/>
          </cell>
        </row>
        <row r="86">
          <cell r="C86" t="str">
            <v/>
          </cell>
        </row>
        <row r="87">
          <cell r="C87" t="str">
            <v/>
          </cell>
        </row>
        <row r="88">
          <cell r="C88" t="str">
            <v/>
          </cell>
        </row>
        <row r="89">
          <cell r="C89" t="str">
            <v/>
          </cell>
        </row>
        <row r="90">
          <cell r="C90" t="str">
            <v/>
          </cell>
        </row>
        <row r="91">
          <cell r="C91" t="str">
            <v/>
          </cell>
        </row>
        <row r="92">
          <cell r="C92" t="str">
            <v/>
          </cell>
        </row>
        <row r="93">
          <cell r="C93" t="str">
            <v/>
          </cell>
        </row>
        <row r="94">
          <cell r="C94" t="str">
            <v/>
          </cell>
        </row>
        <row r="95">
          <cell r="C95" t="str">
            <v/>
          </cell>
        </row>
        <row r="96">
          <cell r="C96" t="str">
            <v/>
          </cell>
        </row>
        <row r="97">
          <cell r="C97" t="str">
            <v/>
          </cell>
        </row>
        <row r="98">
          <cell r="C98" t="str">
            <v/>
          </cell>
        </row>
        <row r="99">
          <cell r="C99" t="str">
            <v/>
          </cell>
        </row>
        <row r="100">
          <cell r="C100" t="str">
            <v/>
          </cell>
        </row>
        <row r="101">
          <cell r="C101" t="str">
            <v/>
          </cell>
        </row>
        <row r="102">
          <cell r="C102" t="str">
            <v/>
          </cell>
        </row>
        <row r="103">
          <cell r="C103" t="str">
            <v/>
          </cell>
        </row>
        <row r="104">
          <cell r="C104" t="str">
            <v/>
          </cell>
        </row>
        <row r="105">
          <cell r="C105" t="str">
            <v/>
          </cell>
        </row>
        <row r="106">
          <cell r="C106" t="str">
            <v/>
          </cell>
        </row>
        <row r="107">
          <cell r="C107" t="str">
            <v/>
          </cell>
        </row>
        <row r="108">
          <cell r="C108" t="str">
            <v/>
          </cell>
        </row>
        <row r="109">
          <cell r="C109" t="str">
            <v/>
          </cell>
        </row>
        <row r="110">
          <cell r="C110" t="str">
            <v/>
          </cell>
        </row>
        <row r="111">
          <cell r="C111" t="str">
            <v/>
          </cell>
        </row>
        <row r="112">
          <cell r="C112" t="str">
            <v/>
          </cell>
        </row>
        <row r="113">
          <cell r="C113" t="str">
            <v/>
          </cell>
        </row>
        <row r="114">
          <cell r="C114" t="str">
            <v/>
          </cell>
        </row>
        <row r="115">
          <cell r="C115" t="str">
            <v/>
          </cell>
        </row>
        <row r="116">
          <cell r="C116" t="str">
            <v/>
          </cell>
        </row>
        <row r="117">
          <cell r="C117" t="str">
            <v/>
          </cell>
        </row>
        <row r="118">
          <cell r="C118" t="str">
            <v/>
          </cell>
        </row>
        <row r="119">
          <cell r="C119" t="str">
            <v/>
          </cell>
        </row>
        <row r="120">
          <cell r="C120" t="str">
            <v/>
          </cell>
        </row>
        <row r="121">
          <cell r="C121" t="str">
            <v/>
          </cell>
        </row>
        <row r="122">
          <cell r="C122" t="str">
            <v/>
          </cell>
        </row>
        <row r="123">
          <cell r="C123" t="str">
            <v/>
          </cell>
        </row>
        <row r="124">
          <cell r="C124" t="str">
            <v/>
          </cell>
        </row>
        <row r="125">
          <cell r="C125" t="str">
            <v/>
          </cell>
        </row>
        <row r="126">
          <cell r="C126" t="str">
            <v/>
          </cell>
        </row>
        <row r="127">
          <cell r="C127" t="str">
            <v/>
          </cell>
        </row>
        <row r="128">
          <cell r="C128" t="str">
            <v/>
          </cell>
        </row>
        <row r="129">
          <cell r="C129" t="str">
            <v/>
          </cell>
        </row>
        <row r="130">
          <cell r="C130" t="str">
            <v/>
          </cell>
        </row>
        <row r="131">
          <cell r="C131" t="str">
            <v/>
          </cell>
        </row>
        <row r="132">
          <cell r="C132" t="str">
            <v/>
          </cell>
        </row>
        <row r="133">
          <cell r="C133" t="str">
            <v/>
          </cell>
        </row>
        <row r="134">
          <cell r="C134" t="str">
            <v/>
          </cell>
        </row>
        <row r="135">
          <cell r="C135" t="str">
            <v/>
          </cell>
        </row>
        <row r="136">
          <cell r="C136" t="str">
            <v/>
          </cell>
        </row>
        <row r="137">
          <cell r="C137" t="str">
            <v/>
          </cell>
        </row>
        <row r="138">
          <cell r="C138" t="str">
            <v/>
          </cell>
        </row>
        <row r="139">
          <cell r="C139" t="str">
            <v/>
          </cell>
        </row>
        <row r="140">
          <cell r="C140" t="str">
            <v/>
          </cell>
        </row>
        <row r="141">
          <cell r="C141" t="str">
            <v/>
          </cell>
        </row>
        <row r="142">
          <cell r="C142" t="str">
            <v/>
          </cell>
        </row>
        <row r="143">
          <cell r="C143" t="str">
            <v/>
          </cell>
        </row>
        <row r="144">
          <cell r="C144" t="str">
            <v/>
          </cell>
        </row>
        <row r="145">
          <cell r="C145" t="str">
            <v/>
          </cell>
        </row>
        <row r="146">
          <cell r="C146" t="str">
            <v/>
          </cell>
        </row>
        <row r="147">
          <cell r="C147" t="str">
            <v/>
          </cell>
        </row>
        <row r="148">
          <cell r="C148" t="str">
            <v/>
          </cell>
        </row>
        <row r="149">
          <cell r="C149" t="str">
            <v/>
          </cell>
        </row>
        <row r="150">
          <cell r="C150" t="str">
            <v/>
          </cell>
        </row>
        <row r="151">
          <cell r="C151" t="str">
            <v/>
          </cell>
        </row>
        <row r="152">
          <cell r="C152" t="str">
            <v/>
          </cell>
        </row>
        <row r="153">
          <cell r="C153" t="str">
            <v/>
          </cell>
        </row>
        <row r="154">
          <cell r="C154" t="str">
            <v/>
          </cell>
        </row>
        <row r="155">
          <cell r="C155" t="str">
            <v/>
          </cell>
        </row>
        <row r="156">
          <cell r="C156" t="str">
            <v/>
          </cell>
        </row>
        <row r="157">
          <cell r="C157" t="str">
            <v/>
          </cell>
        </row>
        <row r="158">
          <cell r="C158" t="str">
            <v/>
          </cell>
        </row>
        <row r="159">
          <cell r="C159" t="str">
            <v/>
          </cell>
        </row>
        <row r="160">
          <cell r="C160" t="str">
            <v/>
          </cell>
        </row>
        <row r="161">
          <cell r="C161" t="str">
            <v/>
          </cell>
        </row>
        <row r="162">
          <cell r="C162" t="str">
            <v/>
          </cell>
        </row>
        <row r="163">
          <cell r="C163" t="str">
            <v/>
          </cell>
        </row>
        <row r="164">
          <cell r="C164" t="str">
            <v/>
          </cell>
        </row>
        <row r="165">
          <cell r="C165" t="str">
            <v/>
          </cell>
        </row>
        <row r="166">
          <cell r="C166" t="str">
            <v/>
          </cell>
        </row>
        <row r="167">
          <cell r="C167" t="str">
            <v/>
          </cell>
        </row>
        <row r="168">
          <cell r="C168" t="str">
            <v/>
          </cell>
        </row>
        <row r="169">
          <cell r="C169" t="str">
            <v/>
          </cell>
        </row>
        <row r="170">
          <cell r="C170" t="str">
            <v/>
          </cell>
        </row>
        <row r="171">
          <cell r="C171" t="str">
            <v/>
          </cell>
        </row>
        <row r="172">
          <cell r="C172" t="str">
            <v/>
          </cell>
        </row>
        <row r="173">
          <cell r="C173" t="str">
            <v/>
          </cell>
        </row>
        <row r="174">
          <cell r="C174" t="str">
            <v/>
          </cell>
        </row>
        <row r="175">
          <cell r="C175" t="str">
            <v/>
          </cell>
        </row>
        <row r="176">
          <cell r="C176" t="str">
            <v/>
          </cell>
        </row>
        <row r="177">
          <cell r="C177" t="str">
            <v/>
          </cell>
        </row>
        <row r="178">
          <cell r="C178" t="str">
            <v/>
          </cell>
        </row>
        <row r="179">
          <cell r="C179" t="str">
            <v/>
          </cell>
        </row>
        <row r="180">
          <cell r="C180" t="str">
            <v/>
          </cell>
        </row>
        <row r="181">
          <cell r="C181" t="str">
            <v/>
          </cell>
        </row>
        <row r="182">
          <cell r="C182" t="str">
            <v/>
          </cell>
        </row>
        <row r="183">
          <cell r="C183" t="str">
            <v/>
          </cell>
        </row>
        <row r="184">
          <cell r="C184" t="str">
            <v/>
          </cell>
        </row>
        <row r="185">
          <cell r="C185" t="str">
            <v/>
          </cell>
        </row>
        <row r="186">
          <cell r="C186" t="str">
            <v/>
          </cell>
        </row>
        <row r="187">
          <cell r="C187" t="str">
            <v/>
          </cell>
        </row>
        <row r="188">
          <cell r="C188" t="str">
            <v/>
          </cell>
        </row>
        <row r="189">
          <cell r="C189" t="str">
            <v/>
          </cell>
        </row>
        <row r="190">
          <cell r="C190" t="str">
            <v/>
          </cell>
        </row>
        <row r="191">
          <cell r="C191" t="str">
            <v/>
          </cell>
        </row>
        <row r="192">
          <cell r="C192" t="str">
            <v/>
          </cell>
        </row>
        <row r="193">
          <cell r="C193" t="str">
            <v/>
          </cell>
        </row>
        <row r="194">
          <cell r="C194" t="str">
            <v/>
          </cell>
        </row>
        <row r="195">
          <cell r="C195" t="str">
            <v/>
          </cell>
        </row>
        <row r="196">
          <cell r="C196" t="str">
            <v/>
          </cell>
        </row>
        <row r="197">
          <cell r="C197" t="str">
            <v/>
          </cell>
        </row>
        <row r="198">
          <cell r="C198" t="str">
            <v/>
          </cell>
        </row>
        <row r="199">
          <cell r="C199" t="str">
            <v/>
          </cell>
        </row>
        <row r="200">
          <cell r="C200" t="str">
            <v/>
          </cell>
        </row>
        <row r="201">
          <cell r="C201" t="str">
            <v/>
          </cell>
        </row>
        <row r="202">
          <cell r="C202" t="str">
            <v/>
          </cell>
        </row>
        <row r="203">
          <cell r="C203" t="str">
            <v/>
          </cell>
        </row>
        <row r="204">
          <cell r="C204" t="str">
            <v/>
          </cell>
        </row>
        <row r="205">
          <cell r="C205" t="str">
            <v/>
          </cell>
        </row>
        <row r="206">
          <cell r="C206" t="str">
            <v/>
          </cell>
        </row>
        <row r="207">
          <cell r="C207" t="str">
            <v/>
          </cell>
        </row>
        <row r="208">
          <cell r="C208" t="str">
            <v/>
          </cell>
        </row>
        <row r="209">
          <cell r="C209" t="str">
            <v/>
          </cell>
        </row>
        <row r="210">
          <cell r="C210" t="str">
            <v/>
          </cell>
        </row>
        <row r="211">
          <cell r="C211" t="str">
            <v/>
          </cell>
        </row>
        <row r="212">
          <cell r="C212" t="str">
            <v/>
          </cell>
        </row>
        <row r="213">
          <cell r="C213" t="str">
            <v/>
          </cell>
        </row>
        <row r="214">
          <cell r="C214" t="str">
            <v/>
          </cell>
        </row>
        <row r="215">
          <cell r="C215" t="str">
            <v/>
          </cell>
        </row>
        <row r="216">
          <cell r="C216" t="str">
            <v/>
          </cell>
        </row>
        <row r="217">
          <cell r="C217" t="str">
            <v/>
          </cell>
        </row>
        <row r="218">
          <cell r="C218" t="str">
            <v/>
          </cell>
        </row>
        <row r="219">
          <cell r="C219" t="str">
            <v/>
          </cell>
        </row>
        <row r="220">
          <cell r="C220" t="str">
            <v/>
          </cell>
        </row>
        <row r="221">
          <cell r="C221" t="str">
            <v/>
          </cell>
        </row>
        <row r="222">
          <cell r="C222" t="str">
            <v/>
          </cell>
        </row>
        <row r="223">
          <cell r="C223" t="str">
            <v/>
          </cell>
        </row>
        <row r="224">
          <cell r="C224" t="str">
            <v/>
          </cell>
        </row>
        <row r="225">
          <cell r="C225" t="str">
            <v/>
          </cell>
        </row>
        <row r="226">
          <cell r="C226" t="str">
            <v/>
          </cell>
        </row>
        <row r="227">
          <cell r="C227" t="str">
            <v/>
          </cell>
        </row>
        <row r="228">
          <cell r="C228" t="str">
            <v/>
          </cell>
        </row>
        <row r="229">
          <cell r="C229" t="str">
            <v/>
          </cell>
        </row>
        <row r="230">
          <cell r="C230" t="str">
            <v/>
          </cell>
        </row>
        <row r="231">
          <cell r="C231" t="str">
            <v/>
          </cell>
        </row>
        <row r="232">
          <cell r="C232" t="str">
            <v/>
          </cell>
        </row>
        <row r="233">
          <cell r="C233" t="str">
            <v/>
          </cell>
        </row>
        <row r="234">
          <cell r="C234" t="str">
            <v/>
          </cell>
        </row>
        <row r="235">
          <cell r="C235" t="str">
            <v/>
          </cell>
        </row>
        <row r="236">
          <cell r="C236" t="str">
            <v/>
          </cell>
        </row>
        <row r="237">
          <cell r="C237" t="str">
            <v/>
          </cell>
        </row>
        <row r="238">
          <cell r="C238" t="str">
            <v/>
          </cell>
        </row>
        <row r="239">
          <cell r="C239" t="str">
            <v/>
          </cell>
        </row>
        <row r="240">
          <cell r="C240" t="str">
            <v/>
          </cell>
        </row>
        <row r="241">
          <cell r="C241" t="str">
            <v/>
          </cell>
        </row>
        <row r="242">
          <cell r="C242" t="str">
            <v/>
          </cell>
        </row>
        <row r="243">
          <cell r="C243" t="str">
            <v/>
          </cell>
        </row>
        <row r="244">
          <cell r="C244" t="str">
            <v/>
          </cell>
        </row>
        <row r="245">
          <cell r="C245" t="str">
            <v/>
          </cell>
        </row>
        <row r="246">
          <cell r="C246" t="str">
            <v/>
          </cell>
        </row>
        <row r="247">
          <cell r="C247" t="str">
            <v/>
          </cell>
        </row>
        <row r="248">
          <cell r="C248" t="str">
            <v/>
          </cell>
        </row>
        <row r="249">
          <cell r="C249" t="str">
            <v/>
          </cell>
        </row>
        <row r="250">
          <cell r="C250" t="str">
            <v/>
          </cell>
        </row>
        <row r="251">
          <cell r="C251" t="str">
            <v/>
          </cell>
        </row>
        <row r="252">
          <cell r="C252" t="str">
            <v/>
          </cell>
        </row>
        <row r="253">
          <cell r="C253" t="str">
            <v/>
          </cell>
        </row>
        <row r="254">
          <cell r="C254" t="str">
            <v/>
          </cell>
        </row>
        <row r="255">
          <cell r="C255" t="str">
            <v/>
          </cell>
        </row>
        <row r="256">
          <cell r="C256" t="str">
            <v/>
          </cell>
        </row>
        <row r="257">
          <cell r="C257" t="str">
            <v/>
          </cell>
        </row>
        <row r="258">
          <cell r="C258" t="str">
            <v/>
          </cell>
        </row>
        <row r="259">
          <cell r="C259" t="str">
            <v/>
          </cell>
        </row>
        <row r="260">
          <cell r="C260" t="str">
            <v/>
          </cell>
        </row>
        <row r="261">
          <cell r="C261" t="str">
            <v/>
          </cell>
        </row>
        <row r="262">
          <cell r="C262" t="str">
            <v/>
          </cell>
        </row>
        <row r="263">
          <cell r="C263" t="str">
            <v/>
          </cell>
        </row>
        <row r="264">
          <cell r="C264" t="str">
            <v/>
          </cell>
        </row>
        <row r="265">
          <cell r="C265" t="str">
            <v/>
          </cell>
        </row>
        <row r="266">
          <cell r="C266" t="str">
            <v/>
          </cell>
        </row>
        <row r="267">
          <cell r="C267" t="str">
            <v/>
          </cell>
        </row>
        <row r="268">
          <cell r="C268" t="str">
            <v/>
          </cell>
        </row>
        <row r="269">
          <cell r="C269" t="str">
            <v/>
          </cell>
        </row>
        <row r="270">
          <cell r="C270" t="str">
            <v/>
          </cell>
        </row>
        <row r="271">
          <cell r="C271" t="str">
            <v/>
          </cell>
        </row>
        <row r="272">
          <cell r="C272" t="str">
            <v/>
          </cell>
        </row>
        <row r="273">
          <cell r="C273" t="str">
            <v/>
          </cell>
        </row>
        <row r="274">
          <cell r="C274" t="str">
            <v/>
          </cell>
        </row>
        <row r="275">
          <cell r="C275" t="str">
            <v/>
          </cell>
        </row>
        <row r="276">
          <cell r="C276" t="str">
            <v/>
          </cell>
        </row>
        <row r="277">
          <cell r="C277" t="str">
            <v/>
          </cell>
        </row>
        <row r="278">
          <cell r="C278" t="str">
            <v/>
          </cell>
        </row>
        <row r="279">
          <cell r="C279" t="str">
            <v/>
          </cell>
        </row>
        <row r="280">
          <cell r="C280" t="str">
            <v/>
          </cell>
        </row>
        <row r="281">
          <cell r="C281" t="str">
            <v/>
          </cell>
        </row>
        <row r="282">
          <cell r="C282" t="str">
            <v/>
          </cell>
        </row>
        <row r="283">
          <cell r="C283" t="str">
            <v/>
          </cell>
        </row>
        <row r="284">
          <cell r="C284" t="str">
            <v/>
          </cell>
        </row>
        <row r="285">
          <cell r="C285" t="str">
            <v/>
          </cell>
        </row>
        <row r="286">
          <cell r="C286" t="str">
            <v/>
          </cell>
        </row>
        <row r="287">
          <cell r="C287" t="str">
            <v/>
          </cell>
        </row>
        <row r="288">
          <cell r="C288" t="str">
            <v/>
          </cell>
        </row>
        <row r="289">
          <cell r="C289" t="str">
            <v/>
          </cell>
        </row>
        <row r="290">
          <cell r="C290" t="str">
            <v/>
          </cell>
        </row>
        <row r="291">
          <cell r="C291" t="str">
            <v/>
          </cell>
        </row>
        <row r="292">
          <cell r="C292" t="str">
            <v/>
          </cell>
        </row>
        <row r="293">
          <cell r="C293" t="str">
            <v/>
          </cell>
        </row>
        <row r="294">
          <cell r="C294" t="str">
            <v/>
          </cell>
        </row>
        <row r="295">
          <cell r="C295" t="str">
            <v/>
          </cell>
        </row>
        <row r="296">
          <cell r="C296" t="str">
            <v/>
          </cell>
        </row>
        <row r="297">
          <cell r="C297" t="str">
            <v/>
          </cell>
        </row>
        <row r="298">
          <cell r="C298" t="str">
            <v/>
          </cell>
        </row>
        <row r="299">
          <cell r="C299" t="str">
            <v/>
          </cell>
        </row>
        <row r="300">
          <cell r="C300" t="str">
            <v/>
          </cell>
        </row>
        <row r="301">
          <cell r="C301" t="str">
            <v/>
          </cell>
        </row>
        <row r="302">
          <cell r="C302" t="str">
            <v/>
          </cell>
        </row>
        <row r="303">
          <cell r="C303" t="str">
            <v/>
          </cell>
        </row>
        <row r="304">
          <cell r="C304" t="str">
            <v/>
          </cell>
        </row>
        <row r="305">
          <cell r="C305" t="str">
            <v/>
          </cell>
        </row>
        <row r="306">
          <cell r="C306" t="str">
            <v/>
          </cell>
        </row>
        <row r="307">
          <cell r="C307" t="str">
            <v/>
          </cell>
        </row>
        <row r="308">
          <cell r="C308" t="str">
            <v/>
          </cell>
        </row>
        <row r="309">
          <cell r="C309" t="str">
            <v/>
          </cell>
        </row>
        <row r="310">
          <cell r="C310" t="str">
            <v/>
          </cell>
        </row>
        <row r="311">
          <cell r="C311" t="str">
            <v/>
          </cell>
        </row>
        <row r="312">
          <cell r="C312" t="str">
            <v/>
          </cell>
        </row>
        <row r="313">
          <cell r="C313" t="str">
            <v/>
          </cell>
        </row>
        <row r="314">
          <cell r="C314" t="str">
            <v/>
          </cell>
        </row>
        <row r="315">
          <cell r="C315" t="str">
            <v/>
          </cell>
        </row>
        <row r="316">
          <cell r="C316" t="str">
            <v/>
          </cell>
        </row>
        <row r="317">
          <cell r="C317" t="str">
            <v/>
          </cell>
        </row>
        <row r="318">
          <cell r="C318" t="str">
            <v/>
          </cell>
        </row>
        <row r="319">
          <cell r="C319" t="str">
            <v/>
          </cell>
        </row>
        <row r="320">
          <cell r="C320" t="str">
            <v/>
          </cell>
        </row>
        <row r="321">
          <cell r="C321" t="str">
            <v/>
          </cell>
        </row>
        <row r="322">
          <cell r="C322" t="str">
            <v/>
          </cell>
        </row>
        <row r="323">
          <cell r="C323" t="str">
            <v/>
          </cell>
        </row>
        <row r="324">
          <cell r="C324" t="str">
            <v/>
          </cell>
        </row>
        <row r="325">
          <cell r="C325" t="str">
            <v/>
          </cell>
        </row>
        <row r="326">
          <cell r="C326" t="str">
            <v/>
          </cell>
        </row>
        <row r="327">
          <cell r="C327" t="str">
            <v/>
          </cell>
        </row>
        <row r="328">
          <cell r="C328" t="str">
            <v/>
          </cell>
        </row>
        <row r="329">
          <cell r="C329" t="str">
            <v/>
          </cell>
        </row>
        <row r="330">
          <cell r="C330" t="str">
            <v/>
          </cell>
        </row>
        <row r="331">
          <cell r="C331" t="str">
            <v/>
          </cell>
        </row>
        <row r="332">
          <cell r="C332" t="str">
            <v/>
          </cell>
        </row>
        <row r="333">
          <cell r="C333" t="str">
            <v/>
          </cell>
        </row>
        <row r="334">
          <cell r="C334" t="str">
            <v/>
          </cell>
        </row>
        <row r="335">
          <cell r="C335" t="str">
            <v/>
          </cell>
        </row>
        <row r="336">
          <cell r="C336" t="str">
            <v/>
          </cell>
        </row>
        <row r="337">
          <cell r="C337" t="str">
            <v/>
          </cell>
        </row>
        <row r="338">
          <cell r="C338" t="str">
            <v/>
          </cell>
        </row>
        <row r="339">
          <cell r="C339" t="str">
            <v/>
          </cell>
        </row>
        <row r="340">
          <cell r="C340" t="str">
            <v/>
          </cell>
        </row>
        <row r="341">
          <cell r="C341" t="str">
            <v/>
          </cell>
        </row>
        <row r="342">
          <cell r="C342" t="str">
            <v/>
          </cell>
        </row>
        <row r="343">
          <cell r="C343" t="str">
            <v/>
          </cell>
        </row>
        <row r="344">
          <cell r="C344" t="str">
            <v/>
          </cell>
        </row>
        <row r="345">
          <cell r="C345" t="str">
            <v/>
          </cell>
        </row>
        <row r="346">
          <cell r="C346" t="str">
            <v/>
          </cell>
        </row>
        <row r="347">
          <cell r="C347" t="str">
            <v/>
          </cell>
        </row>
        <row r="348">
          <cell r="C348" t="str">
            <v/>
          </cell>
        </row>
        <row r="349">
          <cell r="C349" t="str">
            <v/>
          </cell>
        </row>
        <row r="350">
          <cell r="C350" t="str">
            <v/>
          </cell>
        </row>
        <row r="351">
          <cell r="C351" t="str">
            <v/>
          </cell>
        </row>
        <row r="352">
          <cell r="C352" t="str">
            <v/>
          </cell>
        </row>
        <row r="353">
          <cell r="C353" t="str">
            <v/>
          </cell>
        </row>
        <row r="354">
          <cell r="C354" t="str">
            <v/>
          </cell>
        </row>
        <row r="355">
          <cell r="C355" t="str">
            <v/>
          </cell>
        </row>
        <row r="356">
          <cell r="C356" t="str">
            <v/>
          </cell>
        </row>
        <row r="357">
          <cell r="C357" t="str">
            <v/>
          </cell>
        </row>
        <row r="358">
          <cell r="C358" t="str">
            <v/>
          </cell>
        </row>
        <row r="359">
          <cell r="C359" t="str">
            <v/>
          </cell>
        </row>
        <row r="360">
          <cell r="C360" t="str">
            <v/>
          </cell>
        </row>
        <row r="361">
          <cell r="C361" t="str">
            <v/>
          </cell>
        </row>
        <row r="362">
          <cell r="C362" t="str">
            <v/>
          </cell>
        </row>
        <row r="363">
          <cell r="C363" t="str">
            <v/>
          </cell>
        </row>
        <row r="364">
          <cell r="C364" t="str">
            <v/>
          </cell>
        </row>
        <row r="365">
          <cell r="C365" t="str">
            <v/>
          </cell>
        </row>
        <row r="366">
          <cell r="C366" t="str">
            <v/>
          </cell>
        </row>
        <row r="367">
          <cell r="C367" t="str">
            <v/>
          </cell>
        </row>
        <row r="368">
          <cell r="C368" t="str">
            <v/>
          </cell>
        </row>
        <row r="369">
          <cell r="C369" t="str">
            <v/>
          </cell>
        </row>
        <row r="370">
          <cell r="C370" t="str">
            <v/>
          </cell>
        </row>
        <row r="371">
          <cell r="C371" t="str">
            <v/>
          </cell>
        </row>
        <row r="372">
          <cell r="C372" t="str">
            <v/>
          </cell>
        </row>
        <row r="373">
          <cell r="C373" t="str">
            <v/>
          </cell>
        </row>
        <row r="374">
          <cell r="C374" t="str">
            <v/>
          </cell>
        </row>
        <row r="375">
          <cell r="C375" t="str">
            <v/>
          </cell>
        </row>
        <row r="376">
          <cell r="C376" t="str">
            <v/>
          </cell>
        </row>
        <row r="377">
          <cell r="C377" t="str">
            <v/>
          </cell>
        </row>
        <row r="378">
          <cell r="C378" t="str">
            <v/>
          </cell>
        </row>
        <row r="379">
          <cell r="C379" t="str">
            <v/>
          </cell>
        </row>
        <row r="380">
          <cell r="C380" t="str">
            <v/>
          </cell>
        </row>
        <row r="381">
          <cell r="C381" t="str">
            <v/>
          </cell>
        </row>
        <row r="382">
          <cell r="C382" t="str">
            <v/>
          </cell>
        </row>
        <row r="383">
          <cell r="C383" t="str">
            <v/>
          </cell>
        </row>
        <row r="384">
          <cell r="C384" t="str">
            <v/>
          </cell>
        </row>
        <row r="385">
          <cell r="C385" t="str">
            <v/>
          </cell>
        </row>
        <row r="386">
          <cell r="C386" t="str">
            <v/>
          </cell>
        </row>
        <row r="387">
          <cell r="C387" t="str">
            <v/>
          </cell>
        </row>
        <row r="388">
          <cell r="C388" t="str">
            <v/>
          </cell>
        </row>
        <row r="389">
          <cell r="C389" t="str">
            <v/>
          </cell>
        </row>
        <row r="390">
          <cell r="C390" t="str">
            <v/>
          </cell>
        </row>
        <row r="391">
          <cell r="C391" t="str">
            <v/>
          </cell>
        </row>
        <row r="392">
          <cell r="C392" t="str">
            <v/>
          </cell>
        </row>
        <row r="393">
          <cell r="C393" t="str">
            <v/>
          </cell>
        </row>
        <row r="394">
          <cell r="C394" t="str">
            <v/>
          </cell>
        </row>
        <row r="395">
          <cell r="C395" t="str">
            <v/>
          </cell>
        </row>
        <row r="396">
          <cell r="C396" t="str">
            <v/>
          </cell>
        </row>
        <row r="397">
          <cell r="C397" t="str">
            <v/>
          </cell>
        </row>
        <row r="398">
          <cell r="C398" t="str">
            <v/>
          </cell>
        </row>
        <row r="399">
          <cell r="C399" t="str">
            <v/>
          </cell>
        </row>
        <row r="400">
          <cell r="C400" t="str">
            <v/>
          </cell>
        </row>
        <row r="401">
          <cell r="C401" t="str">
            <v/>
          </cell>
        </row>
        <row r="402">
          <cell r="C402" t="str">
            <v/>
          </cell>
        </row>
        <row r="403">
          <cell r="C403" t="str">
            <v/>
          </cell>
        </row>
        <row r="404">
          <cell r="C404" t="str">
            <v/>
          </cell>
        </row>
        <row r="405">
          <cell r="C405" t="str">
            <v/>
          </cell>
        </row>
        <row r="406">
          <cell r="C406" t="str">
            <v/>
          </cell>
        </row>
        <row r="407">
          <cell r="C407" t="str">
            <v/>
          </cell>
        </row>
        <row r="408">
          <cell r="C408" t="str">
            <v/>
          </cell>
        </row>
        <row r="409">
          <cell r="C409" t="str">
            <v/>
          </cell>
        </row>
        <row r="410">
          <cell r="C410" t="str">
            <v/>
          </cell>
        </row>
        <row r="411">
          <cell r="C411" t="str">
            <v/>
          </cell>
        </row>
        <row r="412">
          <cell r="C412" t="str">
            <v/>
          </cell>
        </row>
        <row r="413">
          <cell r="C413" t="str">
            <v/>
          </cell>
        </row>
        <row r="414">
          <cell r="C414" t="str">
            <v/>
          </cell>
        </row>
        <row r="415">
          <cell r="C415" t="str">
            <v/>
          </cell>
        </row>
        <row r="416">
          <cell r="C416" t="str">
            <v/>
          </cell>
        </row>
        <row r="417">
          <cell r="C417" t="str">
            <v/>
          </cell>
        </row>
        <row r="418">
          <cell r="C418" t="str">
            <v/>
          </cell>
        </row>
        <row r="419">
          <cell r="C419" t="str">
            <v/>
          </cell>
        </row>
        <row r="420">
          <cell r="C420" t="str">
            <v/>
          </cell>
        </row>
        <row r="421">
          <cell r="C421" t="str">
            <v/>
          </cell>
        </row>
        <row r="422">
          <cell r="C422" t="str">
            <v/>
          </cell>
        </row>
        <row r="423">
          <cell r="C423" t="str">
            <v/>
          </cell>
        </row>
        <row r="424">
          <cell r="C424" t="str">
            <v/>
          </cell>
        </row>
        <row r="425">
          <cell r="C425" t="str">
            <v/>
          </cell>
        </row>
        <row r="426">
          <cell r="C426" t="str">
            <v/>
          </cell>
        </row>
        <row r="427">
          <cell r="C427" t="str">
            <v/>
          </cell>
        </row>
        <row r="428">
          <cell r="C428" t="str">
            <v/>
          </cell>
        </row>
        <row r="429">
          <cell r="C429" t="str">
            <v/>
          </cell>
        </row>
        <row r="430">
          <cell r="C430" t="str">
            <v/>
          </cell>
        </row>
        <row r="431">
          <cell r="C431" t="str">
            <v/>
          </cell>
        </row>
        <row r="432">
          <cell r="C432" t="str">
            <v/>
          </cell>
        </row>
        <row r="433">
          <cell r="C433" t="str">
            <v/>
          </cell>
        </row>
        <row r="434">
          <cell r="C434" t="str">
            <v/>
          </cell>
        </row>
        <row r="435">
          <cell r="C435" t="str">
            <v/>
          </cell>
        </row>
        <row r="436">
          <cell r="C436" t="str">
            <v/>
          </cell>
        </row>
        <row r="437">
          <cell r="C437" t="str">
            <v/>
          </cell>
        </row>
        <row r="438">
          <cell r="C438" t="str">
            <v/>
          </cell>
        </row>
        <row r="439">
          <cell r="C439" t="str">
            <v/>
          </cell>
        </row>
        <row r="440">
          <cell r="C440" t="str">
            <v/>
          </cell>
        </row>
        <row r="441">
          <cell r="C441" t="str">
            <v/>
          </cell>
        </row>
        <row r="442">
          <cell r="C442" t="str">
            <v/>
          </cell>
        </row>
        <row r="443">
          <cell r="C443" t="str">
            <v/>
          </cell>
        </row>
        <row r="444">
          <cell r="C444" t="str">
            <v/>
          </cell>
        </row>
        <row r="445">
          <cell r="C445" t="str">
            <v/>
          </cell>
        </row>
        <row r="446">
          <cell r="C446" t="str">
            <v/>
          </cell>
        </row>
        <row r="447">
          <cell r="C447" t="str">
            <v/>
          </cell>
        </row>
        <row r="448">
          <cell r="C448" t="str">
            <v/>
          </cell>
        </row>
        <row r="449">
          <cell r="C449" t="str">
            <v/>
          </cell>
        </row>
        <row r="450">
          <cell r="C450" t="str">
            <v/>
          </cell>
        </row>
        <row r="451">
          <cell r="C451" t="str">
            <v/>
          </cell>
        </row>
        <row r="452">
          <cell r="C452" t="str">
            <v/>
          </cell>
        </row>
        <row r="453">
          <cell r="C453" t="str">
            <v/>
          </cell>
        </row>
        <row r="454">
          <cell r="C454" t="str">
            <v/>
          </cell>
        </row>
        <row r="455">
          <cell r="C455" t="str">
            <v/>
          </cell>
        </row>
        <row r="456">
          <cell r="C456" t="str">
            <v/>
          </cell>
        </row>
        <row r="457">
          <cell r="C457" t="str">
            <v/>
          </cell>
        </row>
        <row r="458">
          <cell r="C458" t="str">
            <v/>
          </cell>
        </row>
        <row r="459">
          <cell r="C459" t="str">
            <v/>
          </cell>
        </row>
        <row r="460">
          <cell r="C460" t="str">
            <v/>
          </cell>
        </row>
        <row r="461">
          <cell r="C461" t="str">
            <v/>
          </cell>
        </row>
        <row r="462">
          <cell r="C462" t="str">
            <v/>
          </cell>
        </row>
        <row r="463">
          <cell r="C463" t="str">
            <v/>
          </cell>
        </row>
        <row r="464">
          <cell r="C464" t="str">
            <v/>
          </cell>
        </row>
        <row r="465">
          <cell r="C465" t="str">
            <v/>
          </cell>
        </row>
        <row r="466">
          <cell r="C466" t="str">
            <v/>
          </cell>
        </row>
        <row r="467">
          <cell r="C467" t="str">
            <v/>
          </cell>
        </row>
        <row r="468">
          <cell r="C468" t="str">
            <v/>
          </cell>
        </row>
        <row r="469">
          <cell r="C469" t="str">
            <v/>
          </cell>
        </row>
        <row r="470">
          <cell r="C470" t="str">
            <v/>
          </cell>
        </row>
        <row r="471">
          <cell r="C471" t="str">
            <v/>
          </cell>
        </row>
        <row r="472">
          <cell r="C472" t="str">
            <v/>
          </cell>
        </row>
        <row r="473">
          <cell r="C473" t="str">
            <v/>
          </cell>
        </row>
        <row r="474">
          <cell r="C474" t="str">
            <v/>
          </cell>
        </row>
        <row r="475">
          <cell r="C475" t="str">
            <v/>
          </cell>
        </row>
        <row r="476">
          <cell r="C476" t="str">
            <v/>
          </cell>
        </row>
        <row r="477">
          <cell r="C477" t="str">
            <v/>
          </cell>
        </row>
        <row r="478">
          <cell r="C478" t="str">
            <v/>
          </cell>
        </row>
        <row r="479">
          <cell r="C479" t="str">
            <v/>
          </cell>
        </row>
        <row r="480">
          <cell r="C480" t="str">
            <v/>
          </cell>
        </row>
        <row r="481">
          <cell r="C481" t="str">
            <v/>
          </cell>
        </row>
        <row r="482">
          <cell r="C482" t="str">
            <v/>
          </cell>
        </row>
        <row r="483">
          <cell r="C483" t="str">
            <v/>
          </cell>
        </row>
        <row r="484">
          <cell r="C484" t="str">
            <v/>
          </cell>
        </row>
        <row r="485">
          <cell r="C485" t="str">
            <v/>
          </cell>
        </row>
        <row r="486">
          <cell r="C486" t="str">
            <v/>
          </cell>
        </row>
        <row r="487">
          <cell r="C487" t="str">
            <v/>
          </cell>
        </row>
        <row r="488">
          <cell r="C488" t="str">
            <v/>
          </cell>
        </row>
        <row r="489">
          <cell r="C489" t="str">
            <v/>
          </cell>
        </row>
        <row r="490">
          <cell r="C490" t="str">
            <v/>
          </cell>
        </row>
        <row r="491">
          <cell r="C491" t="str">
            <v/>
          </cell>
        </row>
        <row r="492">
          <cell r="C492" t="str">
            <v/>
          </cell>
        </row>
        <row r="493">
          <cell r="C493" t="str">
            <v/>
          </cell>
        </row>
        <row r="494">
          <cell r="C494" t="str">
            <v/>
          </cell>
        </row>
        <row r="495">
          <cell r="C495" t="str">
            <v/>
          </cell>
        </row>
        <row r="496">
          <cell r="C496" t="str">
            <v/>
          </cell>
        </row>
        <row r="497">
          <cell r="C497" t="str">
            <v/>
          </cell>
        </row>
        <row r="498">
          <cell r="C498" t="str">
            <v/>
          </cell>
        </row>
        <row r="499">
          <cell r="C499" t="str">
            <v/>
          </cell>
        </row>
        <row r="500">
          <cell r="C500" t="str">
            <v/>
          </cell>
        </row>
        <row r="501">
          <cell r="C501" t="str">
            <v/>
          </cell>
        </row>
        <row r="502">
          <cell r="C502" t="str">
            <v/>
          </cell>
        </row>
        <row r="503">
          <cell r="C503" t="str">
            <v/>
          </cell>
        </row>
        <row r="504">
          <cell r="C504" t="str">
            <v/>
          </cell>
        </row>
        <row r="505">
          <cell r="C505" t="str">
            <v/>
          </cell>
        </row>
        <row r="506">
          <cell r="C506" t="str">
            <v/>
          </cell>
        </row>
        <row r="507">
          <cell r="C507" t="str">
            <v/>
          </cell>
        </row>
        <row r="508">
          <cell r="C508" t="str">
            <v/>
          </cell>
        </row>
        <row r="509">
          <cell r="C509" t="str">
            <v/>
          </cell>
        </row>
        <row r="510">
          <cell r="C510" t="str">
            <v/>
          </cell>
        </row>
        <row r="511">
          <cell r="C511" t="str">
            <v/>
          </cell>
        </row>
        <row r="512">
          <cell r="C512" t="str">
            <v/>
          </cell>
        </row>
        <row r="513">
          <cell r="C513" t="str">
            <v/>
          </cell>
        </row>
        <row r="514">
          <cell r="C514" t="str">
            <v/>
          </cell>
        </row>
        <row r="515">
          <cell r="C515" t="str">
            <v/>
          </cell>
        </row>
        <row r="516">
          <cell r="C516" t="str">
            <v/>
          </cell>
        </row>
        <row r="517">
          <cell r="C517" t="str">
            <v/>
          </cell>
        </row>
        <row r="518">
          <cell r="C518" t="str">
            <v/>
          </cell>
        </row>
        <row r="519">
          <cell r="C519" t="str">
            <v/>
          </cell>
        </row>
        <row r="520">
          <cell r="C520" t="str">
            <v/>
          </cell>
        </row>
        <row r="521">
          <cell r="C521" t="str">
            <v/>
          </cell>
        </row>
        <row r="522">
          <cell r="C522" t="str">
            <v/>
          </cell>
        </row>
        <row r="523">
          <cell r="C523" t="str">
            <v/>
          </cell>
        </row>
        <row r="524">
          <cell r="C524" t="str">
            <v/>
          </cell>
        </row>
        <row r="525">
          <cell r="C525" t="str">
            <v/>
          </cell>
        </row>
        <row r="526">
          <cell r="C526" t="str">
            <v/>
          </cell>
        </row>
        <row r="527">
          <cell r="C527" t="str">
            <v/>
          </cell>
        </row>
        <row r="528">
          <cell r="C528" t="str">
            <v/>
          </cell>
        </row>
        <row r="529">
          <cell r="C529" t="str">
            <v/>
          </cell>
        </row>
        <row r="530">
          <cell r="C530" t="str">
            <v/>
          </cell>
        </row>
        <row r="531">
          <cell r="C531" t="str">
            <v/>
          </cell>
        </row>
        <row r="532">
          <cell r="C532" t="str">
            <v/>
          </cell>
        </row>
        <row r="533">
          <cell r="C533" t="str">
            <v/>
          </cell>
        </row>
        <row r="534">
          <cell r="C534" t="str">
            <v/>
          </cell>
        </row>
        <row r="535">
          <cell r="C535" t="str">
            <v/>
          </cell>
        </row>
        <row r="536">
          <cell r="C536" t="str">
            <v/>
          </cell>
        </row>
        <row r="537">
          <cell r="C537" t="str">
            <v/>
          </cell>
        </row>
        <row r="538">
          <cell r="C538" t="str">
            <v/>
          </cell>
        </row>
        <row r="539">
          <cell r="C539" t="str">
            <v/>
          </cell>
        </row>
        <row r="540">
          <cell r="C540" t="str">
            <v/>
          </cell>
        </row>
        <row r="541">
          <cell r="C541" t="str">
            <v/>
          </cell>
        </row>
        <row r="542">
          <cell r="C542" t="str">
            <v/>
          </cell>
        </row>
        <row r="543">
          <cell r="C543" t="str">
            <v/>
          </cell>
        </row>
        <row r="544">
          <cell r="C544" t="str">
            <v/>
          </cell>
        </row>
        <row r="545">
          <cell r="C545" t="str">
            <v/>
          </cell>
        </row>
        <row r="546">
          <cell r="C546" t="str">
            <v/>
          </cell>
        </row>
        <row r="547">
          <cell r="C547" t="str">
            <v/>
          </cell>
        </row>
        <row r="548">
          <cell r="C548" t="str">
            <v/>
          </cell>
        </row>
        <row r="549">
          <cell r="C549" t="str">
            <v/>
          </cell>
        </row>
        <row r="550">
          <cell r="C550" t="str">
            <v/>
          </cell>
        </row>
        <row r="551">
          <cell r="C551" t="str">
            <v/>
          </cell>
        </row>
        <row r="552">
          <cell r="C552" t="str">
            <v/>
          </cell>
        </row>
        <row r="553">
          <cell r="C553" t="str">
            <v/>
          </cell>
        </row>
        <row r="554">
          <cell r="C554" t="str">
            <v/>
          </cell>
        </row>
        <row r="555">
          <cell r="C555" t="str">
            <v/>
          </cell>
        </row>
        <row r="556">
          <cell r="C556" t="str">
            <v/>
          </cell>
        </row>
        <row r="557">
          <cell r="C557" t="str">
            <v/>
          </cell>
        </row>
        <row r="558">
          <cell r="C558" t="str">
            <v/>
          </cell>
        </row>
        <row r="559">
          <cell r="C559" t="str">
            <v/>
          </cell>
        </row>
        <row r="560">
          <cell r="C560" t="str">
            <v/>
          </cell>
        </row>
        <row r="561">
          <cell r="C561" t="str">
            <v/>
          </cell>
        </row>
        <row r="562">
          <cell r="C562" t="str">
            <v/>
          </cell>
        </row>
        <row r="563">
          <cell r="C563" t="str">
            <v/>
          </cell>
        </row>
        <row r="564">
          <cell r="C564" t="str">
            <v/>
          </cell>
        </row>
        <row r="565">
          <cell r="C565" t="str">
            <v/>
          </cell>
        </row>
        <row r="566">
          <cell r="C566" t="str">
            <v/>
          </cell>
        </row>
        <row r="567">
          <cell r="C567" t="str">
            <v/>
          </cell>
        </row>
        <row r="568">
          <cell r="C568" t="str">
            <v/>
          </cell>
        </row>
        <row r="569">
          <cell r="C569" t="str">
            <v/>
          </cell>
        </row>
        <row r="570">
          <cell r="C570" t="str">
            <v/>
          </cell>
        </row>
        <row r="571">
          <cell r="C571" t="str">
            <v/>
          </cell>
        </row>
        <row r="572">
          <cell r="C572" t="str">
            <v/>
          </cell>
        </row>
        <row r="573">
          <cell r="C573" t="str">
            <v/>
          </cell>
        </row>
        <row r="574">
          <cell r="C574" t="str">
            <v/>
          </cell>
        </row>
        <row r="575">
          <cell r="C575" t="str">
            <v/>
          </cell>
        </row>
        <row r="576">
          <cell r="C576" t="str">
            <v/>
          </cell>
        </row>
        <row r="577">
          <cell r="C577" t="str">
            <v/>
          </cell>
        </row>
        <row r="578">
          <cell r="C578" t="str">
            <v/>
          </cell>
        </row>
        <row r="579">
          <cell r="C579" t="str">
            <v/>
          </cell>
        </row>
        <row r="580">
          <cell r="C580" t="str">
            <v/>
          </cell>
        </row>
        <row r="581">
          <cell r="C581" t="str">
            <v/>
          </cell>
        </row>
        <row r="582">
          <cell r="C582" t="str">
            <v/>
          </cell>
        </row>
        <row r="583">
          <cell r="C583" t="str">
            <v/>
          </cell>
        </row>
        <row r="584">
          <cell r="C584" t="str">
            <v/>
          </cell>
        </row>
        <row r="585">
          <cell r="C585" t="str">
            <v/>
          </cell>
        </row>
        <row r="586">
          <cell r="C586" t="str">
            <v/>
          </cell>
        </row>
        <row r="587">
          <cell r="C587" t="str">
            <v/>
          </cell>
        </row>
        <row r="588">
          <cell r="C588" t="str">
            <v/>
          </cell>
        </row>
        <row r="589">
          <cell r="C589" t="str">
            <v/>
          </cell>
        </row>
        <row r="590">
          <cell r="C590" t="str">
            <v/>
          </cell>
        </row>
        <row r="591">
          <cell r="C591" t="str">
            <v/>
          </cell>
        </row>
        <row r="592">
          <cell r="C592" t="str">
            <v/>
          </cell>
        </row>
        <row r="593">
          <cell r="C593" t="str">
            <v/>
          </cell>
        </row>
        <row r="594">
          <cell r="C594" t="str">
            <v/>
          </cell>
        </row>
        <row r="595">
          <cell r="C595" t="str">
            <v/>
          </cell>
        </row>
        <row r="596">
          <cell r="C596" t="str">
            <v/>
          </cell>
        </row>
        <row r="597">
          <cell r="C597" t="str">
            <v/>
          </cell>
        </row>
        <row r="598">
          <cell r="C598" t="str">
            <v/>
          </cell>
        </row>
        <row r="599">
          <cell r="C599" t="str">
            <v/>
          </cell>
        </row>
        <row r="600">
          <cell r="C600" t="str">
            <v/>
          </cell>
        </row>
        <row r="601">
          <cell r="C601" t="str">
            <v/>
          </cell>
        </row>
        <row r="602">
          <cell r="C602" t="str">
            <v/>
          </cell>
        </row>
        <row r="603">
          <cell r="C603" t="str">
            <v/>
          </cell>
        </row>
        <row r="604">
          <cell r="C604" t="str">
            <v/>
          </cell>
        </row>
        <row r="605">
          <cell r="C605" t="str">
            <v/>
          </cell>
        </row>
        <row r="606">
          <cell r="C606" t="str">
            <v/>
          </cell>
        </row>
        <row r="607">
          <cell r="C607" t="str">
            <v/>
          </cell>
        </row>
        <row r="608">
          <cell r="C608" t="str">
            <v/>
          </cell>
        </row>
        <row r="609">
          <cell r="C609" t="str">
            <v/>
          </cell>
        </row>
        <row r="610">
          <cell r="C610" t="str">
            <v/>
          </cell>
        </row>
        <row r="611">
          <cell r="C611" t="str">
            <v/>
          </cell>
        </row>
        <row r="612">
          <cell r="C612" t="str">
            <v/>
          </cell>
        </row>
        <row r="613">
          <cell r="C613" t="str">
            <v/>
          </cell>
        </row>
        <row r="614">
          <cell r="C614" t="str">
            <v/>
          </cell>
        </row>
        <row r="615">
          <cell r="C615" t="str">
            <v/>
          </cell>
        </row>
        <row r="616">
          <cell r="C616" t="str">
            <v/>
          </cell>
        </row>
        <row r="617">
          <cell r="C617" t="str">
            <v/>
          </cell>
        </row>
        <row r="618">
          <cell r="C618" t="str">
            <v/>
          </cell>
        </row>
        <row r="619">
          <cell r="C619" t="str">
            <v/>
          </cell>
        </row>
        <row r="620">
          <cell r="C620" t="str">
            <v/>
          </cell>
        </row>
        <row r="621">
          <cell r="C621" t="str">
            <v/>
          </cell>
        </row>
        <row r="622">
          <cell r="C622" t="str">
            <v/>
          </cell>
        </row>
        <row r="623">
          <cell r="C623" t="str">
            <v/>
          </cell>
        </row>
        <row r="624">
          <cell r="C624" t="str">
            <v/>
          </cell>
        </row>
        <row r="625">
          <cell r="C625" t="str">
            <v/>
          </cell>
        </row>
        <row r="626">
          <cell r="C626" t="str">
            <v/>
          </cell>
        </row>
        <row r="627">
          <cell r="C627" t="str">
            <v/>
          </cell>
        </row>
        <row r="628">
          <cell r="C628" t="str">
            <v/>
          </cell>
        </row>
        <row r="629">
          <cell r="C629" t="str">
            <v/>
          </cell>
        </row>
        <row r="630">
          <cell r="C630" t="str">
            <v/>
          </cell>
        </row>
        <row r="631">
          <cell r="C631" t="str">
            <v/>
          </cell>
        </row>
        <row r="632">
          <cell r="C632" t="str">
            <v/>
          </cell>
        </row>
        <row r="633">
          <cell r="C633" t="str">
            <v/>
          </cell>
        </row>
        <row r="634">
          <cell r="C634" t="str">
            <v/>
          </cell>
        </row>
        <row r="635">
          <cell r="C635" t="str">
            <v/>
          </cell>
        </row>
        <row r="636">
          <cell r="C636" t="str">
            <v/>
          </cell>
        </row>
        <row r="637">
          <cell r="C637" t="str">
            <v/>
          </cell>
        </row>
        <row r="638">
          <cell r="C638" t="str">
            <v/>
          </cell>
        </row>
        <row r="639">
          <cell r="C639" t="str">
            <v/>
          </cell>
        </row>
        <row r="640">
          <cell r="C640" t="str">
            <v/>
          </cell>
        </row>
        <row r="641">
          <cell r="C641" t="str">
            <v/>
          </cell>
        </row>
        <row r="642">
          <cell r="C642" t="str">
            <v/>
          </cell>
        </row>
        <row r="643">
          <cell r="C643" t="str">
            <v/>
          </cell>
        </row>
        <row r="644">
          <cell r="C644" t="str">
            <v/>
          </cell>
        </row>
        <row r="645">
          <cell r="C645" t="str">
            <v/>
          </cell>
        </row>
        <row r="646">
          <cell r="C646" t="str">
            <v/>
          </cell>
        </row>
        <row r="647">
          <cell r="C647" t="str">
            <v/>
          </cell>
        </row>
        <row r="648">
          <cell r="C648" t="str">
            <v/>
          </cell>
        </row>
        <row r="649">
          <cell r="C649" t="str">
            <v/>
          </cell>
        </row>
        <row r="650">
          <cell r="C650" t="str">
            <v/>
          </cell>
        </row>
        <row r="651">
          <cell r="C651" t="str">
            <v/>
          </cell>
        </row>
        <row r="652">
          <cell r="C652" t="str">
            <v/>
          </cell>
        </row>
        <row r="653">
          <cell r="C653" t="str">
            <v/>
          </cell>
        </row>
        <row r="654">
          <cell r="C654" t="str">
            <v/>
          </cell>
        </row>
        <row r="655">
          <cell r="C655" t="str">
            <v/>
          </cell>
        </row>
        <row r="656">
          <cell r="C656" t="str">
            <v/>
          </cell>
        </row>
        <row r="657">
          <cell r="C657" t="str">
            <v/>
          </cell>
        </row>
        <row r="658">
          <cell r="C658" t="str">
            <v/>
          </cell>
        </row>
        <row r="659">
          <cell r="C659" t="str">
            <v/>
          </cell>
        </row>
        <row r="660">
          <cell r="C660" t="str">
            <v/>
          </cell>
        </row>
        <row r="661">
          <cell r="C661" t="str">
            <v/>
          </cell>
        </row>
        <row r="662">
          <cell r="C662" t="str">
            <v/>
          </cell>
        </row>
        <row r="663">
          <cell r="C663" t="str">
            <v/>
          </cell>
        </row>
        <row r="664">
          <cell r="C664" t="str">
            <v/>
          </cell>
        </row>
        <row r="665">
          <cell r="C665" t="str">
            <v/>
          </cell>
        </row>
        <row r="666">
          <cell r="C666" t="str">
            <v/>
          </cell>
        </row>
        <row r="667">
          <cell r="C667" t="str">
            <v/>
          </cell>
        </row>
        <row r="668">
          <cell r="C668" t="str">
            <v/>
          </cell>
        </row>
        <row r="669">
          <cell r="C669" t="str">
            <v/>
          </cell>
        </row>
        <row r="670">
          <cell r="C670" t="str">
            <v/>
          </cell>
        </row>
        <row r="671">
          <cell r="C671" t="str">
            <v/>
          </cell>
        </row>
        <row r="672">
          <cell r="C672" t="str">
            <v/>
          </cell>
        </row>
        <row r="673">
          <cell r="C673" t="str">
            <v/>
          </cell>
        </row>
        <row r="674">
          <cell r="C674" t="str">
            <v/>
          </cell>
        </row>
        <row r="675">
          <cell r="C675" t="str">
            <v/>
          </cell>
        </row>
        <row r="676">
          <cell r="C676" t="str">
            <v/>
          </cell>
        </row>
        <row r="677">
          <cell r="C677" t="str">
            <v/>
          </cell>
        </row>
        <row r="678">
          <cell r="C678" t="str">
            <v/>
          </cell>
        </row>
        <row r="679">
          <cell r="C679" t="str">
            <v/>
          </cell>
        </row>
        <row r="680">
          <cell r="C680" t="str">
            <v/>
          </cell>
        </row>
        <row r="681">
          <cell r="C681" t="str">
            <v/>
          </cell>
        </row>
        <row r="682">
          <cell r="C682" t="str">
            <v/>
          </cell>
        </row>
        <row r="683">
          <cell r="C683" t="str">
            <v/>
          </cell>
        </row>
        <row r="684">
          <cell r="C684" t="str">
            <v/>
          </cell>
        </row>
        <row r="685">
          <cell r="C685" t="str">
            <v/>
          </cell>
        </row>
        <row r="686">
          <cell r="C686" t="str">
            <v/>
          </cell>
        </row>
        <row r="687">
          <cell r="C687" t="str">
            <v/>
          </cell>
        </row>
        <row r="688">
          <cell r="C688" t="str">
            <v/>
          </cell>
        </row>
        <row r="689">
          <cell r="C689" t="str">
            <v/>
          </cell>
        </row>
        <row r="690">
          <cell r="C690" t="str">
            <v/>
          </cell>
        </row>
        <row r="691">
          <cell r="C691" t="str">
            <v/>
          </cell>
        </row>
        <row r="692">
          <cell r="C692" t="str">
            <v/>
          </cell>
        </row>
        <row r="693">
          <cell r="C693" t="str">
            <v/>
          </cell>
        </row>
        <row r="694">
          <cell r="C694" t="str">
            <v/>
          </cell>
        </row>
        <row r="695">
          <cell r="C695" t="str">
            <v/>
          </cell>
        </row>
        <row r="696">
          <cell r="C696" t="str">
            <v/>
          </cell>
        </row>
        <row r="697">
          <cell r="C697" t="str">
            <v/>
          </cell>
        </row>
        <row r="698">
          <cell r="C698" t="str">
            <v/>
          </cell>
        </row>
        <row r="699">
          <cell r="C699" t="str">
            <v/>
          </cell>
        </row>
        <row r="700">
          <cell r="C700" t="str">
            <v/>
          </cell>
        </row>
        <row r="701">
          <cell r="C701" t="str">
            <v/>
          </cell>
        </row>
        <row r="702">
          <cell r="C702" t="str">
            <v/>
          </cell>
        </row>
        <row r="703">
          <cell r="C703" t="str">
            <v/>
          </cell>
        </row>
        <row r="704">
          <cell r="C704" t="str">
            <v/>
          </cell>
        </row>
        <row r="705">
          <cell r="C705" t="str">
            <v/>
          </cell>
        </row>
        <row r="706">
          <cell r="C706" t="str">
            <v/>
          </cell>
        </row>
        <row r="707">
          <cell r="C707" t="str">
            <v/>
          </cell>
        </row>
        <row r="708">
          <cell r="C708" t="str">
            <v/>
          </cell>
        </row>
        <row r="709">
          <cell r="C709" t="str">
            <v/>
          </cell>
        </row>
        <row r="710">
          <cell r="C710" t="str">
            <v/>
          </cell>
        </row>
        <row r="711">
          <cell r="C711" t="str">
            <v/>
          </cell>
        </row>
        <row r="712">
          <cell r="C712" t="str">
            <v/>
          </cell>
        </row>
        <row r="713">
          <cell r="C713" t="str">
            <v/>
          </cell>
        </row>
        <row r="714">
          <cell r="C714" t="str">
            <v/>
          </cell>
        </row>
        <row r="715">
          <cell r="C715" t="str">
            <v/>
          </cell>
        </row>
        <row r="716">
          <cell r="C716" t="str">
            <v/>
          </cell>
        </row>
        <row r="717">
          <cell r="C717" t="str">
            <v/>
          </cell>
        </row>
        <row r="718">
          <cell r="C718" t="str">
            <v/>
          </cell>
        </row>
        <row r="719">
          <cell r="C719" t="str">
            <v/>
          </cell>
        </row>
        <row r="720">
          <cell r="C720" t="str">
            <v/>
          </cell>
        </row>
        <row r="721">
          <cell r="C721" t="str">
            <v/>
          </cell>
        </row>
        <row r="722">
          <cell r="C722" t="str">
            <v/>
          </cell>
        </row>
        <row r="723">
          <cell r="C723" t="str">
            <v/>
          </cell>
        </row>
        <row r="724">
          <cell r="C724" t="str">
            <v/>
          </cell>
        </row>
        <row r="725">
          <cell r="C725" t="str">
            <v/>
          </cell>
        </row>
        <row r="726">
          <cell r="C726" t="str">
            <v/>
          </cell>
        </row>
        <row r="727">
          <cell r="C727" t="str">
            <v/>
          </cell>
        </row>
        <row r="728">
          <cell r="C728" t="str">
            <v/>
          </cell>
        </row>
        <row r="729">
          <cell r="C729" t="str">
            <v/>
          </cell>
        </row>
        <row r="730">
          <cell r="C730" t="str">
            <v/>
          </cell>
        </row>
        <row r="731">
          <cell r="C731" t="str">
            <v/>
          </cell>
        </row>
        <row r="732">
          <cell r="C732" t="str">
            <v/>
          </cell>
        </row>
        <row r="733">
          <cell r="C733" t="str">
            <v/>
          </cell>
        </row>
        <row r="734">
          <cell r="C734" t="str">
            <v/>
          </cell>
        </row>
        <row r="735">
          <cell r="C735" t="str">
            <v/>
          </cell>
        </row>
        <row r="736">
          <cell r="C736" t="str">
            <v/>
          </cell>
        </row>
        <row r="737">
          <cell r="C737" t="str">
            <v/>
          </cell>
        </row>
        <row r="738">
          <cell r="C738" t="str">
            <v/>
          </cell>
        </row>
        <row r="739">
          <cell r="C739" t="str">
            <v/>
          </cell>
        </row>
        <row r="740">
          <cell r="C740" t="str">
            <v/>
          </cell>
        </row>
        <row r="741">
          <cell r="C741" t="str">
            <v/>
          </cell>
        </row>
        <row r="742">
          <cell r="C742" t="str">
            <v/>
          </cell>
        </row>
        <row r="743">
          <cell r="C743" t="str">
            <v/>
          </cell>
        </row>
        <row r="744">
          <cell r="C744" t="str">
            <v/>
          </cell>
        </row>
        <row r="745">
          <cell r="C745" t="str">
            <v/>
          </cell>
        </row>
        <row r="746">
          <cell r="C746" t="str">
            <v/>
          </cell>
        </row>
        <row r="747">
          <cell r="C747" t="str">
            <v/>
          </cell>
        </row>
        <row r="748">
          <cell r="C748" t="str">
            <v/>
          </cell>
        </row>
        <row r="749">
          <cell r="C749" t="str">
            <v/>
          </cell>
        </row>
        <row r="750">
          <cell r="C750" t="str">
            <v/>
          </cell>
        </row>
        <row r="751">
          <cell r="C751" t="str">
            <v/>
          </cell>
        </row>
        <row r="752">
          <cell r="C752" t="str">
            <v/>
          </cell>
        </row>
        <row r="753">
          <cell r="C753" t="str">
            <v/>
          </cell>
        </row>
        <row r="754">
          <cell r="C754" t="str">
            <v/>
          </cell>
        </row>
        <row r="755">
          <cell r="C755" t="str">
            <v/>
          </cell>
        </row>
        <row r="756">
          <cell r="C756" t="str">
            <v/>
          </cell>
        </row>
        <row r="757">
          <cell r="C757" t="str">
            <v/>
          </cell>
        </row>
        <row r="758">
          <cell r="C758" t="str">
            <v/>
          </cell>
        </row>
        <row r="759">
          <cell r="C759" t="str">
            <v/>
          </cell>
        </row>
        <row r="760">
          <cell r="C760" t="str">
            <v/>
          </cell>
        </row>
        <row r="761">
          <cell r="C761" t="str">
            <v/>
          </cell>
        </row>
        <row r="762">
          <cell r="C762" t="str">
            <v/>
          </cell>
        </row>
        <row r="763">
          <cell r="C763" t="str">
            <v/>
          </cell>
        </row>
        <row r="764">
          <cell r="C764" t="str">
            <v/>
          </cell>
        </row>
        <row r="765">
          <cell r="C765" t="str">
            <v/>
          </cell>
        </row>
        <row r="766">
          <cell r="C766" t="str">
            <v/>
          </cell>
        </row>
        <row r="767">
          <cell r="C767" t="str">
            <v/>
          </cell>
        </row>
        <row r="768">
          <cell r="C768" t="str">
            <v/>
          </cell>
        </row>
        <row r="769">
          <cell r="C769" t="str">
            <v/>
          </cell>
        </row>
        <row r="770">
          <cell r="C770" t="str">
            <v/>
          </cell>
        </row>
        <row r="771">
          <cell r="C771" t="str">
            <v/>
          </cell>
        </row>
        <row r="772">
          <cell r="C772" t="str">
            <v/>
          </cell>
        </row>
        <row r="773">
          <cell r="C773" t="str">
            <v/>
          </cell>
        </row>
        <row r="774">
          <cell r="C774" t="str">
            <v/>
          </cell>
        </row>
        <row r="775">
          <cell r="C775" t="str">
            <v/>
          </cell>
        </row>
        <row r="776">
          <cell r="C776" t="str">
            <v/>
          </cell>
        </row>
        <row r="777">
          <cell r="C777" t="str">
            <v/>
          </cell>
        </row>
        <row r="778">
          <cell r="C778" t="str">
            <v/>
          </cell>
        </row>
        <row r="779">
          <cell r="C779" t="str">
            <v/>
          </cell>
        </row>
        <row r="780">
          <cell r="C780" t="str">
            <v/>
          </cell>
        </row>
        <row r="781">
          <cell r="C781" t="str">
            <v/>
          </cell>
        </row>
        <row r="782">
          <cell r="C782" t="str">
            <v/>
          </cell>
        </row>
        <row r="783">
          <cell r="C783" t="str">
            <v/>
          </cell>
        </row>
        <row r="784">
          <cell r="C784" t="str">
            <v/>
          </cell>
        </row>
        <row r="785">
          <cell r="C785" t="str">
            <v/>
          </cell>
        </row>
        <row r="786">
          <cell r="C786" t="str">
            <v/>
          </cell>
        </row>
        <row r="787">
          <cell r="C787" t="str">
            <v/>
          </cell>
        </row>
        <row r="788">
          <cell r="C788" t="str">
            <v/>
          </cell>
        </row>
        <row r="789">
          <cell r="C789" t="str">
            <v/>
          </cell>
        </row>
        <row r="790">
          <cell r="C790" t="str">
            <v/>
          </cell>
        </row>
        <row r="791">
          <cell r="C791" t="str">
            <v/>
          </cell>
        </row>
        <row r="792">
          <cell r="C792" t="str">
            <v/>
          </cell>
        </row>
        <row r="793">
          <cell r="C793" t="str">
            <v/>
          </cell>
        </row>
        <row r="794">
          <cell r="C794" t="str">
            <v/>
          </cell>
        </row>
        <row r="795">
          <cell r="C795" t="str">
            <v/>
          </cell>
        </row>
        <row r="796">
          <cell r="C796" t="str">
            <v/>
          </cell>
        </row>
        <row r="797">
          <cell r="C797" t="str">
            <v/>
          </cell>
        </row>
        <row r="798">
          <cell r="C798" t="str">
            <v/>
          </cell>
        </row>
        <row r="799">
          <cell r="C799" t="str">
            <v/>
          </cell>
        </row>
        <row r="800">
          <cell r="C800" t="str">
            <v/>
          </cell>
        </row>
        <row r="801">
          <cell r="C801" t="str">
            <v/>
          </cell>
        </row>
        <row r="802">
          <cell r="C802" t="str">
            <v/>
          </cell>
        </row>
        <row r="803">
          <cell r="C803" t="str">
            <v/>
          </cell>
        </row>
        <row r="804">
          <cell r="C804" t="str">
            <v/>
          </cell>
        </row>
        <row r="805">
          <cell r="C805" t="str">
            <v/>
          </cell>
        </row>
        <row r="806">
          <cell r="C806" t="str">
            <v/>
          </cell>
        </row>
        <row r="807">
          <cell r="C807" t="str">
            <v/>
          </cell>
        </row>
        <row r="808">
          <cell r="C808" t="str">
            <v/>
          </cell>
        </row>
        <row r="809">
          <cell r="C809" t="str">
            <v/>
          </cell>
        </row>
        <row r="810">
          <cell r="C810" t="str">
            <v/>
          </cell>
        </row>
        <row r="811">
          <cell r="C811" t="str">
            <v/>
          </cell>
        </row>
        <row r="812">
          <cell r="C812" t="str">
            <v/>
          </cell>
        </row>
        <row r="813">
          <cell r="C813" t="str">
            <v/>
          </cell>
        </row>
        <row r="814">
          <cell r="C814" t="str">
            <v/>
          </cell>
        </row>
        <row r="815">
          <cell r="C815" t="str">
            <v/>
          </cell>
        </row>
        <row r="816">
          <cell r="C816" t="str">
            <v/>
          </cell>
        </row>
        <row r="817">
          <cell r="C817" t="str">
            <v/>
          </cell>
        </row>
        <row r="818">
          <cell r="C818" t="str">
            <v/>
          </cell>
        </row>
        <row r="819">
          <cell r="C819" t="str">
            <v/>
          </cell>
        </row>
        <row r="820">
          <cell r="C820" t="str">
            <v/>
          </cell>
        </row>
        <row r="821">
          <cell r="C821" t="str">
            <v/>
          </cell>
        </row>
        <row r="822">
          <cell r="C822" t="str">
            <v/>
          </cell>
        </row>
        <row r="823">
          <cell r="C823" t="str">
            <v/>
          </cell>
        </row>
        <row r="824">
          <cell r="C824" t="str">
            <v/>
          </cell>
        </row>
        <row r="825">
          <cell r="C825" t="str">
            <v/>
          </cell>
        </row>
        <row r="826">
          <cell r="C826" t="str">
            <v/>
          </cell>
        </row>
        <row r="827">
          <cell r="C827" t="str">
            <v/>
          </cell>
        </row>
        <row r="828">
          <cell r="C828" t="str">
            <v/>
          </cell>
        </row>
        <row r="829">
          <cell r="C829" t="str">
            <v/>
          </cell>
        </row>
        <row r="830">
          <cell r="C830" t="str">
            <v/>
          </cell>
        </row>
        <row r="831">
          <cell r="C831" t="str">
            <v/>
          </cell>
        </row>
        <row r="832">
          <cell r="C832" t="str">
            <v/>
          </cell>
        </row>
        <row r="833">
          <cell r="C833" t="str">
            <v/>
          </cell>
        </row>
        <row r="834">
          <cell r="C834" t="str">
            <v/>
          </cell>
        </row>
        <row r="835">
          <cell r="C835" t="str">
            <v/>
          </cell>
        </row>
        <row r="836">
          <cell r="C836" t="str">
            <v/>
          </cell>
        </row>
        <row r="837">
          <cell r="C837" t="str">
            <v/>
          </cell>
        </row>
        <row r="838">
          <cell r="C838" t="str">
            <v/>
          </cell>
        </row>
        <row r="839">
          <cell r="C839" t="str">
            <v/>
          </cell>
        </row>
        <row r="840">
          <cell r="C840" t="str">
            <v/>
          </cell>
        </row>
        <row r="841">
          <cell r="C841" t="str">
            <v/>
          </cell>
        </row>
        <row r="842">
          <cell r="C842" t="str">
            <v/>
          </cell>
        </row>
        <row r="843">
          <cell r="C843" t="str">
            <v/>
          </cell>
        </row>
        <row r="844">
          <cell r="C844" t="str">
            <v/>
          </cell>
        </row>
        <row r="845">
          <cell r="C845" t="str">
            <v/>
          </cell>
        </row>
        <row r="846">
          <cell r="C846" t="str">
            <v/>
          </cell>
        </row>
        <row r="847">
          <cell r="C847" t="str">
            <v/>
          </cell>
        </row>
        <row r="848">
          <cell r="C848" t="str">
            <v/>
          </cell>
        </row>
        <row r="849">
          <cell r="C849" t="str">
            <v/>
          </cell>
        </row>
        <row r="850">
          <cell r="C850" t="str">
            <v/>
          </cell>
        </row>
        <row r="851">
          <cell r="C851" t="str">
            <v/>
          </cell>
        </row>
        <row r="852">
          <cell r="C852" t="str">
            <v/>
          </cell>
        </row>
        <row r="853">
          <cell r="C853" t="str">
            <v/>
          </cell>
        </row>
        <row r="854">
          <cell r="C854" t="str">
            <v/>
          </cell>
        </row>
        <row r="855">
          <cell r="C855" t="str">
            <v/>
          </cell>
        </row>
        <row r="856">
          <cell r="C856" t="str">
            <v/>
          </cell>
        </row>
        <row r="857">
          <cell r="C857" t="str">
            <v/>
          </cell>
        </row>
        <row r="858">
          <cell r="C858" t="str">
            <v/>
          </cell>
        </row>
        <row r="859">
          <cell r="C859" t="str">
            <v/>
          </cell>
        </row>
        <row r="860">
          <cell r="C860" t="str">
            <v/>
          </cell>
        </row>
        <row r="861">
          <cell r="C861" t="str">
            <v/>
          </cell>
        </row>
        <row r="862">
          <cell r="C862" t="str">
            <v/>
          </cell>
        </row>
        <row r="863">
          <cell r="C863" t="str">
            <v/>
          </cell>
        </row>
        <row r="864">
          <cell r="C864" t="str">
            <v/>
          </cell>
        </row>
        <row r="865">
          <cell r="C865" t="str">
            <v/>
          </cell>
        </row>
        <row r="866">
          <cell r="C866" t="str">
            <v/>
          </cell>
        </row>
        <row r="867">
          <cell r="C867" t="str">
            <v/>
          </cell>
        </row>
        <row r="868">
          <cell r="C868" t="str">
            <v/>
          </cell>
        </row>
        <row r="869">
          <cell r="C869" t="str">
            <v/>
          </cell>
        </row>
        <row r="870">
          <cell r="C870" t="str">
            <v/>
          </cell>
        </row>
        <row r="871">
          <cell r="C871" t="str">
            <v/>
          </cell>
        </row>
        <row r="872">
          <cell r="C872" t="str">
            <v/>
          </cell>
        </row>
        <row r="873">
          <cell r="C873" t="str">
            <v/>
          </cell>
        </row>
        <row r="874">
          <cell r="C874" t="str">
            <v/>
          </cell>
        </row>
        <row r="875">
          <cell r="C875" t="str">
            <v/>
          </cell>
        </row>
        <row r="876">
          <cell r="C876" t="str">
            <v/>
          </cell>
        </row>
        <row r="877">
          <cell r="C877" t="str">
            <v/>
          </cell>
        </row>
        <row r="878">
          <cell r="C878" t="str">
            <v/>
          </cell>
        </row>
        <row r="879">
          <cell r="C879" t="str">
            <v/>
          </cell>
        </row>
        <row r="880">
          <cell r="C880" t="str">
            <v/>
          </cell>
        </row>
        <row r="881">
          <cell r="C881" t="str">
            <v/>
          </cell>
        </row>
        <row r="882">
          <cell r="C882" t="str">
            <v/>
          </cell>
        </row>
        <row r="883">
          <cell r="C883" t="str">
            <v/>
          </cell>
        </row>
        <row r="884">
          <cell r="C884" t="str">
            <v/>
          </cell>
        </row>
        <row r="885">
          <cell r="C885" t="str">
            <v/>
          </cell>
        </row>
        <row r="886">
          <cell r="C886" t="str">
            <v/>
          </cell>
        </row>
        <row r="887">
          <cell r="C887" t="str">
            <v/>
          </cell>
        </row>
        <row r="888">
          <cell r="C888" t="str">
            <v/>
          </cell>
        </row>
        <row r="889">
          <cell r="C889" t="str">
            <v/>
          </cell>
        </row>
        <row r="890">
          <cell r="C890" t="str">
            <v/>
          </cell>
        </row>
        <row r="891">
          <cell r="C891" t="str">
            <v/>
          </cell>
        </row>
        <row r="892">
          <cell r="C892" t="str">
            <v/>
          </cell>
        </row>
        <row r="893">
          <cell r="C893" t="str">
            <v/>
          </cell>
        </row>
        <row r="894">
          <cell r="C894" t="str">
            <v/>
          </cell>
        </row>
        <row r="895">
          <cell r="C895" t="str">
            <v/>
          </cell>
        </row>
        <row r="896">
          <cell r="C896" t="str">
            <v/>
          </cell>
        </row>
        <row r="897">
          <cell r="C897" t="str">
            <v/>
          </cell>
        </row>
        <row r="898">
          <cell r="C898" t="str">
            <v/>
          </cell>
        </row>
        <row r="899">
          <cell r="C899" t="str">
            <v/>
          </cell>
        </row>
        <row r="900">
          <cell r="C900" t="str">
            <v/>
          </cell>
        </row>
        <row r="901">
          <cell r="C901" t="str">
            <v/>
          </cell>
        </row>
        <row r="902">
          <cell r="C902" t="str">
            <v/>
          </cell>
        </row>
        <row r="903">
          <cell r="C903" t="str">
            <v/>
          </cell>
        </row>
        <row r="904">
          <cell r="C904" t="str">
            <v/>
          </cell>
        </row>
        <row r="905">
          <cell r="C905" t="str">
            <v/>
          </cell>
        </row>
        <row r="906">
          <cell r="C906" t="str">
            <v/>
          </cell>
        </row>
        <row r="907">
          <cell r="C907" t="str">
            <v/>
          </cell>
        </row>
        <row r="908">
          <cell r="C908" t="str">
            <v/>
          </cell>
        </row>
        <row r="909">
          <cell r="C909" t="str">
            <v/>
          </cell>
        </row>
        <row r="910">
          <cell r="C910" t="str">
            <v/>
          </cell>
        </row>
        <row r="911">
          <cell r="C911" t="str">
            <v/>
          </cell>
        </row>
        <row r="912">
          <cell r="C912" t="str">
            <v/>
          </cell>
        </row>
        <row r="913">
          <cell r="C913" t="str">
            <v/>
          </cell>
        </row>
        <row r="914">
          <cell r="C914" t="str">
            <v/>
          </cell>
        </row>
        <row r="915">
          <cell r="C915" t="str">
            <v/>
          </cell>
        </row>
        <row r="916">
          <cell r="C916" t="str">
            <v/>
          </cell>
        </row>
        <row r="917">
          <cell r="C917" t="str">
            <v/>
          </cell>
        </row>
        <row r="918">
          <cell r="C918" t="str">
            <v/>
          </cell>
        </row>
        <row r="919">
          <cell r="C919" t="str">
            <v/>
          </cell>
        </row>
        <row r="920">
          <cell r="C920" t="str">
            <v/>
          </cell>
        </row>
        <row r="921">
          <cell r="C921" t="str">
            <v/>
          </cell>
        </row>
        <row r="922">
          <cell r="C922" t="str">
            <v/>
          </cell>
        </row>
        <row r="923">
          <cell r="C923" t="str">
            <v/>
          </cell>
        </row>
        <row r="924">
          <cell r="C924" t="str">
            <v/>
          </cell>
        </row>
        <row r="925">
          <cell r="C925" t="str">
            <v/>
          </cell>
        </row>
        <row r="926">
          <cell r="C926" t="str">
            <v/>
          </cell>
        </row>
        <row r="927">
          <cell r="C927" t="str">
            <v/>
          </cell>
        </row>
        <row r="928">
          <cell r="C928" t="str">
            <v/>
          </cell>
        </row>
        <row r="929">
          <cell r="C929" t="str">
            <v/>
          </cell>
        </row>
        <row r="930">
          <cell r="C930" t="str">
            <v/>
          </cell>
        </row>
        <row r="931">
          <cell r="C931" t="str">
            <v/>
          </cell>
        </row>
        <row r="932">
          <cell r="C932" t="str">
            <v/>
          </cell>
        </row>
        <row r="933">
          <cell r="C933" t="str">
            <v/>
          </cell>
        </row>
        <row r="934">
          <cell r="C934" t="str">
            <v/>
          </cell>
        </row>
        <row r="935">
          <cell r="C935" t="str">
            <v/>
          </cell>
        </row>
        <row r="936">
          <cell r="C936" t="str">
            <v/>
          </cell>
        </row>
        <row r="937">
          <cell r="C937" t="str">
            <v/>
          </cell>
        </row>
        <row r="938">
          <cell r="C938" t="str">
            <v/>
          </cell>
        </row>
        <row r="939">
          <cell r="C939" t="str">
            <v/>
          </cell>
        </row>
        <row r="940">
          <cell r="C940" t="str">
            <v/>
          </cell>
        </row>
        <row r="941">
          <cell r="C941" t="str">
            <v/>
          </cell>
        </row>
        <row r="942">
          <cell r="C942" t="str">
            <v/>
          </cell>
        </row>
        <row r="943">
          <cell r="C943" t="str">
            <v/>
          </cell>
        </row>
        <row r="944">
          <cell r="C944" t="str">
            <v/>
          </cell>
        </row>
        <row r="945">
          <cell r="C945" t="str">
            <v/>
          </cell>
        </row>
        <row r="946">
          <cell r="C946" t="str">
            <v/>
          </cell>
        </row>
        <row r="947">
          <cell r="C947" t="str">
            <v/>
          </cell>
        </row>
        <row r="948">
          <cell r="C948" t="str">
            <v/>
          </cell>
        </row>
        <row r="949">
          <cell r="C949" t="str">
            <v/>
          </cell>
        </row>
        <row r="950">
          <cell r="C950" t="str">
            <v/>
          </cell>
        </row>
        <row r="951">
          <cell r="C951" t="str">
            <v/>
          </cell>
        </row>
        <row r="952">
          <cell r="C952" t="str">
            <v/>
          </cell>
        </row>
        <row r="953">
          <cell r="C953" t="str">
            <v/>
          </cell>
        </row>
        <row r="954">
          <cell r="C954" t="str">
            <v/>
          </cell>
        </row>
        <row r="955">
          <cell r="C955" t="str">
            <v/>
          </cell>
        </row>
        <row r="956">
          <cell r="C956" t="str">
            <v/>
          </cell>
        </row>
        <row r="957">
          <cell r="C957" t="str">
            <v/>
          </cell>
        </row>
        <row r="958">
          <cell r="C958" t="str">
            <v/>
          </cell>
        </row>
        <row r="959">
          <cell r="C959" t="str">
            <v/>
          </cell>
        </row>
        <row r="960">
          <cell r="C960" t="str">
            <v/>
          </cell>
        </row>
        <row r="961">
          <cell r="C961" t="str">
            <v/>
          </cell>
        </row>
        <row r="962">
          <cell r="C962" t="str">
            <v/>
          </cell>
        </row>
        <row r="963">
          <cell r="C963" t="str">
            <v/>
          </cell>
        </row>
        <row r="964">
          <cell r="C964" t="str">
            <v/>
          </cell>
        </row>
        <row r="965">
          <cell r="C965" t="str">
            <v/>
          </cell>
        </row>
        <row r="966">
          <cell r="C966" t="str">
            <v/>
          </cell>
        </row>
        <row r="967">
          <cell r="C967" t="str">
            <v/>
          </cell>
        </row>
        <row r="968">
          <cell r="C968" t="str">
            <v/>
          </cell>
        </row>
        <row r="969">
          <cell r="C969" t="str">
            <v/>
          </cell>
        </row>
        <row r="970">
          <cell r="C970" t="str">
            <v/>
          </cell>
        </row>
        <row r="971">
          <cell r="C971" t="str">
            <v/>
          </cell>
        </row>
        <row r="972">
          <cell r="C972" t="str">
            <v/>
          </cell>
        </row>
        <row r="973">
          <cell r="C973" t="str">
            <v/>
          </cell>
        </row>
        <row r="974">
          <cell r="C974" t="str">
            <v/>
          </cell>
        </row>
        <row r="975">
          <cell r="C975" t="str">
            <v/>
          </cell>
        </row>
        <row r="976">
          <cell r="C976" t="str">
            <v/>
          </cell>
        </row>
        <row r="977">
          <cell r="C977" t="str">
            <v/>
          </cell>
        </row>
        <row r="978">
          <cell r="C978" t="str">
            <v/>
          </cell>
        </row>
        <row r="979">
          <cell r="C979" t="str">
            <v/>
          </cell>
        </row>
        <row r="980">
          <cell r="C980" t="str">
            <v/>
          </cell>
        </row>
        <row r="981">
          <cell r="C981" t="str">
            <v/>
          </cell>
        </row>
        <row r="982">
          <cell r="C982" t="str">
            <v/>
          </cell>
        </row>
        <row r="983">
          <cell r="C983" t="str">
            <v/>
          </cell>
        </row>
        <row r="984">
          <cell r="C984" t="str">
            <v/>
          </cell>
        </row>
        <row r="985">
          <cell r="C985" t="str">
            <v/>
          </cell>
        </row>
        <row r="986">
          <cell r="C986" t="str">
            <v/>
          </cell>
        </row>
        <row r="987">
          <cell r="C987" t="str">
            <v/>
          </cell>
        </row>
        <row r="988">
          <cell r="C988" t="str">
            <v/>
          </cell>
        </row>
        <row r="989">
          <cell r="C989" t="str">
            <v/>
          </cell>
        </row>
        <row r="990">
          <cell r="C990" t="str">
            <v/>
          </cell>
        </row>
        <row r="991">
          <cell r="C991" t="str">
            <v/>
          </cell>
        </row>
        <row r="992">
          <cell r="C992" t="str">
            <v/>
          </cell>
        </row>
        <row r="993">
          <cell r="C993" t="str">
            <v/>
          </cell>
        </row>
        <row r="994">
          <cell r="C994" t="str">
            <v/>
          </cell>
        </row>
        <row r="995">
          <cell r="C995" t="str">
            <v/>
          </cell>
        </row>
      </sheetData>
      <sheetData sheetId="18">
        <row r="1">
          <cell r="B1" t="str">
            <v>Формат</v>
          </cell>
          <cell r="C1" t="str">
            <v>Город+Формат</v>
          </cell>
        </row>
        <row r="2">
          <cell r="B2" t="str">
            <v>Прямая Реклама</v>
          </cell>
          <cell r="C2" t="str">
            <v>МоскваПрямая Реклама</v>
          </cell>
        </row>
        <row r="3">
          <cell r="B3" t="str">
            <v>Прямая Реклама</v>
          </cell>
          <cell r="C3" t="str">
            <v>МоскваПрямая Реклама</v>
          </cell>
        </row>
        <row r="4">
          <cell r="B4" t="str">
            <v>Прямая Реклама</v>
          </cell>
          <cell r="C4" t="str">
            <v>МоскваПрямая Реклама</v>
          </cell>
        </row>
        <row r="5">
          <cell r="B5" t="str">
            <v>Прямая Реклама</v>
          </cell>
          <cell r="C5" t="str">
            <v>МоскваПрямая Реклама</v>
          </cell>
        </row>
        <row r="6">
          <cell r="B6" t="str">
            <v>Прямая Реклама</v>
          </cell>
          <cell r="C6" t="str">
            <v>МоскваПрямая Реклама</v>
          </cell>
        </row>
        <row r="7">
          <cell r="B7" t="str">
            <v>Спонсорство</v>
          </cell>
          <cell r="C7" t="str">
            <v>МоскваСпонсорство</v>
          </cell>
        </row>
        <row r="8">
          <cell r="B8" t="str">
            <v>Спонсорство</v>
          </cell>
          <cell r="C8" t="str">
            <v>МоскваСпонсорство</v>
          </cell>
        </row>
        <row r="9">
          <cell r="B9" t="str">
            <v>Спонсорство</v>
          </cell>
          <cell r="C9" t="str">
            <v>МоскваСпонсорство</v>
          </cell>
        </row>
        <row r="10">
          <cell r="B10" t="str">
            <v>Прямая Реклама</v>
          </cell>
          <cell r="C10" t="str">
            <v>Санкт-ПетербургПрямая Реклама</v>
          </cell>
        </row>
        <row r="11">
          <cell r="B11" t="str">
            <v>Прямая Реклама</v>
          </cell>
          <cell r="C11" t="str">
            <v>Санкт-ПетербургПрямая Реклама</v>
          </cell>
        </row>
        <row r="12">
          <cell r="B12" t="str">
            <v>Спонсорство</v>
          </cell>
          <cell r="C12" t="str">
            <v>Санкт-ПетербургСпонсорство</v>
          </cell>
        </row>
        <row r="13">
          <cell r="B13" t="str">
            <v>Спонсорство</v>
          </cell>
          <cell r="C13" t="str">
            <v>КраснодарСпонсорство</v>
          </cell>
        </row>
        <row r="14">
          <cell r="B14" t="str">
            <v>Прямая Реклама</v>
          </cell>
          <cell r="C14" t="str">
            <v>КраснодарПрямая Реклама</v>
          </cell>
        </row>
        <row r="15">
          <cell r="B15" t="str">
            <v>Прямая Реклама</v>
          </cell>
          <cell r="C15" t="str">
            <v>ЕкатеринбургПрямая Реклама</v>
          </cell>
        </row>
        <row r="16">
          <cell r="C16" t="str">
            <v/>
          </cell>
        </row>
        <row r="17">
          <cell r="C17" t="str">
            <v/>
          </cell>
        </row>
        <row r="18">
          <cell r="C18" t="str">
            <v/>
          </cell>
        </row>
        <row r="19">
          <cell r="C19" t="str">
            <v/>
          </cell>
        </row>
        <row r="20">
          <cell r="C20" t="str">
            <v/>
          </cell>
        </row>
        <row r="21">
          <cell r="C21" t="str">
            <v/>
          </cell>
        </row>
        <row r="22">
          <cell r="C22" t="str">
            <v/>
          </cell>
        </row>
        <row r="23">
          <cell r="C23" t="str">
            <v/>
          </cell>
        </row>
        <row r="24">
          <cell r="C24" t="str">
            <v/>
          </cell>
        </row>
        <row r="25">
          <cell r="C25" t="str">
            <v/>
          </cell>
        </row>
        <row r="26">
          <cell r="C26" t="str">
            <v/>
          </cell>
        </row>
        <row r="27">
          <cell r="C27" t="str">
            <v/>
          </cell>
        </row>
        <row r="28">
          <cell r="C28" t="str">
            <v/>
          </cell>
        </row>
        <row r="29">
          <cell r="C29" t="str">
            <v/>
          </cell>
        </row>
        <row r="30">
          <cell r="C30" t="str">
            <v/>
          </cell>
        </row>
        <row r="31">
          <cell r="C31" t="str">
            <v/>
          </cell>
        </row>
        <row r="32">
          <cell r="C32" t="str">
            <v/>
          </cell>
        </row>
        <row r="33">
          <cell r="C33" t="str">
            <v/>
          </cell>
        </row>
        <row r="34">
          <cell r="C34" t="str">
            <v/>
          </cell>
        </row>
        <row r="35">
          <cell r="C35" t="str">
            <v/>
          </cell>
        </row>
        <row r="36">
          <cell r="C36" t="str">
            <v/>
          </cell>
        </row>
        <row r="37">
          <cell r="C37" t="str">
            <v/>
          </cell>
        </row>
        <row r="38">
          <cell r="C38" t="str">
            <v/>
          </cell>
        </row>
        <row r="39">
          <cell r="C39" t="str">
            <v/>
          </cell>
        </row>
        <row r="40">
          <cell r="C40" t="str">
            <v/>
          </cell>
        </row>
        <row r="41">
          <cell r="C41" t="str">
            <v/>
          </cell>
        </row>
        <row r="42">
          <cell r="C42" t="str">
            <v/>
          </cell>
        </row>
        <row r="43">
          <cell r="C43" t="str">
            <v/>
          </cell>
        </row>
        <row r="44">
          <cell r="C44" t="str">
            <v/>
          </cell>
        </row>
        <row r="45">
          <cell r="C45" t="str">
            <v/>
          </cell>
        </row>
        <row r="46">
          <cell r="C46" t="str">
            <v/>
          </cell>
        </row>
        <row r="47">
          <cell r="C47" t="str">
            <v/>
          </cell>
        </row>
        <row r="48">
          <cell r="C48" t="str">
            <v/>
          </cell>
        </row>
        <row r="49">
          <cell r="C49" t="str">
            <v/>
          </cell>
        </row>
        <row r="50">
          <cell r="C50" t="str">
            <v/>
          </cell>
        </row>
        <row r="51">
          <cell r="C51" t="str">
            <v/>
          </cell>
        </row>
        <row r="52">
          <cell r="C52" t="str">
            <v/>
          </cell>
        </row>
        <row r="53">
          <cell r="C53" t="str">
            <v/>
          </cell>
        </row>
        <row r="54">
          <cell r="C54" t="str">
            <v/>
          </cell>
        </row>
        <row r="55">
          <cell r="C55" t="str">
            <v/>
          </cell>
        </row>
        <row r="56">
          <cell r="C56" t="str">
            <v/>
          </cell>
        </row>
        <row r="57">
          <cell r="C57" t="str">
            <v/>
          </cell>
        </row>
        <row r="58">
          <cell r="C58" t="str">
            <v/>
          </cell>
        </row>
        <row r="59">
          <cell r="C59" t="str">
            <v/>
          </cell>
        </row>
        <row r="60">
          <cell r="C60" t="str">
            <v/>
          </cell>
        </row>
        <row r="61">
          <cell r="C61" t="str">
            <v/>
          </cell>
        </row>
        <row r="62">
          <cell r="C62" t="str">
            <v/>
          </cell>
        </row>
        <row r="63">
          <cell r="C63" t="str">
            <v/>
          </cell>
        </row>
        <row r="64">
          <cell r="C64" t="str">
            <v/>
          </cell>
        </row>
        <row r="65">
          <cell r="C65" t="str">
            <v/>
          </cell>
        </row>
        <row r="66">
          <cell r="C66" t="str">
            <v/>
          </cell>
        </row>
        <row r="67">
          <cell r="C67" t="str">
            <v/>
          </cell>
        </row>
        <row r="68">
          <cell r="C68" t="str">
            <v/>
          </cell>
        </row>
        <row r="69">
          <cell r="C69" t="str">
            <v/>
          </cell>
        </row>
        <row r="70">
          <cell r="C70" t="str">
            <v/>
          </cell>
        </row>
        <row r="71">
          <cell r="C71" t="str">
            <v/>
          </cell>
        </row>
        <row r="72">
          <cell r="C72" t="str">
            <v/>
          </cell>
        </row>
        <row r="73">
          <cell r="C73" t="str">
            <v/>
          </cell>
        </row>
        <row r="74">
          <cell r="C74" t="str">
            <v/>
          </cell>
        </row>
        <row r="75">
          <cell r="C75" t="str">
            <v/>
          </cell>
        </row>
        <row r="76">
          <cell r="C76" t="str">
            <v/>
          </cell>
        </row>
        <row r="77">
          <cell r="C77" t="str">
            <v/>
          </cell>
        </row>
        <row r="78">
          <cell r="C78" t="str">
            <v/>
          </cell>
        </row>
        <row r="79">
          <cell r="C79" t="str">
            <v/>
          </cell>
        </row>
        <row r="80">
          <cell r="C80" t="str">
            <v/>
          </cell>
        </row>
        <row r="81">
          <cell r="C81" t="str">
            <v/>
          </cell>
        </row>
        <row r="82">
          <cell r="C82" t="str">
            <v/>
          </cell>
        </row>
        <row r="83">
          <cell r="C83" t="str">
            <v/>
          </cell>
        </row>
        <row r="84">
          <cell r="C84" t="str">
            <v/>
          </cell>
        </row>
        <row r="85">
          <cell r="C85" t="str">
            <v/>
          </cell>
        </row>
        <row r="86">
          <cell r="C86" t="str">
            <v/>
          </cell>
        </row>
        <row r="87">
          <cell r="C87" t="str">
            <v/>
          </cell>
        </row>
        <row r="88">
          <cell r="C88" t="str">
            <v/>
          </cell>
        </row>
        <row r="89">
          <cell r="C89" t="str">
            <v/>
          </cell>
        </row>
        <row r="90">
          <cell r="C90" t="str">
            <v/>
          </cell>
        </row>
        <row r="91">
          <cell r="C91" t="str">
            <v/>
          </cell>
        </row>
        <row r="92">
          <cell r="C92" t="str">
            <v/>
          </cell>
        </row>
        <row r="93">
          <cell r="C93" t="str">
            <v/>
          </cell>
        </row>
        <row r="94">
          <cell r="C94" t="str">
            <v/>
          </cell>
        </row>
        <row r="95">
          <cell r="C95" t="str">
            <v/>
          </cell>
        </row>
        <row r="96">
          <cell r="C96" t="str">
            <v/>
          </cell>
        </row>
        <row r="97">
          <cell r="C97" t="str">
            <v/>
          </cell>
        </row>
        <row r="98">
          <cell r="C98" t="str">
            <v/>
          </cell>
        </row>
        <row r="99">
          <cell r="C99" t="str">
            <v/>
          </cell>
        </row>
        <row r="100">
          <cell r="C100" t="str">
            <v/>
          </cell>
        </row>
        <row r="101">
          <cell r="C101" t="str">
            <v/>
          </cell>
        </row>
        <row r="102">
          <cell r="C102" t="str">
            <v/>
          </cell>
        </row>
        <row r="103">
          <cell r="C103" t="str">
            <v/>
          </cell>
        </row>
        <row r="104">
          <cell r="C104" t="str">
            <v/>
          </cell>
        </row>
        <row r="105">
          <cell r="C105" t="str">
            <v/>
          </cell>
        </row>
        <row r="106">
          <cell r="C106" t="str">
            <v/>
          </cell>
        </row>
        <row r="107">
          <cell r="C107" t="str">
            <v/>
          </cell>
        </row>
        <row r="108">
          <cell r="C108" t="str">
            <v/>
          </cell>
        </row>
        <row r="109">
          <cell r="C109" t="str">
            <v/>
          </cell>
        </row>
        <row r="110">
          <cell r="C110" t="str">
            <v/>
          </cell>
        </row>
        <row r="111">
          <cell r="C111" t="str">
            <v/>
          </cell>
        </row>
        <row r="112">
          <cell r="C112" t="str">
            <v/>
          </cell>
        </row>
        <row r="113">
          <cell r="C113" t="str">
            <v/>
          </cell>
        </row>
        <row r="114">
          <cell r="C114" t="str">
            <v/>
          </cell>
        </row>
        <row r="115">
          <cell r="C115" t="str">
            <v/>
          </cell>
        </row>
        <row r="116">
          <cell r="C116" t="str">
            <v/>
          </cell>
        </row>
        <row r="117">
          <cell r="C117" t="str">
            <v/>
          </cell>
        </row>
        <row r="118">
          <cell r="C118" t="str">
            <v/>
          </cell>
        </row>
        <row r="119">
          <cell r="C119" t="str">
            <v/>
          </cell>
        </row>
        <row r="120">
          <cell r="C120" t="str">
            <v/>
          </cell>
        </row>
        <row r="121">
          <cell r="C121" t="str">
            <v/>
          </cell>
        </row>
        <row r="122">
          <cell r="C122" t="str">
            <v/>
          </cell>
        </row>
        <row r="123">
          <cell r="C123" t="str">
            <v/>
          </cell>
        </row>
        <row r="124">
          <cell r="C124" t="str">
            <v/>
          </cell>
        </row>
        <row r="125">
          <cell r="C125" t="str">
            <v/>
          </cell>
        </row>
        <row r="126">
          <cell r="C126" t="str">
            <v/>
          </cell>
        </row>
        <row r="127">
          <cell r="C127" t="str">
            <v/>
          </cell>
        </row>
        <row r="128">
          <cell r="C128" t="str">
            <v/>
          </cell>
        </row>
        <row r="129">
          <cell r="C129" t="str">
            <v/>
          </cell>
        </row>
        <row r="130">
          <cell r="C130" t="str">
            <v/>
          </cell>
        </row>
        <row r="131">
          <cell r="C131" t="str">
            <v/>
          </cell>
        </row>
        <row r="132">
          <cell r="C132" t="str">
            <v/>
          </cell>
        </row>
        <row r="133">
          <cell r="C133" t="str">
            <v/>
          </cell>
        </row>
        <row r="134">
          <cell r="C134" t="str">
            <v/>
          </cell>
        </row>
        <row r="135">
          <cell r="C135" t="str">
            <v/>
          </cell>
        </row>
        <row r="136">
          <cell r="C136" t="str">
            <v/>
          </cell>
        </row>
        <row r="137">
          <cell r="C137" t="str">
            <v/>
          </cell>
        </row>
        <row r="138">
          <cell r="C138" t="str">
            <v/>
          </cell>
        </row>
        <row r="139">
          <cell r="C139" t="str">
            <v/>
          </cell>
        </row>
        <row r="140">
          <cell r="C140" t="str">
            <v/>
          </cell>
        </row>
        <row r="141">
          <cell r="C141" t="str">
            <v/>
          </cell>
        </row>
        <row r="142">
          <cell r="C142" t="str">
            <v/>
          </cell>
        </row>
        <row r="143">
          <cell r="C143" t="str">
            <v/>
          </cell>
        </row>
        <row r="144">
          <cell r="C144" t="str">
            <v/>
          </cell>
        </row>
        <row r="145">
          <cell r="C145" t="str">
            <v/>
          </cell>
        </row>
        <row r="146">
          <cell r="C146" t="str">
            <v/>
          </cell>
        </row>
        <row r="147">
          <cell r="C147" t="str">
            <v/>
          </cell>
        </row>
        <row r="148">
          <cell r="C148" t="str">
            <v/>
          </cell>
        </row>
        <row r="149">
          <cell r="C149" t="str">
            <v/>
          </cell>
        </row>
        <row r="150">
          <cell r="C150" t="str">
            <v/>
          </cell>
        </row>
        <row r="151">
          <cell r="C151" t="str">
            <v/>
          </cell>
        </row>
        <row r="152">
          <cell r="C152" t="str">
            <v/>
          </cell>
        </row>
        <row r="153">
          <cell r="C153" t="str">
            <v/>
          </cell>
        </row>
        <row r="154">
          <cell r="C154" t="str">
            <v/>
          </cell>
        </row>
        <row r="155">
          <cell r="C155" t="str">
            <v/>
          </cell>
        </row>
        <row r="156">
          <cell r="C156" t="str">
            <v/>
          </cell>
        </row>
        <row r="157">
          <cell r="C157" t="str">
            <v/>
          </cell>
        </row>
        <row r="158">
          <cell r="C158" t="str">
            <v/>
          </cell>
        </row>
        <row r="159">
          <cell r="C159" t="str">
            <v/>
          </cell>
        </row>
        <row r="160">
          <cell r="C160" t="str">
            <v/>
          </cell>
        </row>
        <row r="161">
          <cell r="C161" t="str">
            <v/>
          </cell>
        </row>
        <row r="162">
          <cell r="C162" t="str">
            <v/>
          </cell>
        </row>
        <row r="163">
          <cell r="C163" t="str">
            <v/>
          </cell>
        </row>
        <row r="164">
          <cell r="C164" t="str">
            <v/>
          </cell>
        </row>
        <row r="165">
          <cell r="C165" t="str">
            <v/>
          </cell>
        </row>
        <row r="166">
          <cell r="C166" t="str">
            <v/>
          </cell>
        </row>
        <row r="167">
          <cell r="C167" t="str">
            <v/>
          </cell>
        </row>
        <row r="168">
          <cell r="C168" t="str">
            <v/>
          </cell>
        </row>
        <row r="169">
          <cell r="C169" t="str">
            <v/>
          </cell>
        </row>
        <row r="170">
          <cell r="C170" t="str">
            <v/>
          </cell>
        </row>
        <row r="171">
          <cell r="C171" t="str">
            <v/>
          </cell>
        </row>
        <row r="172">
          <cell r="C172" t="str">
            <v/>
          </cell>
        </row>
        <row r="173">
          <cell r="C173" t="str">
            <v/>
          </cell>
        </row>
        <row r="174">
          <cell r="C174" t="str">
            <v/>
          </cell>
        </row>
        <row r="175">
          <cell r="C175" t="str">
            <v/>
          </cell>
        </row>
        <row r="176">
          <cell r="C176" t="str">
            <v/>
          </cell>
        </row>
        <row r="177">
          <cell r="C177" t="str">
            <v/>
          </cell>
        </row>
        <row r="178">
          <cell r="C178" t="str">
            <v/>
          </cell>
        </row>
        <row r="179">
          <cell r="C179" t="str">
            <v/>
          </cell>
        </row>
        <row r="180">
          <cell r="C180" t="str">
            <v/>
          </cell>
        </row>
        <row r="181">
          <cell r="C181" t="str">
            <v/>
          </cell>
        </row>
        <row r="182">
          <cell r="C182" t="str">
            <v/>
          </cell>
        </row>
        <row r="183">
          <cell r="C183" t="str">
            <v/>
          </cell>
        </row>
        <row r="184">
          <cell r="C184" t="str">
            <v/>
          </cell>
        </row>
        <row r="185">
          <cell r="C185" t="str">
            <v/>
          </cell>
        </row>
        <row r="186">
          <cell r="C186" t="str">
            <v/>
          </cell>
        </row>
        <row r="187">
          <cell r="C187" t="str">
            <v/>
          </cell>
        </row>
        <row r="188">
          <cell r="C188" t="str">
            <v/>
          </cell>
        </row>
        <row r="189">
          <cell r="C189" t="str">
            <v/>
          </cell>
        </row>
        <row r="190">
          <cell r="C190" t="str">
            <v/>
          </cell>
        </row>
        <row r="191">
          <cell r="C191" t="str">
            <v/>
          </cell>
        </row>
        <row r="192">
          <cell r="C192" t="str">
            <v/>
          </cell>
        </row>
        <row r="193">
          <cell r="C193" t="str">
            <v/>
          </cell>
        </row>
        <row r="194">
          <cell r="C194" t="str">
            <v/>
          </cell>
        </row>
        <row r="195">
          <cell r="C195" t="str">
            <v/>
          </cell>
        </row>
        <row r="196">
          <cell r="C196" t="str">
            <v/>
          </cell>
        </row>
        <row r="197">
          <cell r="C197" t="str">
            <v/>
          </cell>
        </row>
        <row r="198">
          <cell r="C198" t="str">
            <v/>
          </cell>
        </row>
        <row r="199">
          <cell r="C199" t="str">
            <v/>
          </cell>
        </row>
        <row r="200">
          <cell r="C200" t="str">
            <v/>
          </cell>
        </row>
        <row r="201">
          <cell r="C201" t="str">
            <v/>
          </cell>
        </row>
        <row r="202">
          <cell r="C202" t="str">
            <v/>
          </cell>
        </row>
        <row r="203">
          <cell r="C203" t="str">
            <v/>
          </cell>
        </row>
        <row r="204">
          <cell r="C204" t="str">
            <v/>
          </cell>
        </row>
        <row r="205">
          <cell r="C205" t="str">
            <v/>
          </cell>
        </row>
        <row r="206">
          <cell r="C206" t="str">
            <v/>
          </cell>
        </row>
        <row r="207">
          <cell r="C207" t="str">
            <v/>
          </cell>
        </row>
        <row r="208">
          <cell r="C208" t="str">
            <v/>
          </cell>
        </row>
        <row r="209">
          <cell r="C209" t="str">
            <v/>
          </cell>
        </row>
        <row r="210">
          <cell r="C210" t="str">
            <v/>
          </cell>
        </row>
        <row r="211">
          <cell r="C211" t="str">
            <v/>
          </cell>
        </row>
        <row r="212">
          <cell r="C212" t="str">
            <v/>
          </cell>
        </row>
        <row r="213">
          <cell r="C213" t="str">
            <v/>
          </cell>
        </row>
        <row r="214">
          <cell r="C214" t="str">
            <v/>
          </cell>
        </row>
        <row r="215">
          <cell r="C215" t="str">
            <v/>
          </cell>
        </row>
        <row r="216">
          <cell r="C216" t="str">
            <v/>
          </cell>
        </row>
        <row r="217">
          <cell r="C217" t="str">
            <v/>
          </cell>
        </row>
        <row r="218">
          <cell r="C218" t="str">
            <v/>
          </cell>
        </row>
        <row r="219">
          <cell r="C219" t="str">
            <v/>
          </cell>
        </row>
        <row r="220">
          <cell r="C220" t="str">
            <v/>
          </cell>
        </row>
        <row r="221">
          <cell r="C221" t="str">
            <v/>
          </cell>
        </row>
        <row r="222">
          <cell r="C222" t="str">
            <v/>
          </cell>
        </row>
        <row r="223">
          <cell r="C223" t="str">
            <v/>
          </cell>
        </row>
        <row r="224">
          <cell r="C224" t="str">
            <v/>
          </cell>
        </row>
        <row r="225">
          <cell r="C225" t="str">
            <v/>
          </cell>
        </row>
        <row r="226">
          <cell r="C226" t="str">
            <v/>
          </cell>
        </row>
        <row r="227">
          <cell r="C227" t="str">
            <v/>
          </cell>
        </row>
        <row r="228">
          <cell r="C228" t="str">
            <v/>
          </cell>
        </row>
        <row r="229">
          <cell r="C229" t="str">
            <v/>
          </cell>
        </row>
        <row r="230">
          <cell r="C230" t="str">
            <v/>
          </cell>
        </row>
        <row r="231">
          <cell r="C231" t="str">
            <v/>
          </cell>
        </row>
        <row r="232">
          <cell r="C232" t="str">
            <v/>
          </cell>
        </row>
        <row r="233">
          <cell r="C233" t="str">
            <v/>
          </cell>
        </row>
        <row r="234">
          <cell r="C234" t="str">
            <v/>
          </cell>
        </row>
        <row r="235">
          <cell r="C235" t="str">
            <v/>
          </cell>
        </row>
        <row r="236">
          <cell r="C236" t="str">
            <v/>
          </cell>
        </row>
        <row r="237">
          <cell r="C237" t="str">
            <v/>
          </cell>
        </row>
        <row r="238">
          <cell r="C238" t="str">
            <v/>
          </cell>
        </row>
        <row r="239">
          <cell r="C239" t="str">
            <v/>
          </cell>
        </row>
        <row r="240">
          <cell r="C240" t="str">
            <v/>
          </cell>
        </row>
        <row r="241">
          <cell r="C241" t="str">
            <v/>
          </cell>
        </row>
        <row r="242">
          <cell r="C242" t="str">
            <v/>
          </cell>
        </row>
        <row r="243">
          <cell r="C243" t="str">
            <v/>
          </cell>
        </row>
        <row r="244">
          <cell r="C244" t="str">
            <v/>
          </cell>
        </row>
        <row r="245">
          <cell r="C245" t="str">
            <v/>
          </cell>
        </row>
        <row r="246">
          <cell r="C246" t="str">
            <v/>
          </cell>
        </row>
        <row r="247">
          <cell r="C247" t="str">
            <v/>
          </cell>
        </row>
        <row r="248">
          <cell r="C248" t="str">
            <v/>
          </cell>
        </row>
        <row r="249">
          <cell r="C249" t="str">
            <v/>
          </cell>
        </row>
        <row r="250">
          <cell r="C250" t="str">
            <v/>
          </cell>
        </row>
        <row r="251">
          <cell r="C251" t="str">
            <v/>
          </cell>
        </row>
        <row r="252">
          <cell r="C252" t="str">
            <v/>
          </cell>
        </row>
        <row r="253">
          <cell r="C253" t="str">
            <v/>
          </cell>
        </row>
        <row r="254">
          <cell r="C254" t="str">
            <v/>
          </cell>
        </row>
        <row r="255">
          <cell r="C255" t="str">
            <v/>
          </cell>
        </row>
        <row r="256">
          <cell r="C256" t="str">
            <v/>
          </cell>
        </row>
        <row r="257">
          <cell r="C257" t="str">
            <v/>
          </cell>
        </row>
        <row r="258">
          <cell r="C258" t="str">
            <v/>
          </cell>
        </row>
        <row r="259">
          <cell r="C259" t="str">
            <v/>
          </cell>
        </row>
        <row r="260">
          <cell r="C260" t="str">
            <v/>
          </cell>
        </row>
        <row r="261">
          <cell r="C261" t="str">
            <v/>
          </cell>
        </row>
        <row r="262">
          <cell r="C262" t="str">
            <v/>
          </cell>
        </row>
        <row r="263">
          <cell r="C263" t="str">
            <v/>
          </cell>
        </row>
        <row r="264">
          <cell r="C264" t="str">
            <v/>
          </cell>
        </row>
        <row r="265">
          <cell r="C265" t="str">
            <v/>
          </cell>
        </row>
        <row r="266">
          <cell r="C266" t="str">
            <v/>
          </cell>
        </row>
        <row r="267">
          <cell r="C267" t="str">
            <v/>
          </cell>
        </row>
        <row r="268">
          <cell r="C268" t="str">
            <v/>
          </cell>
        </row>
        <row r="269">
          <cell r="C269" t="str">
            <v/>
          </cell>
        </row>
        <row r="270">
          <cell r="C270" t="str">
            <v/>
          </cell>
        </row>
        <row r="271">
          <cell r="C271" t="str">
            <v/>
          </cell>
        </row>
        <row r="272">
          <cell r="C272" t="str">
            <v/>
          </cell>
        </row>
        <row r="273">
          <cell r="C273" t="str">
            <v/>
          </cell>
        </row>
        <row r="274">
          <cell r="C274" t="str">
            <v/>
          </cell>
        </row>
        <row r="275">
          <cell r="C275" t="str">
            <v/>
          </cell>
        </row>
        <row r="276">
          <cell r="C276" t="str">
            <v/>
          </cell>
        </row>
        <row r="277">
          <cell r="C277" t="str">
            <v/>
          </cell>
        </row>
        <row r="278">
          <cell r="C278" t="str">
            <v/>
          </cell>
        </row>
        <row r="279">
          <cell r="C279" t="str">
            <v/>
          </cell>
        </row>
        <row r="280">
          <cell r="C280" t="str">
            <v/>
          </cell>
        </row>
        <row r="281">
          <cell r="C281" t="str">
            <v/>
          </cell>
        </row>
        <row r="282">
          <cell r="C282" t="str">
            <v/>
          </cell>
        </row>
        <row r="283">
          <cell r="C283" t="str">
            <v/>
          </cell>
        </row>
        <row r="284">
          <cell r="C284" t="str">
            <v/>
          </cell>
        </row>
        <row r="285">
          <cell r="C285" t="str">
            <v/>
          </cell>
        </row>
        <row r="286">
          <cell r="C286" t="str">
            <v/>
          </cell>
        </row>
        <row r="287">
          <cell r="C287" t="str">
            <v/>
          </cell>
        </row>
        <row r="288">
          <cell r="C288" t="str">
            <v/>
          </cell>
        </row>
        <row r="289">
          <cell r="C289" t="str">
            <v/>
          </cell>
        </row>
        <row r="290">
          <cell r="C290" t="str">
            <v/>
          </cell>
        </row>
        <row r="291">
          <cell r="C291" t="str">
            <v/>
          </cell>
        </row>
        <row r="292">
          <cell r="C292" t="str">
            <v/>
          </cell>
        </row>
        <row r="293">
          <cell r="C293" t="str">
            <v/>
          </cell>
        </row>
        <row r="294">
          <cell r="C294" t="str">
            <v/>
          </cell>
        </row>
        <row r="295">
          <cell r="C295" t="str">
            <v/>
          </cell>
        </row>
        <row r="296">
          <cell r="C296" t="str">
            <v/>
          </cell>
        </row>
        <row r="297">
          <cell r="C297" t="str">
            <v/>
          </cell>
        </row>
        <row r="298">
          <cell r="C298" t="str">
            <v/>
          </cell>
        </row>
        <row r="299">
          <cell r="C299" t="str">
            <v/>
          </cell>
        </row>
        <row r="300">
          <cell r="C300" t="str">
            <v/>
          </cell>
        </row>
        <row r="301">
          <cell r="C301" t="str">
            <v/>
          </cell>
        </row>
        <row r="302">
          <cell r="C302" t="str">
            <v/>
          </cell>
        </row>
        <row r="303">
          <cell r="C303" t="str">
            <v/>
          </cell>
        </row>
        <row r="304">
          <cell r="C304" t="str">
            <v/>
          </cell>
        </row>
        <row r="305">
          <cell r="C305" t="str">
            <v/>
          </cell>
        </row>
        <row r="306">
          <cell r="C306" t="str">
            <v/>
          </cell>
        </row>
        <row r="307">
          <cell r="C307" t="str">
            <v/>
          </cell>
        </row>
        <row r="308">
          <cell r="C308" t="str">
            <v/>
          </cell>
        </row>
        <row r="309">
          <cell r="C309" t="str">
            <v/>
          </cell>
        </row>
        <row r="310">
          <cell r="C310" t="str">
            <v/>
          </cell>
        </row>
        <row r="311">
          <cell r="C311" t="str">
            <v/>
          </cell>
        </row>
        <row r="312">
          <cell r="C312" t="str">
            <v/>
          </cell>
        </row>
        <row r="313">
          <cell r="C313" t="str">
            <v/>
          </cell>
        </row>
        <row r="314">
          <cell r="C314" t="str">
            <v/>
          </cell>
        </row>
        <row r="315">
          <cell r="C315" t="str">
            <v/>
          </cell>
        </row>
        <row r="316">
          <cell r="C316" t="str">
            <v/>
          </cell>
        </row>
        <row r="317">
          <cell r="C317" t="str">
            <v/>
          </cell>
        </row>
        <row r="318">
          <cell r="C318" t="str">
            <v/>
          </cell>
        </row>
        <row r="319">
          <cell r="C319" t="str">
            <v/>
          </cell>
        </row>
        <row r="320">
          <cell r="C320" t="str">
            <v/>
          </cell>
        </row>
        <row r="321">
          <cell r="C321" t="str">
            <v/>
          </cell>
        </row>
        <row r="322">
          <cell r="C322" t="str">
            <v/>
          </cell>
        </row>
        <row r="323">
          <cell r="C323" t="str">
            <v/>
          </cell>
        </row>
        <row r="324">
          <cell r="C324" t="str">
            <v/>
          </cell>
        </row>
        <row r="325">
          <cell r="C325" t="str">
            <v/>
          </cell>
        </row>
        <row r="326">
          <cell r="C326" t="str">
            <v/>
          </cell>
        </row>
        <row r="327">
          <cell r="C327" t="str">
            <v/>
          </cell>
        </row>
        <row r="328">
          <cell r="C328" t="str">
            <v/>
          </cell>
        </row>
        <row r="329">
          <cell r="C329" t="str">
            <v/>
          </cell>
        </row>
        <row r="330">
          <cell r="C330" t="str">
            <v/>
          </cell>
        </row>
        <row r="331">
          <cell r="C331" t="str">
            <v/>
          </cell>
        </row>
        <row r="332">
          <cell r="C332" t="str">
            <v/>
          </cell>
        </row>
        <row r="333">
          <cell r="C333" t="str">
            <v/>
          </cell>
        </row>
        <row r="334">
          <cell r="C334" t="str">
            <v/>
          </cell>
        </row>
        <row r="335">
          <cell r="C335" t="str">
            <v/>
          </cell>
        </row>
        <row r="336">
          <cell r="C336" t="str">
            <v/>
          </cell>
        </row>
        <row r="337">
          <cell r="C337" t="str">
            <v/>
          </cell>
        </row>
        <row r="338">
          <cell r="C338" t="str">
            <v/>
          </cell>
        </row>
        <row r="339">
          <cell r="C339" t="str">
            <v/>
          </cell>
        </row>
        <row r="340">
          <cell r="C340" t="str">
            <v/>
          </cell>
        </row>
        <row r="341">
          <cell r="C341" t="str">
            <v/>
          </cell>
        </row>
        <row r="342">
          <cell r="C342" t="str">
            <v/>
          </cell>
        </row>
        <row r="343">
          <cell r="C343" t="str">
            <v/>
          </cell>
        </row>
        <row r="344">
          <cell r="C344" t="str">
            <v/>
          </cell>
        </row>
        <row r="345">
          <cell r="C345" t="str">
            <v/>
          </cell>
        </row>
        <row r="346">
          <cell r="C346" t="str">
            <v/>
          </cell>
        </row>
        <row r="347">
          <cell r="C347" t="str">
            <v/>
          </cell>
        </row>
        <row r="348">
          <cell r="C348" t="str">
            <v/>
          </cell>
        </row>
        <row r="349">
          <cell r="C349" t="str">
            <v/>
          </cell>
        </row>
        <row r="350">
          <cell r="C350" t="str">
            <v/>
          </cell>
        </row>
        <row r="351">
          <cell r="C351" t="str">
            <v/>
          </cell>
        </row>
        <row r="352">
          <cell r="C352" t="str">
            <v/>
          </cell>
        </row>
        <row r="353">
          <cell r="C353" t="str">
            <v/>
          </cell>
        </row>
        <row r="354">
          <cell r="C354" t="str">
            <v/>
          </cell>
        </row>
        <row r="355">
          <cell r="C355" t="str">
            <v/>
          </cell>
        </row>
        <row r="356">
          <cell r="C356" t="str">
            <v/>
          </cell>
        </row>
        <row r="357">
          <cell r="C357" t="str">
            <v/>
          </cell>
        </row>
        <row r="358">
          <cell r="C358" t="str">
            <v/>
          </cell>
        </row>
        <row r="359">
          <cell r="C359" t="str">
            <v/>
          </cell>
        </row>
        <row r="360">
          <cell r="C360" t="str">
            <v/>
          </cell>
        </row>
        <row r="361">
          <cell r="C361" t="str">
            <v/>
          </cell>
        </row>
        <row r="362">
          <cell r="C362" t="str">
            <v/>
          </cell>
        </row>
        <row r="363">
          <cell r="C363" t="str">
            <v/>
          </cell>
        </row>
        <row r="364">
          <cell r="C364" t="str">
            <v/>
          </cell>
        </row>
        <row r="365">
          <cell r="C365" t="str">
            <v/>
          </cell>
        </row>
        <row r="366">
          <cell r="C366" t="str">
            <v/>
          </cell>
        </row>
        <row r="367">
          <cell r="C367" t="str">
            <v/>
          </cell>
        </row>
        <row r="368">
          <cell r="C368" t="str">
            <v/>
          </cell>
        </row>
        <row r="369">
          <cell r="C369" t="str">
            <v/>
          </cell>
        </row>
        <row r="370">
          <cell r="C370" t="str">
            <v/>
          </cell>
        </row>
        <row r="371">
          <cell r="C371" t="str">
            <v/>
          </cell>
        </row>
        <row r="372">
          <cell r="C372" t="str">
            <v/>
          </cell>
        </row>
        <row r="373">
          <cell r="C373" t="str">
            <v/>
          </cell>
        </row>
        <row r="374">
          <cell r="C374" t="str">
            <v/>
          </cell>
        </row>
        <row r="375">
          <cell r="C375" t="str">
            <v/>
          </cell>
        </row>
        <row r="376">
          <cell r="C376" t="str">
            <v/>
          </cell>
        </row>
        <row r="377">
          <cell r="C377" t="str">
            <v/>
          </cell>
        </row>
        <row r="378">
          <cell r="C378" t="str">
            <v/>
          </cell>
        </row>
        <row r="379">
          <cell r="C379" t="str">
            <v/>
          </cell>
        </row>
        <row r="380">
          <cell r="C380" t="str">
            <v/>
          </cell>
        </row>
        <row r="381">
          <cell r="C381" t="str">
            <v/>
          </cell>
        </row>
        <row r="382">
          <cell r="C382" t="str">
            <v/>
          </cell>
        </row>
        <row r="383">
          <cell r="C383" t="str">
            <v/>
          </cell>
        </row>
        <row r="384">
          <cell r="C384" t="str">
            <v/>
          </cell>
        </row>
        <row r="385">
          <cell r="C385" t="str">
            <v/>
          </cell>
        </row>
        <row r="386">
          <cell r="C386" t="str">
            <v/>
          </cell>
        </row>
        <row r="387">
          <cell r="C387" t="str">
            <v/>
          </cell>
        </row>
        <row r="388">
          <cell r="C388" t="str">
            <v/>
          </cell>
        </row>
        <row r="389">
          <cell r="C389" t="str">
            <v/>
          </cell>
        </row>
        <row r="390">
          <cell r="C390" t="str">
            <v/>
          </cell>
        </row>
        <row r="391">
          <cell r="C391" t="str">
            <v/>
          </cell>
        </row>
        <row r="392">
          <cell r="C392" t="str">
            <v/>
          </cell>
        </row>
        <row r="393">
          <cell r="C393" t="str">
            <v/>
          </cell>
        </row>
        <row r="394">
          <cell r="C394" t="str">
            <v/>
          </cell>
        </row>
        <row r="395">
          <cell r="C395" t="str">
            <v/>
          </cell>
        </row>
        <row r="396">
          <cell r="C396" t="str">
            <v/>
          </cell>
        </row>
        <row r="397">
          <cell r="C397" t="str">
            <v/>
          </cell>
        </row>
        <row r="398">
          <cell r="C398" t="str">
            <v/>
          </cell>
        </row>
        <row r="399">
          <cell r="C399" t="str">
            <v/>
          </cell>
        </row>
        <row r="400">
          <cell r="C400" t="str">
            <v/>
          </cell>
        </row>
        <row r="401">
          <cell r="C401" t="str">
            <v/>
          </cell>
        </row>
        <row r="402">
          <cell r="C402" t="str">
            <v/>
          </cell>
        </row>
        <row r="403">
          <cell r="C403" t="str">
            <v/>
          </cell>
        </row>
        <row r="404">
          <cell r="C404" t="str">
            <v/>
          </cell>
        </row>
        <row r="405">
          <cell r="C405" t="str">
            <v/>
          </cell>
        </row>
        <row r="406">
          <cell r="C406" t="str">
            <v/>
          </cell>
        </row>
        <row r="407">
          <cell r="C407" t="str">
            <v/>
          </cell>
        </row>
        <row r="408">
          <cell r="C408" t="str">
            <v/>
          </cell>
        </row>
        <row r="409">
          <cell r="C409" t="str">
            <v/>
          </cell>
        </row>
        <row r="410">
          <cell r="C410" t="str">
            <v/>
          </cell>
        </row>
        <row r="411">
          <cell r="C411" t="str">
            <v/>
          </cell>
        </row>
        <row r="412">
          <cell r="C412" t="str">
            <v/>
          </cell>
        </row>
        <row r="413">
          <cell r="C413" t="str">
            <v/>
          </cell>
        </row>
        <row r="414">
          <cell r="C414" t="str">
            <v/>
          </cell>
        </row>
        <row r="415">
          <cell r="C415" t="str">
            <v/>
          </cell>
        </row>
        <row r="416">
          <cell r="C416" t="str">
            <v/>
          </cell>
        </row>
        <row r="417">
          <cell r="C417" t="str">
            <v/>
          </cell>
        </row>
        <row r="418">
          <cell r="C418" t="str">
            <v/>
          </cell>
        </row>
        <row r="419">
          <cell r="C419" t="str">
            <v/>
          </cell>
        </row>
        <row r="420">
          <cell r="C420" t="str">
            <v/>
          </cell>
        </row>
        <row r="421">
          <cell r="C421" t="str">
            <v/>
          </cell>
        </row>
        <row r="422">
          <cell r="C422" t="str">
            <v/>
          </cell>
        </row>
        <row r="423">
          <cell r="C423" t="str">
            <v/>
          </cell>
        </row>
        <row r="424">
          <cell r="C424" t="str">
            <v/>
          </cell>
        </row>
        <row r="425">
          <cell r="C425" t="str">
            <v/>
          </cell>
        </row>
        <row r="426">
          <cell r="C426" t="str">
            <v/>
          </cell>
        </row>
        <row r="427">
          <cell r="C427" t="str">
            <v/>
          </cell>
        </row>
        <row r="428">
          <cell r="C428" t="str">
            <v/>
          </cell>
        </row>
        <row r="429">
          <cell r="C429" t="str">
            <v/>
          </cell>
        </row>
        <row r="430">
          <cell r="C430" t="str">
            <v/>
          </cell>
        </row>
        <row r="431">
          <cell r="C431" t="str">
            <v/>
          </cell>
        </row>
        <row r="432">
          <cell r="C432" t="str">
            <v/>
          </cell>
        </row>
        <row r="433">
          <cell r="C433" t="str">
            <v/>
          </cell>
        </row>
        <row r="434">
          <cell r="C434" t="str">
            <v/>
          </cell>
        </row>
        <row r="435">
          <cell r="C435" t="str">
            <v/>
          </cell>
        </row>
        <row r="436">
          <cell r="C436" t="str">
            <v/>
          </cell>
        </row>
        <row r="437">
          <cell r="C437" t="str">
            <v/>
          </cell>
        </row>
        <row r="438">
          <cell r="C438" t="str">
            <v/>
          </cell>
        </row>
        <row r="439">
          <cell r="C439" t="str">
            <v/>
          </cell>
        </row>
        <row r="440">
          <cell r="C440" t="str">
            <v/>
          </cell>
        </row>
        <row r="441">
          <cell r="C441" t="str">
            <v/>
          </cell>
        </row>
        <row r="442">
          <cell r="C442" t="str">
            <v/>
          </cell>
        </row>
        <row r="443">
          <cell r="C443" t="str">
            <v/>
          </cell>
        </row>
        <row r="444">
          <cell r="C444" t="str">
            <v/>
          </cell>
        </row>
        <row r="445">
          <cell r="C445" t="str">
            <v/>
          </cell>
        </row>
        <row r="446">
          <cell r="C446" t="str">
            <v/>
          </cell>
        </row>
        <row r="447">
          <cell r="C447" t="str">
            <v/>
          </cell>
        </row>
        <row r="448">
          <cell r="C448" t="str">
            <v/>
          </cell>
        </row>
        <row r="449">
          <cell r="C449" t="str">
            <v/>
          </cell>
        </row>
        <row r="450">
          <cell r="C450" t="str">
            <v/>
          </cell>
        </row>
        <row r="451">
          <cell r="C451" t="str">
            <v/>
          </cell>
        </row>
        <row r="452">
          <cell r="C452" t="str">
            <v/>
          </cell>
        </row>
        <row r="453">
          <cell r="C453" t="str">
            <v/>
          </cell>
        </row>
        <row r="454">
          <cell r="C454" t="str">
            <v/>
          </cell>
        </row>
        <row r="455">
          <cell r="C455" t="str">
            <v/>
          </cell>
        </row>
        <row r="456">
          <cell r="C456" t="str">
            <v/>
          </cell>
        </row>
        <row r="457">
          <cell r="C457" t="str">
            <v/>
          </cell>
        </row>
        <row r="458">
          <cell r="C458" t="str">
            <v/>
          </cell>
        </row>
        <row r="459">
          <cell r="C459" t="str">
            <v/>
          </cell>
        </row>
        <row r="460">
          <cell r="C460" t="str">
            <v/>
          </cell>
        </row>
        <row r="461">
          <cell r="C461" t="str">
            <v/>
          </cell>
        </row>
        <row r="462">
          <cell r="C462" t="str">
            <v/>
          </cell>
        </row>
        <row r="463">
          <cell r="C463" t="str">
            <v/>
          </cell>
        </row>
        <row r="464">
          <cell r="C464" t="str">
            <v/>
          </cell>
        </row>
        <row r="465">
          <cell r="C465" t="str">
            <v/>
          </cell>
        </row>
        <row r="466">
          <cell r="C466" t="str">
            <v/>
          </cell>
        </row>
        <row r="467">
          <cell r="C467" t="str">
            <v/>
          </cell>
        </row>
        <row r="468">
          <cell r="C468" t="str">
            <v/>
          </cell>
        </row>
        <row r="469">
          <cell r="C469" t="str">
            <v/>
          </cell>
        </row>
        <row r="470">
          <cell r="C470" t="str">
            <v/>
          </cell>
        </row>
        <row r="471">
          <cell r="C471" t="str">
            <v/>
          </cell>
        </row>
        <row r="472">
          <cell r="C472" t="str">
            <v/>
          </cell>
        </row>
        <row r="473">
          <cell r="C473" t="str">
            <v/>
          </cell>
        </row>
        <row r="474">
          <cell r="C474" t="str">
            <v/>
          </cell>
        </row>
        <row r="475">
          <cell r="C475" t="str">
            <v/>
          </cell>
        </row>
        <row r="476">
          <cell r="C476" t="str">
            <v/>
          </cell>
        </row>
        <row r="477">
          <cell r="C477" t="str">
            <v/>
          </cell>
        </row>
        <row r="478">
          <cell r="C478" t="str">
            <v/>
          </cell>
        </row>
        <row r="479">
          <cell r="C479" t="str">
            <v/>
          </cell>
        </row>
        <row r="480">
          <cell r="C480" t="str">
            <v/>
          </cell>
        </row>
        <row r="481">
          <cell r="C481" t="str">
            <v/>
          </cell>
        </row>
        <row r="482">
          <cell r="C482" t="str">
            <v/>
          </cell>
        </row>
        <row r="483">
          <cell r="C483" t="str">
            <v/>
          </cell>
        </row>
        <row r="484">
          <cell r="C484" t="str">
            <v/>
          </cell>
        </row>
        <row r="485">
          <cell r="C485" t="str">
            <v/>
          </cell>
        </row>
        <row r="486">
          <cell r="C486" t="str">
            <v/>
          </cell>
        </row>
        <row r="487">
          <cell r="C487" t="str">
            <v/>
          </cell>
        </row>
        <row r="488">
          <cell r="C488" t="str">
            <v/>
          </cell>
        </row>
        <row r="489">
          <cell r="C489" t="str">
            <v/>
          </cell>
        </row>
        <row r="490">
          <cell r="C490" t="str">
            <v/>
          </cell>
        </row>
        <row r="491">
          <cell r="C491" t="str">
            <v/>
          </cell>
        </row>
        <row r="492">
          <cell r="C492" t="str">
            <v/>
          </cell>
        </row>
        <row r="493">
          <cell r="C493" t="str">
            <v/>
          </cell>
        </row>
        <row r="494">
          <cell r="C494" t="str">
            <v/>
          </cell>
        </row>
        <row r="495">
          <cell r="C495" t="str">
            <v/>
          </cell>
        </row>
        <row r="496">
          <cell r="C496" t="str">
            <v/>
          </cell>
        </row>
        <row r="497">
          <cell r="C497" t="str">
            <v/>
          </cell>
        </row>
        <row r="498">
          <cell r="C498" t="str">
            <v/>
          </cell>
        </row>
        <row r="499">
          <cell r="C499" t="str">
            <v/>
          </cell>
        </row>
        <row r="500">
          <cell r="C500" t="str">
            <v/>
          </cell>
        </row>
        <row r="501">
          <cell r="C501" t="str">
            <v/>
          </cell>
        </row>
        <row r="502">
          <cell r="C502" t="str">
            <v/>
          </cell>
        </row>
        <row r="503">
          <cell r="C503" t="str">
            <v/>
          </cell>
        </row>
        <row r="504">
          <cell r="C504" t="str">
            <v/>
          </cell>
        </row>
        <row r="505">
          <cell r="C505" t="str">
            <v/>
          </cell>
        </row>
        <row r="506">
          <cell r="C506" t="str">
            <v/>
          </cell>
        </row>
        <row r="507">
          <cell r="C507" t="str">
            <v/>
          </cell>
        </row>
        <row r="508">
          <cell r="C508" t="str">
            <v/>
          </cell>
        </row>
        <row r="509">
          <cell r="C509" t="str">
            <v/>
          </cell>
        </row>
        <row r="510">
          <cell r="C510" t="str">
            <v/>
          </cell>
        </row>
        <row r="511">
          <cell r="C511" t="str">
            <v/>
          </cell>
        </row>
        <row r="512">
          <cell r="C512" t="str">
            <v/>
          </cell>
        </row>
        <row r="513">
          <cell r="C513" t="str">
            <v/>
          </cell>
        </row>
        <row r="514">
          <cell r="C514" t="str">
            <v/>
          </cell>
        </row>
        <row r="515">
          <cell r="C515" t="str">
            <v/>
          </cell>
        </row>
        <row r="516">
          <cell r="C516" t="str">
            <v/>
          </cell>
        </row>
        <row r="517">
          <cell r="C517" t="str">
            <v/>
          </cell>
        </row>
        <row r="518">
          <cell r="C518" t="str">
            <v/>
          </cell>
        </row>
        <row r="519">
          <cell r="C519" t="str">
            <v/>
          </cell>
        </row>
        <row r="520">
          <cell r="C520" t="str">
            <v/>
          </cell>
        </row>
        <row r="521">
          <cell r="C521" t="str">
            <v/>
          </cell>
        </row>
        <row r="522">
          <cell r="C522" t="str">
            <v/>
          </cell>
        </row>
        <row r="523">
          <cell r="C523" t="str">
            <v/>
          </cell>
        </row>
        <row r="524">
          <cell r="C524" t="str">
            <v/>
          </cell>
        </row>
        <row r="525">
          <cell r="C525" t="str">
            <v/>
          </cell>
        </row>
        <row r="526">
          <cell r="C526" t="str">
            <v/>
          </cell>
        </row>
        <row r="527">
          <cell r="C527" t="str">
            <v/>
          </cell>
        </row>
        <row r="528">
          <cell r="C528" t="str">
            <v/>
          </cell>
        </row>
        <row r="529">
          <cell r="C529" t="str">
            <v/>
          </cell>
        </row>
        <row r="530">
          <cell r="C530" t="str">
            <v/>
          </cell>
        </row>
        <row r="531">
          <cell r="C531" t="str">
            <v/>
          </cell>
        </row>
        <row r="532">
          <cell r="C532" t="str">
            <v/>
          </cell>
        </row>
        <row r="533">
          <cell r="C533" t="str">
            <v/>
          </cell>
        </row>
        <row r="534">
          <cell r="C534" t="str">
            <v/>
          </cell>
        </row>
        <row r="535">
          <cell r="C535" t="str">
            <v/>
          </cell>
        </row>
        <row r="536">
          <cell r="C536" t="str">
            <v/>
          </cell>
        </row>
        <row r="537">
          <cell r="C537" t="str">
            <v/>
          </cell>
        </row>
        <row r="538">
          <cell r="C538" t="str">
            <v/>
          </cell>
        </row>
        <row r="539">
          <cell r="C539" t="str">
            <v/>
          </cell>
        </row>
        <row r="540">
          <cell r="C540" t="str">
            <v/>
          </cell>
        </row>
        <row r="541">
          <cell r="C541" t="str">
            <v/>
          </cell>
        </row>
        <row r="542">
          <cell r="C542" t="str">
            <v/>
          </cell>
        </row>
        <row r="543">
          <cell r="C543" t="str">
            <v/>
          </cell>
        </row>
        <row r="544">
          <cell r="C544" t="str">
            <v/>
          </cell>
        </row>
        <row r="545">
          <cell r="C545" t="str">
            <v/>
          </cell>
        </row>
        <row r="546">
          <cell r="C546" t="str">
            <v/>
          </cell>
        </row>
        <row r="547">
          <cell r="C547" t="str">
            <v/>
          </cell>
        </row>
        <row r="548">
          <cell r="C548" t="str">
            <v/>
          </cell>
        </row>
        <row r="549">
          <cell r="C549" t="str">
            <v/>
          </cell>
        </row>
        <row r="550">
          <cell r="C550" t="str">
            <v/>
          </cell>
        </row>
        <row r="551">
          <cell r="C551" t="str">
            <v/>
          </cell>
        </row>
        <row r="552">
          <cell r="C552" t="str">
            <v/>
          </cell>
        </row>
        <row r="553">
          <cell r="C553" t="str">
            <v/>
          </cell>
        </row>
        <row r="554">
          <cell r="C554" t="str">
            <v/>
          </cell>
        </row>
        <row r="555">
          <cell r="C555" t="str">
            <v/>
          </cell>
        </row>
        <row r="556">
          <cell r="C556" t="str">
            <v/>
          </cell>
        </row>
        <row r="557">
          <cell r="C557" t="str">
            <v/>
          </cell>
        </row>
        <row r="558">
          <cell r="C558" t="str">
            <v/>
          </cell>
        </row>
        <row r="559">
          <cell r="C559" t="str">
            <v/>
          </cell>
        </row>
        <row r="560">
          <cell r="C560" t="str">
            <v/>
          </cell>
        </row>
        <row r="561">
          <cell r="C561" t="str">
            <v/>
          </cell>
        </row>
        <row r="562">
          <cell r="C562" t="str">
            <v/>
          </cell>
        </row>
        <row r="563">
          <cell r="C563" t="str">
            <v/>
          </cell>
        </row>
        <row r="564">
          <cell r="C564" t="str">
            <v/>
          </cell>
        </row>
        <row r="565">
          <cell r="C565" t="str">
            <v/>
          </cell>
        </row>
        <row r="566">
          <cell r="C566" t="str">
            <v/>
          </cell>
        </row>
        <row r="567">
          <cell r="C567" t="str">
            <v/>
          </cell>
        </row>
        <row r="568">
          <cell r="C568" t="str">
            <v/>
          </cell>
        </row>
        <row r="569">
          <cell r="C569" t="str">
            <v/>
          </cell>
        </row>
        <row r="570">
          <cell r="C570" t="str">
            <v/>
          </cell>
        </row>
        <row r="571">
          <cell r="C571" t="str">
            <v/>
          </cell>
        </row>
        <row r="572">
          <cell r="C572" t="str">
            <v/>
          </cell>
        </row>
        <row r="573">
          <cell r="C573" t="str">
            <v/>
          </cell>
        </row>
        <row r="574">
          <cell r="C574" t="str">
            <v/>
          </cell>
        </row>
        <row r="575">
          <cell r="C575" t="str">
            <v/>
          </cell>
        </row>
        <row r="576">
          <cell r="C576" t="str">
            <v/>
          </cell>
        </row>
        <row r="577">
          <cell r="C577" t="str">
            <v/>
          </cell>
        </row>
        <row r="578">
          <cell r="C578" t="str">
            <v/>
          </cell>
        </row>
        <row r="579">
          <cell r="C579" t="str">
            <v/>
          </cell>
        </row>
        <row r="580">
          <cell r="C580" t="str">
            <v/>
          </cell>
        </row>
        <row r="581">
          <cell r="C581" t="str">
            <v/>
          </cell>
        </row>
        <row r="582">
          <cell r="C582" t="str">
            <v/>
          </cell>
        </row>
        <row r="583">
          <cell r="C583" t="str">
            <v/>
          </cell>
        </row>
        <row r="584">
          <cell r="C584" t="str">
            <v/>
          </cell>
        </row>
        <row r="585">
          <cell r="C585" t="str">
            <v/>
          </cell>
        </row>
        <row r="586">
          <cell r="C586" t="str">
            <v/>
          </cell>
        </row>
        <row r="587">
          <cell r="C587" t="str">
            <v/>
          </cell>
        </row>
        <row r="588">
          <cell r="C588" t="str">
            <v/>
          </cell>
        </row>
        <row r="589">
          <cell r="C589" t="str">
            <v/>
          </cell>
        </row>
        <row r="590">
          <cell r="C590" t="str">
            <v/>
          </cell>
        </row>
        <row r="591">
          <cell r="C591" t="str">
            <v/>
          </cell>
        </row>
        <row r="592">
          <cell r="C592" t="str">
            <v/>
          </cell>
        </row>
        <row r="593">
          <cell r="C593" t="str">
            <v/>
          </cell>
        </row>
        <row r="594">
          <cell r="C594" t="str">
            <v/>
          </cell>
        </row>
        <row r="595">
          <cell r="C595" t="str">
            <v/>
          </cell>
        </row>
        <row r="596">
          <cell r="C596" t="str">
            <v/>
          </cell>
        </row>
        <row r="597">
          <cell r="C597" t="str">
            <v/>
          </cell>
        </row>
        <row r="598">
          <cell r="C598" t="str">
            <v/>
          </cell>
        </row>
        <row r="599">
          <cell r="C599" t="str">
            <v/>
          </cell>
        </row>
        <row r="600">
          <cell r="C600" t="str">
            <v/>
          </cell>
        </row>
        <row r="601">
          <cell r="C601" t="str">
            <v/>
          </cell>
        </row>
        <row r="602">
          <cell r="C602" t="str">
            <v/>
          </cell>
        </row>
        <row r="603">
          <cell r="C603" t="str">
            <v/>
          </cell>
        </row>
        <row r="604">
          <cell r="C604" t="str">
            <v/>
          </cell>
        </row>
        <row r="605">
          <cell r="C605" t="str">
            <v/>
          </cell>
        </row>
        <row r="606">
          <cell r="C606" t="str">
            <v/>
          </cell>
        </row>
        <row r="607">
          <cell r="C607" t="str">
            <v/>
          </cell>
        </row>
        <row r="608">
          <cell r="C608" t="str">
            <v/>
          </cell>
        </row>
        <row r="609">
          <cell r="C609" t="str">
            <v/>
          </cell>
        </row>
        <row r="610">
          <cell r="C610" t="str">
            <v/>
          </cell>
        </row>
        <row r="611">
          <cell r="C611" t="str">
            <v/>
          </cell>
        </row>
        <row r="612">
          <cell r="C612" t="str">
            <v/>
          </cell>
        </row>
        <row r="613">
          <cell r="C613" t="str">
            <v/>
          </cell>
        </row>
        <row r="614">
          <cell r="C614" t="str">
            <v/>
          </cell>
        </row>
        <row r="615">
          <cell r="C615" t="str">
            <v/>
          </cell>
        </row>
        <row r="616">
          <cell r="C616" t="str">
            <v/>
          </cell>
        </row>
        <row r="617">
          <cell r="C617" t="str">
            <v/>
          </cell>
        </row>
        <row r="618">
          <cell r="C618" t="str">
            <v/>
          </cell>
        </row>
        <row r="619">
          <cell r="C619" t="str">
            <v/>
          </cell>
        </row>
        <row r="620">
          <cell r="C620" t="str">
            <v/>
          </cell>
        </row>
        <row r="621">
          <cell r="C621" t="str">
            <v/>
          </cell>
        </row>
        <row r="622">
          <cell r="C622" t="str">
            <v/>
          </cell>
        </row>
        <row r="623">
          <cell r="C623" t="str">
            <v/>
          </cell>
        </row>
        <row r="624">
          <cell r="C624" t="str">
            <v/>
          </cell>
        </row>
        <row r="625">
          <cell r="C625" t="str">
            <v/>
          </cell>
        </row>
        <row r="626">
          <cell r="C626" t="str">
            <v/>
          </cell>
        </row>
        <row r="627">
          <cell r="C627" t="str">
            <v/>
          </cell>
        </row>
        <row r="628">
          <cell r="C628" t="str">
            <v/>
          </cell>
        </row>
        <row r="629">
          <cell r="C629" t="str">
            <v/>
          </cell>
        </row>
        <row r="630">
          <cell r="C630" t="str">
            <v/>
          </cell>
        </row>
        <row r="631">
          <cell r="C631" t="str">
            <v/>
          </cell>
        </row>
        <row r="632">
          <cell r="C632" t="str">
            <v/>
          </cell>
        </row>
        <row r="633">
          <cell r="C633" t="str">
            <v/>
          </cell>
        </row>
        <row r="634">
          <cell r="C634" t="str">
            <v/>
          </cell>
        </row>
        <row r="635">
          <cell r="C635" t="str">
            <v/>
          </cell>
        </row>
        <row r="636">
          <cell r="C636" t="str">
            <v/>
          </cell>
        </row>
        <row r="637">
          <cell r="C637" t="str">
            <v/>
          </cell>
        </row>
        <row r="638">
          <cell r="C638" t="str">
            <v/>
          </cell>
        </row>
        <row r="639">
          <cell r="C639" t="str">
            <v/>
          </cell>
        </row>
        <row r="640">
          <cell r="C640" t="str">
            <v/>
          </cell>
        </row>
        <row r="641">
          <cell r="C641" t="str">
            <v/>
          </cell>
        </row>
        <row r="642">
          <cell r="C642" t="str">
            <v/>
          </cell>
        </row>
        <row r="643">
          <cell r="C643" t="str">
            <v/>
          </cell>
        </row>
        <row r="644">
          <cell r="C644" t="str">
            <v/>
          </cell>
        </row>
        <row r="645">
          <cell r="C645" t="str">
            <v/>
          </cell>
        </row>
        <row r="646">
          <cell r="C646" t="str">
            <v/>
          </cell>
        </row>
        <row r="647">
          <cell r="C647" t="str">
            <v/>
          </cell>
        </row>
        <row r="648">
          <cell r="C648" t="str">
            <v/>
          </cell>
        </row>
        <row r="649">
          <cell r="C649" t="str">
            <v/>
          </cell>
        </row>
        <row r="650">
          <cell r="C650" t="str">
            <v/>
          </cell>
        </row>
        <row r="651">
          <cell r="C651" t="str">
            <v/>
          </cell>
        </row>
        <row r="652">
          <cell r="C652" t="str">
            <v/>
          </cell>
        </row>
        <row r="653">
          <cell r="C653" t="str">
            <v/>
          </cell>
        </row>
        <row r="654">
          <cell r="C654" t="str">
            <v/>
          </cell>
        </row>
        <row r="655">
          <cell r="C655" t="str">
            <v/>
          </cell>
        </row>
        <row r="656">
          <cell r="C656" t="str">
            <v/>
          </cell>
        </row>
        <row r="657">
          <cell r="C657" t="str">
            <v/>
          </cell>
        </row>
        <row r="658">
          <cell r="C658" t="str">
            <v/>
          </cell>
        </row>
        <row r="659">
          <cell r="C659" t="str">
            <v/>
          </cell>
        </row>
        <row r="660">
          <cell r="C660" t="str">
            <v/>
          </cell>
        </row>
        <row r="661">
          <cell r="C661" t="str">
            <v/>
          </cell>
        </row>
        <row r="662">
          <cell r="C662" t="str">
            <v/>
          </cell>
        </row>
        <row r="663">
          <cell r="C663" t="str">
            <v/>
          </cell>
        </row>
        <row r="664">
          <cell r="C664" t="str">
            <v/>
          </cell>
        </row>
        <row r="665">
          <cell r="C665" t="str">
            <v/>
          </cell>
        </row>
        <row r="666">
          <cell r="C666" t="str">
            <v/>
          </cell>
        </row>
        <row r="667">
          <cell r="C667" t="str">
            <v/>
          </cell>
        </row>
        <row r="668">
          <cell r="C668" t="str">
            <v/>
          </cell>
        </row>
        <row r="669">
          <cell r="C669" t="str">
            <v/>
          </cell>
        </row>
        <row r="670">
          <cell r="C670" t="str">
            <v/>
          </cell>
        </row>
        <row r="671">
          <cell r="C671" t="str">
            <v/>
          </cell>
        </row>
        <row r="672">
          <cell r="C672" t="str">
            <v/>
          </cell>
        </row>
        <row r="673">
          <cell r="C673" t="str">
            <v/>
          </cell>
        </row>
        <row r="674">
          <cell r="C674" t="str">
            <v/>
          </cell>
        </row>
        <row r="675">
          <cell r="C675" t="str">
            <v/>
          </cell>
        </row>
        <row r="676">
          <cell r="C676" t="str">
            <v/>
          </cell>
        </row>
        <row r="677">
          <cell r="C677" t="str">
            <v/>
          </cell>
        </row>
        <row r="678">
          <cell r="C678" t="str">
            <v/>
          </cell>
        </row>
        <row r="679">
          <cell r="C679" t="str">
            <v/>
          </cell>
        </row>
        <row r="680">
          <cell r="C680" t="str">
            <v/>
          </cell>
        </row>
        <row r="681">
          <cell r="C681" t="str">
            <v/>
          </cell>
        </row>
        <row r="682">
          <cell r="C682" t="str">
            <v/>
          </cell>
        </row>
        <row r="683">
          <cell r="C683" t="str">
            <v/>
          </cell>
        </row>
        <row r="684">
          <cell r="C684" t="str">
            <v/>
          </cell>
        </row>
        <row r="685">
          <cell r="C685" t="str">
            <v/>
          </cell>
        </row>
        <row r="686">
          <cell r="C686" t="str">
            <v/>
          </cell>
        </row>
        <row r="687">
          <cell r="C687" t="str">
            <v/>
          </cell>
        </row>
        <row r="688">
          <cell r="C688" t="str">
            <v/>
          </cell>
        </row>
        <row r="689">
          <cell r="C689" t="str">
            <v/>
          </cell>
        </row>
        <row r="690">
          <cell r="C690" t="str">
            <v/>
          </cell>
        </row>
        <row r="691">
          <cell r="C691" t="str">
            <v/>
          </cell>
        </row>
        <row r="692">
          <cell r="C692" t="str">
            <v/>
          </cell>
        </row>
        <row r="693">
          <cell r="C693" t="str">
            <v/>
          </cell>
        </row>
        <row r="694">
          <cell r="C694" t="str">
            <v/>
          </cell>
        </row>
        <row r="695">
          <cell r="C695" t="str">
            <v/>
          </cell>
        </row>
        <row r="696">
          <cell r="C696" t="str">
            <v/>
          </cell>
        </row>
        <row r="697">
          <cell r="C697" t="str">
            <v/>
          </cell>
        </row>
        <row r="698">
          <cell r="C698" t="str">
            <v/>
          </cell>
        </row>
        <row r="699">
          <cell r="C699" t="str">
            <v/>
          </cell>
        </row>
        <row r="700">
          <cell r="C700" t="str">
            <v/>
          </cell>
        </row>
        <row r="701">
          <cell r="C701" t="str">
            <v/>
          </cell>
        </row>
        <row r="702">
          <cell r="C702" t="str">
            <v/>
          </cell>
        </row>
        <row r="703">
          <cell r="C703" t="str">
            <v/>
          </cell>
        </row>
        <row r="704">
          <cell r="C704" t="str">
            <v/>
          </cell>
        </row>
        <row r="705">
          <cell r="C705" t="str">
            <v/>
          </cell>
        </row>
        <row r="706">
          <cell r="C706" t="str">
            <v/>
          </cell>
        </row>
        <row r="707">
          <cell r="C707" t="str">
            <v/>
          </cell>
        </row>
        <row r="708">
          <cell r="C708" t="str">
            <v/>
          </cell>
        </row>
        <row r="709">
          <cell r="C709" t="str">
            <v/>
          </cell>
        </row>
        <row r="710">
          <cell r="C710" t="str">
            <v/>
          </cell>
        </row>
        <row r="711">
          <cell r="C711" t="str">
            <v/>
          </cell>
        </row>
        <row r="712">
          <cell r="C712" t="str">
            <v/>
          </cell>
        </row>
        <row r="713">
          <cell r="C713" t="str">
            <v/>
          </cell>
        </row>
        <row r="714">
          <cell r="C714" t="str">
            <v/>
          </cell>
        </row>
        <row r="715">
          <cell r="C715" t="str">
            <v/>
          </cell>
        </row>
        <row r="716">
          <cell r="C716" t="str">
            <v/>
          </cell>
        </row>
        <row r="717">
          <cell r="C717" t="str">
            <v/>
          </cell>
        </row>
        <row r="718">
          <cell r="C718" t="str">
            <v/>
          </cell>
        </row>
        <row r="719">
          <cell r="C719" t="str">
            <v/>
          </cell>
        </row>
        <row r="720">
          <cell r="C720" t="str">
            <v/>
          </cell>
        </row>
        <row r="721">
          <cell r="C721" t="str">
            <v/>
          </cell>
        </row>
        <row r="722">
          <cell r="C722" t="str">
            <v/>
          </cell>
        </row>
        <row r="723">
          <cell r="C723" t="str">
            <v/>
          </cell>
        </row>
        <row r="724">
          <cell r="C724" t="str">
            <v/>
          </cell>
        </row>
        <row r="725">
          <cell r="C725" t="str">
            <v/>
          </cell>
        </row>
        <row r="726">
          <cell r="C726" t="str">
            <v/>
          </cell>
        </row>
        <row r="727">
          <cell r="C727" t="str">
            <v/>
          </cell>
        </row>
        <row r="728">
          <cell r="C728" t="str">
            <v/>
          </cell>
        </row>
        <row r="729">
          <cell r="C729" t="str">
            <v/>
          </cell>
        </row>
        <row r="730">
          <cell r="C730" t="str">
            <v/>
          </cell>
        </row>
        <row r="731">
          <cell r="C731" t="str">
            <v/>
          </cell>
        </row>
        <row r="732">
          <cell r="C732" t="str">
            <v/>
          </cell>
        </row>
        <row r="733">
          <cell r="C733" t="str">
            <v/>
          </cell>
        </row>
        <row r="734">
          <cell r="C734" t="str">
            <v/>
          </cell>
        </row>
        <row r="735">
          <cell r="C735" t="str">
            <v/>
          </cell>
        </row>
        <row r="736">
          <cell r="C736" t="str">
            <v/>
          </cell>
        </row>
        <row r="737">
          <cell r="C737" t="str">
            <v/>
          </cell>
        </row>
        <row r="738">
          <cell r="C738" t="str">
            <v/>
          </cell>
        </row>
        <row r="739">
          <cell r="C739" t="str">
            <v/>
          </cell>
        </row>
        <row r="740">
          <cell r="C740" t="str">
            <v/>
          </cell>
        </row>
        <row r="741">
          <cell r="C741" t="str">
            <v/>
          </cell>
        </row>
        <row r="742">
          <cell r="C742" t="str">
            <v/>
          </cell>
        </row>
        <row r="743">
          <cell r="C743" t="str">
            <v/>
          </cell>
        </row>
        <row r="744">
          <cell r="C744" t="str">
            <v/>
          </cell>
        </row>
        <row r="745">
          <cell r="C745" t="str">
            <v/>
          </cell>
        </row>
        <row r="746">
          <cell r="C746" t="str">
            <v/>
          </cell>
        </row>
        <row r="747">
          <cell r="C747" t="str">
            <v/>
          </cell>
        </row>
        <row r="748">
          <cell r="C748" t="str">
            <v/>
          </cell>
        </row>
        <row r="749">
          <cell r="C749" t="str">
            <v/>
          </cell>
        </row>
        <row r="750">
          <cell r="C750" t="str">
            <v/>
          </cell>
        </row>
        <row r="751">
          <cell r="C751" t="str">
            <v/>
          </cell>
        </row>
        <row r="752">
          <cell r="C752" t="str">
            <v/>
          </cell>
        </row>
        <row r="753">
          <cell r="C753" t="str">
            <v/>
          </cell>
        </row>
        <row r="754">
          <cell r="C754" t="str">
            <v/>
          </cell>
        </row>
        <row r="755">
          <cell r="C755" t="str">
            <v/>
          </cell>
        </row>
        <row r="756">
          <cell r="C756" t="str">
            <v/>
          </cell>
        </row>
        <row r="757">
          <cell r="C757" t="str">
            <v/>
          </cell>
        </row>
        <row r="758">
          <cell r="C758" t="str">
            <v/>
          </cell>
        </row>
        <row r="759">
          <cell r="C759" t="str">
            <v/>
          </cell>
        </row>
        <row r="760">
          <cell r="C760" t="str">
            <v/>
          </cell>
        </row>
        <row r="761">
          <cell r="C761" t="str">
            <v/>
          </cell>
        </row>
        <row r="762">
          <cell r="C762" t="str">
            <v/>
          </cell>
        </row>
        <row r="763">
          <cell r="C763" t="str">
            <v/>
          </cell>
        </row>
        <row r="764">
          <cell r="C764" t="str">
            <v/>
          </cell>
        </row>
        <row r="765">
          <cell r="C765" t="str">
            <v/>
          </cell>
        </row>
        <row r="766">
          <cell r="C766" t="str">
            <v/>
          </cell>
        </row>
        <row r="767">
          <cell r="C767" t="str">
            <v/>
          </cell>
        </row>
        <row r="768">
          <cell r="C768" t="str">
            <v/>
          </cell>
        </row>
        <row r="769">
          <cell r="C769" t="str">
            <v/>
          </cell>
        </row>
        <row r="770">
          <cell r="C770" t="str">
            <v/>
          </cell>
        </row>
        <row r="771">
          <cell r="C771" t="str">
            <v/>
          </cell>
        </row>
        <row r="772">
          <cell r="C772" t="str">
            <v/>
          </cell>
        </row>
        <row r="773">
          <cell r="C773" t="str">
            <v/>
          </cell>
        </row>
        <row r="774">
          <cell r="C774" t="str">
            <v/>
          </cell>
        </row>
        <row r="775">
          <cell r="C775" t="str">
            <v/>
          </cell>
        </row>
        <row r="776">
          <cell r="C776" t="str">
            <v/>
          </cell>
        </row>
        <row r="777">
          <cell r="C777" t="str">
            <v/>
          </cell>
        </row>
        <row r="778">
          <cell r="C778" t="str">
            <v/>
          </cell>
        </row>
        <row r="779">
          <cell r="C779" t="str">
            <v/>
          </cell>
        </row>
        <row r="780">
          <cell r="C780" t="str">
            <v/>
          </cell>
        </row>
        <row r="781">
          <cell r="C781" t="str">
            <v/>
          </cell>
        </row>
        <row r="782">
          <cell r="C782" t="str">
            <v/>
          </cell>
        </row>
        <row r="783">
          <cell r="C783" t="str">
            <v/>
          </cell>
        </row>
        <row r="784">
          <cell r="C784" t="str">
            <v/>
          </cell>
        </row>
        <row r="785">
          <cell r="C785" t="str">
            <v/>
          </cell>
        </row>
        <row r="786">
          <cell r="C786" t="str">
            <v/>
          </cell>
        </row>
        <row r="787">
          <cell r="C787" t="str">
            <v/>
          </cell>
        </row>
        <row r="788">
          <cell r="C788" t="str">
            <v/>
          </cell>
        </row>
        <row r="789">
          <cell r="C789" t="str">
            <v/>
          </cell>
        </row>
        <row r="790">
          <cell r="C790" t="str">
            <v/>
          </cell>
        </row>
        <row r="791">
          <cell r="C791" t="str">
            <v/>
          </cell>
        </row>
        <row r="792">
          <cell r="C792" t="str">
            <v/>
          </cell>
        </row>
        <row r="793">
          <cell r="C793" t="str">
            <v/>
          </cell>
        </row>
        <row r="794">
          <cell r="C794" t="str">
            <v/>
          </cell>
        </row>
        <row r="795">
          <cell r="C795" t="str">
            <v/>
          </cell>
        </row>
        <row r="796">
          <cell r="C796" t="str">
            <v/>
          </cell>
        </row>
        <row r="797">
          <cell r="C797" t="str">
            <v/>
          </cell>
        </row>
        <row r="798">
          <cell r="C798" t="str">
            <v/>
          </cell>
        </row>
        <row r="799">
          <cell r="C799" t="str">
            <v/>
          </cell>
        </row>
        <row r="800">
          <cell r="C800" t="str">
            <v/>
          </cell>
        </row>
        <row r="801">
          <cell r="C801" t="str">
            <v/>
          </cell>
        </row>
        <row r="802">
          <cell r="C802" t="str">
            <v/>
          </cell>
        </row>
        <row r="803">
          <cell r="C803" t="str">
            <v/>
          </cell>
        </row>
        <row r="804">
          <cell r="C804" t="str">
            <v/>
          </cell>
        </row>
        <row r="805">
          <cell r="C805" t="str">
            <v/>
          </cell>
        </row>
        <row r="806">
          <cell r="C806" t="str">
            <v/>
          </cell>
        </row>
        <row r="807">
          <cell r="C807" t="str">
            <v/>
          </cell>
        </row>
        <row r="808">
          <cell r="C808" t="str">
            <v/>
          </cell>
        </row>
        <row r="809">
          <cell r="C809" t="str">
            <v/>
          </cell>
        </row>
        <row r="810">
          <cell r="C810" t="str">
            <v/>
          </cell>
        </row>
        <row r="811">
          <cell r="C811" t="str">
            <v/>
          </cell>
        </row>
        <row r="812">
          <cell r="C812" t="str">
            <v/>
          </cell>
        </row>
        <row r="813">
          <cell r="C813" t="str">
            <v/>
          </cell>
        </row>
        <row r="814">
          <cell r="C814" t="str">
            <v/>
          </cell>
        </row>
        <row r="815">
          <cell r="C815" t="str">
            <v/>
          </cell>
        </row>
        <row r="816">
          <cell r="C816" t="str">
            <v/>
          </cell>
        </row>
        <row r="817">
          <cell r="C817" t="str">
            <v/>
          </cell>
        </row>
        <row r="818">
          <cell r="C818" t="str">
            <v/>
          </cell>
        </row>
        <row r="819">
          <cell r="C819" t="str">
            <v/>
          </cell>
        </row>
        <row r="820">
          <cell r="C820" t="str">
            <v/>
          </cell>
        </row>
        <row r="821">
          <cell r="C821" t="str">
            <v/>
          </cell>
        </row>
        <row r="822">
          <cell r="C822" t="str">
            <v/>
          </cell>
        </row>
        <row r="823">
          <cell r="C823" t="str">
            <v/>
          </cell>
        </row>
        <row r="824">
          <cell r="C824" t="str">
            <v/>
          </cell>
        </row>
        <row r="825">
          <cell r="C825" t="str">
            <v/>
          </cell>
        </row>
        <row r="826">
          <cell r="C826" t="str">
            <v/>
          </cell>
        </row>
        <row r="827">
          <cell r="C827" t="str">
            <v/>
          </cell>
        </row>
        <row r="828">
          <cell r="C828" t="str">
            <v/>
          </cell>
        </row>
        <row r="829">
          <cell r="C829" t="str">
            <v/>
          </cell>
        </row>
        <row r="830">
          <cell r="C830" t="str">
            <v/>
          </cell>
        </row>
        <row r="831">
          <cell r="C831" t="str">
            <v/>
          </cell>
        </row>
        <row r="832">
          <cell r="C832" t="str">
            <v/>
          </cell>
        </row>
        <row r="833">
          <cell r="C833" t="str">
            <v/>
          </cell>
        </row>
        <row r="834">
          <cell r="C834" t="str">
            <v/>
          </cell>
        </row>
        <row r="835">
          <cell r="C835" t="str">
            <v/>
          </cell>
        </row>
        <row r="836">
          <cell r="C836" t="str">
            <v/>
          </cell>
        </row>
        <row r="837">
          <cell r="C837" t="str">
            <v/>
          </cell>
        </row>
        <row r="838">
          <cell r="C838" t="str">
            <v/>
          </cell>
        </row>
        <row r="839">
          <cell r="C839" t="str">
            <v/>
          </cell>
        </row>
        <row r="840">
          <cell r="C840" t="str">
            <v/>
          </cell>
        </row>
        <row r="841">
          <cell r="C841" t="str">
            <v/>
          </cell>
        </row>
        <row r="842">
          <cell r="C842" t="str">
            <v/>
          </cell>
        </row>
        <row r="843">
          <cell r="C843" t="str">
            <v/>
          </cell>
        </row>
        <row r="844">
          <cell r="C844" t="str">
            <v/>
          </cell>
        </row>
        <row r="845">
          <cell r="C845" t="str">
            <v/>
          </cell>
        </row>
        <row r="846">
          <cell r="C846" t="str">
            <v/>
          </cell>
        </row>
        <row r="847">
          <cell r="C847" t="str">
            <v/>
          </cell>
        </row>
        <row r="848">
          <cell r="C848" t="str">
            <v/>
          </cell>
        </row>
        <row r="849">
          <cell r="C849" t="str">
            <v/>
          </cell>
        </row>
        <row r="850">
          <cell r="C850" t="str">
            <v/>
          </cell>
        </row>
        <row r="851">
          <cell r="C851" t="str">
            <v/>
          </cell>
        </row>
        <row r="852">
          <cell r="C852" t="str">
            <v/>
          </cell>
        </row>
        <row r="853">
          <cell r="C853" t="str">
            <v/>
          </cell>
        </row>
        <row r="854">
          <cell r="C854" t="str">
            <v/>
          </cell>
        </row>
        <row r="855">
          <cell r="C855" t="str">
            <v/>
          </cell>
        </row>
        <row r="856">
          <cell r="C856" t="str">
            <v/>
          </cell>
        </row>
        <row r="857">
          <cell r="C857" t="str">
            <v/>
          </cell>
        </row>
        <row r="858">
          <cell r="C858" t="str">
            <v/>
          </cell>
        </row>
        <row r="859">
          <cell r="C859" t="str">
            <v/>
          </cell>
        </row>
        <row r="860">
          <cell r="C860" t="str">
            <v/>
          </cell>
        </row>
        <row r="861">
          <cell r="C861" t="str">
            <v/>
          </cell>
        </row>
        <row r="862">
          <cell r="C862" t="str">
            <v/>
          </cell>
        </row>
        <row r="863">
          <cell r="C863" t="str">
            <v/>
          </cell>
        </row>
        <row r="864">
          <cell r="C864" t="str">
            <v/>
          </cell>
        </row>
        <row r="865">
          <cell r="C865" t="str">
            <v/>
          </cell>
        </row>
        <row r="866">
          <cell r="C866" t="str">
            <v/>
          </cell>
        </row>
        <row r="867">
          <cell r="C867" t="str">
            <v/>
          </cell>
        </row>
        <row r="868">
          <cell r="C868" t="str">
            <v/>
          </cell>
        </row>
        <row r="869">
          <cell r="C869" t="str">
            <v/>
          </cell>
        </row>
        <row r="870">
          <cell r="C870" t="str">
            <v/>
          </cell>
        </row>
        <row r="871">
          <cell r="C871" t="str">
            <v/>
          </cell>
        </row>
        <row r="872">
          <cell r="C872" t="str">
            <v/>
          </cell>
        </row>
        <row r="873">
          <cell r="C873" t="str">
            <v/>
          </cell>
        </row>
        <row r="874">
          <cell r="C874" t="str">
            <v/>
          </cell>
        </row>
        <row r="875">
          <cell r="C875" t="str">
            <v/>
          </cell>
        </row>
        <row r="876">
          <cell r="C876" t="str">
            <v/>
          </cell>
        </row>
        <row r="877">
          <cell r="C877" t="str">
            <v/>
          </cell>
        </row>
        <row r="878">
          <cell r="C878" t="str">
            <v/>
          </cell>
        </row>
        <row r="879">
          <cell r="C879" t="str">
            <v/>
          </cell>
        </row>
        <row r="880">
          <cell r="C880" t="str">
            <v/>
          </cell>
        </row>
        <row r="881">
          <cell r="C881" t="str">
            <v/>
          </cell>
        </row>
        <row r="882">
          <cell r="C882" t="str">
            <v/>
          </cell>
        </row>
        <row r="883">
          <cell r="C883" t="str">
            <v/>
          </cell>
        </row>
        <row r="884">
          <cell r="C884" t="str">
            <v/>
          </cell>
        </row>
        <row r="885">
          <cell r="C885" t="str">
            <v/>
          </cell>
        </row>
        <row r="886">
          <cell r="C886" t="str">
            <v/>
          </cell>
        </row>
        <row r="887">
          <cell r="C887" t="str">
            <v/>
          </cell>
        </row>
        <row r="888">
          <cell r="C888" t="str">
            <v/>
          </cell>
        </row>
        <row r="889">
          <cell r="C889" t="str">
            <v/>
          </cell>
        </row>
        <row r="890">
          <cell r="C890" t="str">
            <v/>
          </cell>
        </row>
        <row r="891">
          <cell r="C891" t="str">
            <v/>
          </cell>
        </row>
        <row r="892">
          <cell r="C892" t="str">
            <v/>
          </cell>
        </row>
        <row r="893">
          <cell r="C893" t="str">
            <v/>
          </cell>
        </row>
        <row r="894">
          <cell r="C894" t="str">
            <v/>
          </cell>
        </row>
        <row r="895">
          <cell r="C895" t="str">
            <v/>
          </cell>
        </row>
        <row r="896">
          <cell r="C896" t="str">
            <v/>
          </cell>
        </row>
        <row r="897">
          <cell r="C897" t="str">
            <v/>
          </cell>
        </row>
        <row r="898">
          <cell r="C898" t="str">
            <v/>
          </cell>
        </row>
        <row r="899">
          <cell r="C899" t="str">
            <v/>
          </cell>
        </row>
        <row r="900">
          <cell r="C900" t="str">
            <v/>
          </cell>
        </row>
        <row r="901">
          <cell r="C901" t="str">
            <v/>
          </cell>
        </row>
        <row r="902">
          <cell r="C902" t="str">
            <v/>
          </cell>
        </row>
        <row r="903">
          <cell r="C903" t="str">
            <v/>
          </cell>
        </row>
        <row r="904">
          <cell r="C904" t="str">
            <v/>
          </cell>
        </row>
        <row r="905">
          <cell r="C905" t="str">
            <v/>
          </cell>
        </row>
        <row r="906">
          <cell r="C906" t="str">
            <v/>
          </cell>
        </row>
        <row r="907">
          <cell r="C907" t="str">
            <v/>
          </cell>
        </row>
        <row r="908">
          <cell r="C908" t="str">
            <v/>
          </cell>
        </row>
        <row r="909">
          <cell r="C909" t="str">
            <v/>
          </cell>
        </row>
        <row r="910">
          <cell r="C910" t="str">
            <v/>
          </cell>
        </row>
        <row r="911">
          <cell r="C911" t="str">
            <v/>
          </cell>
        </row>
        <row r="912">
          <cell r="C912" t="str">
            <v/>
          </cell>
        </row>
        <row r="913">
          <cell r="C913" t="str">
            <v/>
          </cell>
        </row>
        <row r="914">
          <cell r="C914" t="str">
            <v/>
          </cell>
        </row>
        <row r="915">
          <cell r="C915" t="str">
            <v/>
          </cell>
        </row>
        <row r="916">
          <cell r="C916" t="str">
            <v/>
          </cell>
        </row>
        <row r="917">
          <cell r="C917" t="str">
            <v/>
          </cell>
        </row>
        <row r="918">
          <cell r="C918" t="str">
            <v/>
          </cell>
        </row>
        <row r="919">
          <cell r="C919" t="str">
            <v/>
          </cell>
        </row>
        <row r="920">
          <cell r="C920" t="str">
            <v/>
          </cell>
        </row>
        <row r="921">
          <cell r="C921" t="str">
            <v/>
          </cell>
        </row>
        <row r="922">
          <cell r="C922" t="str">
            <v/>
          </cell>
        </row>
        <row r="923">
          <cell r="C923" t="str">
            <v/>
          </cell>
        </row>
        <row r="924">
          <cell r="C924" t="str">
            <v/>
          </cell>
        </row>
        <row r="925">
          <cell r="C925" t="str">
            <v/>
          </cell>
        </row>
        <row r="926">
          <cell r="C926" t="str">
            <v/>
          </cell>
        </row>
        <row r="927">
          <cell r="C927" t="str">
            <v/>
          </cell>
        </row>
        <row r="928">
          <cell r="C928" t="str">
            <v/>
          </cell>
        </row>
        <row r="929">
          <cell r="C929" t="str">
            <v/>
          </cell>
        </row>
        <row r="930">
          <cell r="C930" t="str">
            <v/>
          </cell>
        </row>
        <row r="931">
          <cell r="C931" t="str">
            <v/>
          </cell>
        </row>
        <row r="932">
          <cell r="C932" t="str">
            <v/>
          </cell>
        </row>
        <row r="933">
          <cell r="C933" t="str">
            <v/>
          </cell>
        </row>
        <row r="934">
          <cell r="C934" t="str">
            <v/>
          </cell>
        </row>
        <row r="935">
          <cell r="C935" t="str">
            <v/>
          </cell>
        </row>
        <row r="936">
          <cell r="C936" t="str">
            <v/>
          </cell>
        </row>
        <row r="937">
          <cell r="C937" t="str">
            <v/>
          </cell>
        </row>
        <row r="938">
          <cell r="C938" t="str">
            <v/>
          </cell>
        </row>
        <row r="939">
          <cell r="C939" t="str">
            <v/>
          </cell>
        </row>
        <row r="940">
          <cell r="C940" t="str">
            <v/>
          </cell>
        </row>
        <row r="941">
          <cell r="C941" t="str">
            <v/>
          </cell>
        </row>
        <row r="942">
          <cell r="C942" t="str">
            <v/>
          </cell>
        </row>
        <row r="943">
          <cell r="C943" t="str">
            <v/>
          </cell>
        </row>
        <row r="944">
          <cell r="C944" t="str">
            <v/>
          </cell>
        </row>
        <row r="945">
          <cell r="C945" t="str">
            <v/>
          </cell>
        </row>
        <row r="946">
          <cell r="C946" t="str">
            <v/>
          </cell>
        </row>
        <row r="947">
          <cell r="C947" t="str">
            <v/>
          </cell>
        </row>
        <row r="948">
          <cell r="C948" t="str">
            <v/>
          </cell>
        </row>
        <row r="949">
          <cell r="C949" t="str">
            <v/>
          </cell>
        </row>
        <row r="950">
          <cell r="C950" t="str">
            <v/>
          </cell>
        </row>
        <row r="951">
          <cell r="C951" t="str">
            <v/>
          </cell>
        </row>
        <row r="952">
          <cell r="C952" t="str">
            <v/>
          </cell>
        </row>
        <row r="953">
          <cell r="C953" t="str">
            <v/>
          </cell>
        </row>
        <row r="954">
          <cell r="C954" t="str">
            <v/>
          </cell>
        </row>
        <row r="955">
          <cell r="C955" t="str">
            <v/>
          </cell>
        </row>
        <row r="956">
          <cell r="C956" t="str">
            <v/>
          </cell>
        </row>
        <row r="957">
          <cell r="C957" t="str">
            <v/>
          </cell>
        </row>
        <row r="958">
          <cell r="C958" t="str">
            <v/>
          </cell>
        </row>
        <row r="959">
          <cell r="C959" t="str">
            <v/>
          </cell>
        </row>
        <row r="960">
          <cell r="C960" t="str">
            <v/>
          </cell>
        </row>
        <row r="961">
          <cell r="C961" t="str">
            <v/>
          </cell>
        </row>
        <row r="962">
          <cell r="C962" t="str">
            <v/>
          </cell>
        </row>
        <row r="963">
          <cell r="C963" t="str">
            <v/>
          </cell>
        </row>
        <row r="964">
          <cell r="C964" t="str">
            <v/>
          </cell>
        </row>
        <row r="965">
          <cell r="C965" t="str">
            <v/>
          </cell>
        </row>
        <row r="966">
          <cell r="C966" t="str">
            <v/>
          </cell>
        </row>
        <row r="967">
          <cell r="C967" t="str">
            <v/>
          </cell>
        </row>
        <row r="968">
          <cell r="C968" t="str">
            <v/>
          </cell>
        </row>
        <row r="969">
          <cell r="C969" t="str">
            <v/>
          </cell>
        </row>
        <row r="970">
          <cell r="C970" t="str">
            <v/>
          </cell>
        </row>
        <row r="971">
          <cell r="C971" t="str">
            <v/>
          </cell>
        </row>
        <row r="972">
          <cell r="C972" t="str">
            <v/>
          </cell>
        </row>
        <row r="973">
          <cell r="C973" t="str">
            <v/>
          </cell>
        </row>
        <row r="974">
          <cell r="C974" t="str">
            <v/>
          </cell>
        </row>
        <row r="975">
          <cell r="C975" t="str">
            <v/>
          </cell>
        </row>
        <row r="976">
          <cell r="C976" t="str">
            <v/>
          </cell>
        </row>
        <row r="977">
          <cell r="C977" t="str">
            <v/>
          </cell>
        </row>
        <row r="978">
          <cell r="C978" t="str">
            <v/>
          </cell>
        </row>
        <row r="979">
          <cell r="C979" t="str">
            <v/>
          </cell>
        </row>
        <row r="980">
          <cell r="C980" t="str">
            <v/>
          </cell>
        </row>
        <row r="981">
          <cell r="C981" t="str">
            <v/>
          </cell>
        </row>
        <row r="982">
          <cell r="C982" t="str">
            <v/>
          </cell>
        </row>
        <row r="983">
          <cell r="C983" t="str">
            <v/>
          </cell>
        </row>
        <row r="984">
          <cell r="C984" t="str">
            <v/>
          </cell>
        </row>
        <row r="985">
          <cell r="C985" t="str">
            <v/>
          </cell>
        </row>
        <row r="986">
          <cell r="C986" t="str">
            <v/>
          </cell>
        </row>
        <row r="987">
          <cell r="C987" t="str">
            <v/>
          </cell>
        </row>
        <row r="988">
          <cell r="C988" t="str">
            <v/>
          </cell>
        </row>
        <row r="989">
          <cell r="C989" t="str">
            <v/>
          </cell>
        </row>
        <row r="990">
          <cell r="C990" t="str">
            <v/>
          </cell>
        </row>
        <row r="991">
          <cell r="C991" t="str">
            <v/>
          </cell>
        </row>
        <row r="992">
          <cell r="C992" t="str">
            <v/>
          </cell>
        </row>
        <row r="993">
          <cell r="C993" t="str">
            <v/>
          </cell>
        </row>
        <row r="994">
          <cell r="C994" t="str">
            <v/>
          </cell>
        </row>
        <row r="995">
          <cell r="C995" t="str">
            <v/>
          </cell>
        </row>
        <row r="996">
          <cell r="C996" t="str">
            <v/>
          </cell>
        </row>
        <row r="997">
          <cell r="C997" t="str">
            <v/>
          </cell>
        </row>
        <row r="998">
          <cell r="C998" t="str">
            <v/>
          </cell>
        </row>
        <row r="999">
          <cell r="C999" t="str">
            <v/>
          </cell>
        </row>
        <row r="1000">
          <cell r="C1000" t="str">
            <v/>
          </cell>
        </row>
        <row r="1001">
          <cell r="C1001" t="str">
            <v/>
          </cell>
        </row>
        <row r="1002">
          <cell r="C1002" t="str">
            <v/>
          </cell>
        </row>
        <row r="1003">
          <cell r="C1003" t="str">
            <v/>
          </cell>
        </row>
        <row r="1004">
          <cell r="C1004" t="str">
            <v/>
          </cell>
        </row>
        <row r="1005">
          <cell r="C1005" t="str">
            <v/>
          </cell>
        </row>
        <row r="1006">
          <cell r="C1006" t="str">
            <v/>
          </cell>
        </row>
        <row r="1007">
          <cell r="C1007" t="str">
            <v/>
          </cell>
        </row>
        <row r="1008">
          <cell r="C1008" t="str">
            <v/>
          </cell>
        </row>
        <row r="1009">
          <cell r="C1009" t="str">
            <v/>
          </cell>
        </row>
        <row r="1010">
          <cell r="C1010" t="str">
            <v/>
          </cell>
        </row>
        <row r="1011">
          <cell r="C1011" t="str">
            <v/>
          </cell>
        </row>
        <row r="1012">
          <cell r="C1012" t="str">
            <v/>
          </cell>
        </row>
        <row r="1013">
          <cell r="C1013" t="str">
            <v/>
          </cell>
        </row>
        <row r="1014">
          <cell r="C1014" t="str">
            <v/>
          </cell>
        </row>
        <row r="1015">
          <cell r="C1015" t="str">
            <v/>
          </cell>
        </row>
        <row r="1016">
          <cell r="C1016" t="str">
            <v/>
          </cell>
        </row>
        <row r="1017">
          <cell r="C1017" t="str">
            <v/>
          </cell>
        </row>
        <row r="1018">
          <cell r="C1018" t="str">
            <v/>
          </cell>
        </row>
        <row r="1019">
          <cell r="C1019" t="str">
            <v/>
          </cell>
        </row>
        <row r="1020">
          <cell r="C1020" t="str">
            <v/>
          </cell>
        </row>
        <row r="1021">
          <cell r="C1021" t="str">
            <v/>
          </cell>
        </row>
        <row r="1022">
          <cell r="C1022" t="str">
            <v/>
          </cell>
        </row>
        <row r="1023">
          <cell r="C1023" t="str">
            <v/>
          </cell>
        </row>
        <row r="1024">
          <cell r="C1024" t="str">
            <v/>
          </cell>
        </row>
        <row r="1025">
          <cell r="C1025" t="str">
            <v/>
          </cell>
        </row>
        <row r="1026">
          <cell r="C1026" t="str">
            <v/>
          </cell>
        </row>
        <row r="1027">
          <cell r="C1027" t="str">
            <v/>
          </cell>
        </row>
        <row r="1028">
          <cell r="C1028" t="str">
            <v/>
          </cell>
        </row>
      </sheetData>
      <sheetData sheetId="19">
        <row r="2">
          <cell r="F2" t="str">
            <v>Видео</v>
          </cell>
          <cell r="G2">
            <v>0</v>
          </cell>
          <cell r="I2" t="str">
            <v>Статьи о событии</v>
          </cell>
          <cell r="J2">
            <v>0.3</v>
          </cell>
          <cell r="S2" t="str">
            <v>Sostav</v>
          </cell>
          <cell r="T2">
            <v>597713.65596801427</v>
          </cell>
          <cell r="W2" t="str">
            <v>Концерт</v>
          </cell>
          <cell r="X2">
            <v>0</v>
          </cell>
        </row>
        <row r="3">
          <cell r="F3" t="str">
            <v>Баннеры</v>
          </cell>
          <cell r="G3">
            <v>0</v>
          </cell>
          <cell r="I3" t="str">
            <v>Статьи с упоминанием события</v>
          </cell>
          <cell r="J3">
            <v>0.3</v>
          </cell>
          <cell r="S3" t="str">
            <v>Marie Claire</v>
          </cell>
          <cell r="T3">
            <v>4721667.5076822825</v>
          </cell>
          <cell r="W3" t="str">
            <v>Фестиваль</v>
          </cell>
          <cell r="X3">
            <v>0.2</v>
          </cell>
        </row>
        <row r="4">
          <cell r="F4" t="str">
            <v>Аудио</v>
          </cell>
          <cell r="G4">
            <v>0</v>
          </cell>
          <cell r="I4" t="str">
            <v>Посев в TG</v>
          </cell>
          <cell r="J4">
            <v>0</v>
          </cell>
          <cell r="S4" t="str">
            <v>НСН</v>
          </cell>
          <cell r="T4">
            <v>1938574.202679635</v>
          </cell>
          <cell r="W4" t="str">
            <v>Площадка</v>
          </cell>
          <cell r="X4">
            <v>0.2</v>
          </cell>
        </row>
        <row r="5">
          <cell r="F5" t="str">
            <v>Промо-пост</v>
          </cell>
          <cell r="G5">
            <v>0</v>
          </cell>
          <cell r="I5" t="str">
            <v>Посев в VK</v>
          </cell>
          <cell r="J5">
            <v>0</v>
          </cell>
          <cell r="S5" t="str">
            <v>Woman.ru</v>
          </cell>
          <cell r="T5">
            <v>51172708.560656197</v>
          </cell>
        </row>
        <row r="6">
          <cell r="F6" t="str">
            <v>Карусель</v>
          </cell>
          <cell r="G6">
            <v>0</v>
          </cell>
          <cell r="I6" t="str">
            <v>Блогеры в TG</v>
          </cell>
          <cell r="J6">
            <v>0</v>
          </cell>
          <cell r="S6" t="str">
            <v>Thegirl.ru</v>
          </cell>
          <cell r="T6">
            <v>7870427.6536969496</v>
          </cell>
        </row>
        <row r="7">
          <cell r="F7" t="str">
            <v>OLV - размещение в видео (in-stream)</v>
          </cell>
          <cell r="G7">
            <v>0</v>
          </cell>
          <cell r="I7" t="str">
            <v>Блогеры в VK</v>
          </cell>
          <cell r="J7">
            <v>0</v>
          </cell>
          <cell r="S7" t="str">
            <v>The Blueprint</v>
          </cell>
          <cell r="T7">
            <v>496020.63289698312</v>
          </cell>
        </row>
        <row r="8">
          <cell r="F8" t="str">
            <v>HTML5 баннер</v>
          </cell>
          <cell r="G8">
            <v>0</v>
          </cell>
          <cell r="S8" t="str">
            <v>AdIndex</v>
          </cell>
          <cell r="T8">
            <v>183444.87935989175</v>
          </cell>
        </row>
        <row r="9">
          <cell r="F9" t="str">
            <v>Билборд в ВК</v>
          </cell>
          <cell r="G9">
            <v>0</v>
          </cell>
          <cell r="S9" t="str">
            <v>РБК</v>
          </cell>
          <cell r="T9">
            <v>88982843.699506789</v>
          </cell>
        </row>
        <row r="10">
          <cell r="F10" t="str">
            <v>Видео без продвижения</v>
          </cell>
          <cell r="G10">
            <v>0.3</v>
          </cell>
          <cell r="S10" t="str">
            <v>Коммерсант</v>
          </cell>
          <cell r="T10">
            <v>31732986.691808753</v>
          </cell>
        </row>
        <row r="11">
          <cell r="F11" t="str">
            <v>Промо-пост без продвижения</v>
          </cell>
          <cell r="G11">
            <v>0.3</v>
          </cell>
          <cell r="S11" t="str">
            <v>Известия</v>
          </cell>
          <cell r="T11">
            <v>25967770.028713658</v>
          </cell>
        </row>
        <row r="12">
          <cell r="S12" t="str">
            <v>100 тыс</v>
          </cell>
          <cell r="T12">
            <v>100000</v>
          </cell>
        </row>
        <row r="13">
          <cell r="S13" t="str">
            <v>200 тыс</v>
          </cell>
          <cell r="T13">
            <v>200000</v>
          </cell>
        </row>
        <row r="14">
          <cell r="S14" t="str">
            <v>300 тыс</v>
          </cell>
          <cell r="T14">
            <v>300000</v>
          </cell>
        </row>
        <row r="15">
          <cell r="S15" t="str">
            <v>400 тыс</v>
          </cell>
          <cell r="T15">
            <v>400000</v>
          </cell>
        </row>
        <row r="16">
          <cell r="S16" t="str">
            <v>500 тыс</v>
          </cell>
          <cell r="T16">
            <v>500000</v>
          </cell>
        </row>
        <row r="17">
          <cell r="S17" t="str">
            <v>1 млн</v>
          </cell>
          <cell r="T17">
            <v>1000000</v>
          </cell>
        </row>
      </sheetData>
      <sheetData sheetId="20">
        <row r="2">
          <cell r="A2" t="str">
            <v>Специальные проекты (среднее время на проекте)</v>
          </cell>
          <cell r="B2">
            <v>150</v>
          </cell>
          <cell r="C2">
            <v>1</v>
          </cell>
          <cell r="D2">
            <v>150</v>
          </cell>
          <cell r="E2">
            <v>1.5</v>
          </cell>
          <cell r="F2">
            <v>225</v>
          </cell>
          <cell r="G2">
            <v>2</v>
          </cell>
        </row>
        <row r="3">
          <cell r="A3" t="str">
            <v>Креативные видео интеграции в шоу (VK, YT)</v>
          </cell>
          <cell r="B3">
            <v>120</v>
          </cell>
          <cell r="C3">
            <v>0.85</v>
          </cell>
          <cell r="D3">
            <v>102</v>
          </cell>
          <cell r="E3">
            <v>1.3</v>
          </cell>
          <cell r="F3">
            <v>132.6</v>
          </cell>
          <cell r="G3">
            <v>2</v>
          </cell>
        </row>
        <row r="4">
          <cell r="A4" t="str">
            <v>Нативные видео интеграции у блогеров (VK, YT)</v>
          </cell>
          <cell r="B4">
            <v>90</v>
          </cell>
          <cell r="C4">
            <v>0.8</v>
          </cell>
          <cell r="D4">
            <v>72</v>
          </cell>
          <cell r="E4">
            <v>1.1000000000000001</v>
          </cell>
          <cell r="F4">
            <v>79.2</v>
          </cell>
          <cell r="G4">
            <v>2</v>
          </cell>
        </row>
        <row r="5">
          <cell r="A5" t="str">
            <v>Альт-роллы YT</v>
          </cell>
          <cell r="B5">
            <v>20</v>
          </cell>
          <cell r="C5">
            <v>0.7</v>
          </cell>
          <cell r="D5">
            <v>14</v>
          </cell>
          <cell r="E5">
            <v>1.05</v>
          </cell>
          <cell r="F5">
            <v>14.7</v>
          </cell>
          <cell r="G5">
            <v>2</v>
          </cell>
        </row>
        <row r="6">
          <cell r="A6" t="str">
            <v>ТВ</v>
          </cell>
          <cell r="B6">
            <v>5</v>
          </cell>
          <cell r="C6">
            <v>0.8</v>
          </cell>
          <cell r="D6">
            <v>4</v>
          </cell>
          <cell r="E6">
            <v>1</v>
          </cell>
          <cell r="F6">
            <v>4</v>
          </cell>
          <cell r="G6">
            <v>12</v>
          </cell>
        </row>
        <row r="7">
          <cell r="A7" t="str">
            <v>Видео</v>
          </cell>
          <cell r="B7">
            <v>20</v>
          </cell>
          <cell r="C7">
            <v>0.77</v>
          </cell>
          <cell r="D7">
            <v>15.4</v>
          </cell>
          <cell r="E7">
            <v>0.9</v>
          </cell>
          <cell r="F7">
            <v>13.86</v>
          </cell>
          <cell r="G7">
            <v>4</v>
          </cell>
        </row>
        <row r="8">
          <cell r="A8" t="str">
            <v>Smart ТВ</v>
          </cell>
          <cell r="B8">
            <v>20</v>
          </cell>
          <cell r="C8">
            <v>0.8</v>
          </cell>
          <cell r="D8">
            <v>16</v>
          </cell>
          <cell r="E8">
            <v>0.95</v>
          </cell>
          <cell r="F8">
            <v>15.2</v>
          </cell>
          <cell r="G8">
            <v>3</v>
          </cell>
        </row>
        <row r="9">
          <cell r="A9" t="str">
            <v>Rewarded Видео</v>
          </cell>
          <cell r="B9">
            <v>15</v>
          </cell>
          <cell r="C9">
            <v>0.8</v>
          </cell>
          <cell r="D9">
            <v>12</v>
          </cell>
          <cell r="E9">
            <v>0.85</v>
          </cell>
          <cell r="F9">
            <v>10.199999999999999</v>
          </cell>
          <cell r="G9">
            <v>4</v>
          </cell>
        </row>
        <row r="10">
          <cell r="A10" t="str">
            <v>Блогеры (посты в ленте)</v>
          </cell>
          <cell r="B10" t="str">
            <v>0-60</v>
          </cell>
          <cell r="C10">
            <v>7</v>
          </cell>
          <cell r="D10">
            <v>7</v>
          </cell>
          <cell r="E10">
            <v>0.77</v>
          </cell>
          <cell r="F10">
            <v>5.38</v>
          </cell>
          <cell r="G10">
            <v>2</v>
          </cell>
        </row>
        <row r="11">
          <cell r="A11" t="str">
            <v>Посев в группах (посты в ленте)</v>
          </cell>
          <cell r="B11" t="str">
            <v>0-60</v>
          </cell>
          <cell r="C11">
            <v>5</v>
          </cell>
          <cell r="D11">
            <v>5</v>
          </cell>
          <cell r="E11">
            <v>0.7</v>
          </cell>
          <cell r="F11">
            <v>3.52</v>
          </cell>
          <cell r="G11">
            <v>3</v>
          </cell>
        </row>
        <row r="12">
          <cell r="A12" t="str">
            <v>TG стикеры</v>
          </cell>
          <cell r="B12" t="str">
            <v>-</v>
          </cell>
          <cell r="C12">
            <v>7</v>
          </cell>
          <cell r="D12">
            <v>7</v>
          </cell>
          <cell r="E12">
            <v>0.74</v>
          </cell>
          <cell r="F12">
            <v>5.15</v>
          </cell>
          <cell r="G12">
            <v>3</v>
          </cell>
        </row>
        <row r="13">
          <cell r="A13" t="str">
            <v>Радио</v>
          </cell>
          <cell r="B13">
            <v>15</v>
          </cell>
          <cell r="C13">
            <v>0.8</v>
          </cell>
          <cell r="D13">
            <v>12</v>
          </cell>
          <cell r="E13">
            <v>0.66</v>
          </cell>
          <cell r="F13">
            <v>7.92</v>
          </cell>
          <cell r="G13">
            <v>6</v>
          </cell>
        </row>
        <row r="14">
          <cell r="A14" t="str">
            <v>Промо-пост</v>
          </cell>
          <cell r="B14" t="str">
            <v>0-20</v>
          </cell>
          <cell r="C14">
            <v>1.5</v>
          </cell>
          <cell r="D14">
            <v>1.5</v>
          </cell>
          <cell r="E14">
            <v>0.64</v>
          </cell>
          <cell r="F14">
            <v>0.96</v>
          </cell>
          <cell r="G14">
            <v>5</v>
          </cell>
        </row>
        <row r="15">
          <cell r="A15" t="str">
            <v>Telegram Ads</v>
          </cell>
          <cell r="B15" t="str">
            <v>0-20</v>
          </cell>
          <cell r="C15">
            <v>1.5</v>
          </cell>
          <cell r="D15">
            <v>1.5</v>
          </cell>
          <cell r="E15">
            <v>0.67</v>
          </cell>
          <cell r="F15">
            <v>1.01</v>
          </cell>
          <cell r="G15">
            <v>4</v>
          </cell>
        </row>
        <row r="16">
          <cell r="A16" t="str">
            <v>Баннеры</v>
          </cell>
          <cell r="B16" t="str">
            <v>0-6</v>
          </cell>
          <cell r="C16">
            <v>2</v>
          </cell>
          <cell r="D16">
            <v>2</v>
          </cell>
          <cell r="E16">
            <v>0.57999999999999996</v>
          </cell>
          <cell r="F16">
            <v>1.1599999999999999</v>
          </cell>
          <cell r="G16">
            <v>5</v>
          </cell>
        </row>
        <row r="17">
          <cell r="A17" t="str">
            <v>Маркетплейсы</v>
          </cell>
          <cell r="B17" t="str">
            <v>0-6</v>
          </cell>
          <cell r="C17">
            <v>2</v>
          </cell>
          <cell r="D17">
            <v>4</v>
          </cell>
          <cell r="E17">
            <v>0.57999999999999996</v>
          </cell>
          <cell r="F17">
            <v>2.3199999999999998</v>
          </cell>
          <cell r="G17">
            <v>3</v>
          </cell>
        </row>
        <row r="18">
          <cell r="A18" t="str">
            <v>Аудио</v>
          </cell>
          <cell r="B18">
            <v>15</v>
          </cell>
          <cell r="C18">
            <v>0.8</v>
          </cell>
          <cell r="D18">
            <v>12</v>
          </cell>
          <cell r="E18">
            <v>0.59</v>
          </cell>
          <cell r="F18">
            <v>7.13</v>
          </cell>
          <cell r="G18">
            <v>2</v>
          </cell>
        </row>
        <row r="19">
          <cell r="A19" t="str">
            <v>Метро</v>
          </cell>
          <cell r="B19" t="str">
            <v>0-5, от 1 до 5</v>
          </cell>
          <cell r="C19">
            <v>5</v>
          </cell>
          <cell r="D19">
            <v>5</v>
          </cell>
          <cell r="E19">
            <v>0.6</v>
          </cell>
          <cell r="F19">
            <v>3</v>
          </cell>
          <cell r="G19">
            <v>10</v>
          </cell>
        </row>
        <row r="20">
          <cell r="A20" t="str">
            <v>Кассы самообслуживания в супермаркетах</v>
          </cell>
          <cell r="B20" t="str">
            <v>0-5</v>
          </cell>
          <cell r="C20">
            <v>1.5</v>
          </cell>
          <cell r="D20">
            <v>1.5</v>
          </cell>
          <cell r="E20">
            <v>0.64</v>
          </cell>
          <cell r="F20">
            <v>0.96</v>
          </cell>
          <cell r="G20">
            <v>4</v>
          </cell>
        </row>
        <row r="21">
          <cell r="A21" t="str">
            <v>Indoor</v>
          </cell>
          <cell r="B21" t="str">
            <v>0-5</v>
          </cell>
          <cell r="C21">
            <v>5</v>
          </cell>
          <cell r="D21">
            <v>5</v>
          </cell>
          <cell r="E21">
            <v>0.6</v>
          </cell>
          <cell r="F21">
            <v>3</v>
          </cell>
          <cell r="G21">
            <v>5</v>
          </cell>
        </row>
        <row r="22">
          <cell r="A22" t="str">
            <v>ООН</v>
          </cell>
          <cell r="B22" t="str">
            <v>0-5</v>
          </cell>
          <cell r="C22">
            <v>3</v>
          </cell>
          <cell r="D22">
            <v>3</v>
          </cell>
          <cell r="E22">
            <v>0.5</v>
          </cell>
          <cell r="F22">
            <v>1.5</v>
          </cell>
          <cell r="G22">
            <v>15</v>
          </cell>
        </row>
        <row r="23">
          <cell r="A23" t="str">
            <v>Карусель</v>
          </cell>
          <cell r="B23" t="str">
            <v>0-20</v>
          </cell>
          <cell r="C23">
            <v>1.5</v>
          </cell>
          <cell r="D23">
            <v>1.5</v>
          </cell>
          <cell r="E23">
            <v>0.64</v>
          </cell>
          <cell r="F23">
            <v>0.96</v>
          </cell>
          <cell r="G23">
            <v>5</v>
          </cell>
        </row>
        <row r="24">
          <cell r="A24" t="str">
            <v>OLV - размещение в видео (in-stream)</v>
          </cell>
          <cell r="B24">
            <v>20</v>
          </cell>
          <cell r="C24">
            <v>0.77</v>
          </cell>
          <cell r="D24">
            <v>15.4</v>
          </cell>
          <cell r="E24">
            <v>0.9</v>
          </cell>
          <cell r="F24">
            <v>13.86</v>
          </cell>
          <cell r="G24">
            <v>4</v>
          </cell>
        </row>
        <row r="25">
          <cell r="A25" t="str">
            <v>HTML5 баннер</v>
          </cell>
          <cell r="B25" t="str">
            <v>0-20</v>
          </cell>
          <cell r="C25">
            <v>1.5</v>
          </cell>
          <cell r="D25">
            <v>1.5</v>
          </cell>
          <cell r="E25">
            <v>0.64</v>
          </cell>
          <cell r="F25">
            <v>0.96</v>
          </cell>
          <cell r="G25">
            <v>5</v>
          </cell>
        </row>
        <row r="26">
          <cell r="A26" t="str">
            <v>Билборд в ВК</v>
          </cell>
          <cell r="B26" t="str">
            <v>0-20</v>
          </cell>
          <cell r="C26">
            <v>1.5</v>
          </cell>
          <cell r="D26">
            <v>1.5</v>
          </cell>
          <cell r="E26">
            <v>0.64</v>
          </cell>
          <cell r="F26">
            <v>0.96</v>
          </cell>
          <cell r="G26">
            <v>5</v>
          </cell>
        </row>
        <row r="27">
          <cell r="A27" t="str">
            <v>Видео без продвижения</v>
          </cell>
          <cell r="B27">
            <v>20</v>
          </cell>
          <cell r="C27">
            <v>0.77</v>
          </cell>
          <cell r="D27">
            <v>15.4</v>
          </cell>
          <cell r="E27">
            <v>0.9</v>
          </cell>
          <cell r="F27">
            <v>13.86</v>
          </cell>
          <cell r="G27">
            <v>4</v>
          </cell>
        </row>
        <row r="28">
          <cell r="A28" t="str">
            <v>Промо-пост без продвижения</v>
          </cell>
          <cell r="B28" t="str">
            <v>0-20</v>
          </cell>
          <cell r="C28">
            <v>1.5</v>
          </cell>
          <cell r="D28">
            <v>1.5</v>
          </cell>
          <cell r="E28">
            <v>0.64</v>
          </cell>
          <cell r="F28">
            <v>0.96</v>
          </cell>
          <cell r="G28">
            <v>5</v>
          </cell>
        </row>
        <row r="33">
          <cell r="A33" t="str">
            <v>заменяемые параметры</v>
          </cell>
        </row>
        <row r="34">
          <cell r="A34" t="str">
            <v>добавленная эстимация</v>
          </cell>
        </row>
        <row r="37">
          <cell r="A37" t="str">
            <v>Источник: оценка агентства OMD</v>
          </cell>
        </row>
        <row r="39">
          <cell r="E39" t="e">
            <v>#REF!</v>
          </cell>
        </row>
      </sheetData>
      <sheetData sheetId="21">
        <row r="2">
          <cell r="A2" t="str">
            <v>Москва</v>
          </cell>
          <cell r="B2">
            <v>11062570</v>
          </cell>
        </row>
        <row r="3">
          <cell r="A3" t="str">
            <v>Санкт-Петербург</v>
          </cell>
          <cell r="B3">
            <v>4746408</v>
          </cell>
        </row>
        <row r="4">
          <cell r="A4" t="str">
            <v>Екатеринбург</v>
          </cell>
          <cell r="B4">
            <v>1228946.4000000001</v>
          </cell>
        </row>
        <row r="5">
          <cell r="A5" t="str">
            <v>Томск</v>
          </cell>
          <cell r="B5">
            <v>436312.80000000005</v>
          </cell>
        </row>
        <row r="6">
          <cell r="A6" t="str">
            <v>Кемерово</v>
          </cell>
          <cell r="B6">
            <v>435680</v>
          </cell>
        </row>
        <row r="7">
          <cell r="A7" t="str">
            <v>Казань</v>
          </cell>
          <cell r="B7">
            <v>1054883.2</v>
          </cell>
        </row>
        <row r="8">
          <cell r="A8" t="str">
            <v>Новосибирск</v>
          </cell>
          <cell r="B8">
            <v>1307080.8</v>
          </cell>
        </row>
        <row r="9">
          <cell r="A9" t="str">
            <v>Краснодар</v>
          </cell>
          <cell r="B9">
            <v>910923.20000000007</v>
          </cell>
        </row>
        <row r="10">
          <cell r="A10" t="str">
            <v>Сочи</v>
          </cell>
          <cell r="B10">
            <v>355991.2</v>
          </cell>
        </row>
        <row r="11">
          <cell r="A11" t="str">
            <v>Чебоксары</v>
          </cell>
          <cell r="B11">
            <v>393864.80000000005</v>
          </cell>
        </row>
        <row r="12">
          <cell r="A12" t="str">
            <v>Нижний Новгород</v>
          </cell>
          <cell r="B12">
            <v>970781.60000000009</v>
          </cell>
        </row>
        <row r="13">
          <cell r="A13" t="str">
            <v>Хабаровск</v>
          </cell>
          <cell r="B13">
            <v>492456</v>
          </cell>
        </row>
        <row r="14">
          <cell r="A14" t="str">
            <v>Калининград</v>
          </cell>
          <cell r="B14">
            <v>391667.20000000001</v>
          </cell>
        </row>
        <row r="15">
          <cell r="A15" t="str">
            <v>Омск</v>
          </cell>
          <cell r="B15">
            <v>883588</v>
          </cell>
        </row>
        <row r="16">
          <cell r="A16" t="str">
            <v>Воронеж</v>
          </cell>
          <cell r="B16">
            <v>866979.20000000007</v>
          </cell>
        </row>
      </sheetData>
      <sheetData sheetId="22">
        <row r="2">
          <cell r="A2" t="str">
            <v>Голосовое сообщение до старта мероприятия</v>
          </cell>
          <cell r="B2">
            <v>0.8</v>
          </cell>
          <cell r="C2">
            <v>1</v>
          </cell>
          <cell r="D2" t="str">
            <v>персональные браслеты (фан зона/танц пол)</v>
          </cell>
          <cell r="E2">
            <v>0.9</v>
          </cell>
          <cell r="F2">
            <v>5</v>
          </cell>
          <cell r="G2" t="str">
            <v>Различные акции с участием промо-персонала</v>
          </cell>
          <cell r="H2">
            <v>0.2</v>
          </cell>
          <cell r="I2">
            <v>1.5</v>
          </cell>
          <cell r="J2" t="str">
            <v xml:space="preserve">Интеграция в шоу (например, сброс брендированных шаров, упоминания от артиста на сцене)
</v>
          </cell>
          <cell r="K2">
            <v>0.8</v>
          </cell>
          <cell r="L2">
            <v>1.5</v>
          </cell>
          <cell r="M2" t="str">
            <v>AR-фотозона (с интерактивом)</v>
          </cell>
          <cell r="N2">
            <v>0.1</v>
          </cell>
          <cell r="O2">
            <v>2</v>
          </cell>
          <cell r="P2" t="str">
            <v>Экраны на сцене</v>
          </cell>
          <cell r="Q2">
            <v>0.8</v>
          </cell>
          <cell r="R2">
            <v>3</v>
          </cell>
          <cell r="S2" t="str">
            <v>Интеграция в фото и видео отчеты</v>
          </cell>
          <cell r="U2">
            <v>1</v>
          </cell>
        </row>
        <row r="3">
          <cell r="A3" t="str">
            <v xml:space="preserve">Голосовое сообщение во время мероприятия </v>
          </cell>
          <cell r="B3">
            <v>0.9</v>
          </cell>
          <cell r="C3">
            <v>1</v>
          </cell>
          <cell r="D3" t="str">
            <v>бренд-зона/лаундж-зона</v>
          </cell>
          <cell r="E3">
            <v>0.7</v>
          </cell>
          <cell r="F3">
            <v>1.5</v>
          </cell>
          <cell r="M3" t="str">
            <v>Посты в социальных сетях, опубликованные посетителями мероприятия</v>
          </cell>
          <cell r="N3">
            <v>0.05</v>
          </cell>
          <cell r="O3">
            <v>1</v>
          </cell>
          <cell r="P3" t="str">
            <v>Экраны в чаше локации/стадиона</v>
          </cell>
          <cell r="Q3">
            <v>0.8</v>
          </cell>
          <cell r="R3">
            <v>3</v>
          </cell>
          <cell r="S3" t="str">
            <v>PR публикации</v>
          </cell>
          <cell r="U3">
            <v>1</v>
          </cell>
        </row>
        <row r="4">
          <cell r="D4" t="str">
            <v>печатные баннеры/бегущие строки на трибунах</v>
          </cell>
          <cell r="E4">
            <v>0.7</v>
          </cell>
          <cell r="F4">
            <v>3</v>
          </cell>
          <cell r="M4" t="str">
            <v>Фотозона</v>
          </cell>
          <cell r="N4">
            <v>0.2</v>
          </cell>
          <cell r="O4">
            <v>2</v>
          </cell>
          <cell r="P4" t="str">
            <v>Плазменные панели на територии локации/стадиона</v>
          </cell>
          <cell r="Q4">
            <v>0.8</v>
          </cell>
          <cell r="R4">
            <v>3</v>
          </cell>
          <cell r="S4" t="str">
            <v>Интеграция в посты у артиста</v>
          </cell>
          <cell r="U4">
            <v>1</v>
          </cell>
        </row>
        <row r="5">
          <cell r="D5" t="str">
            <v>брендинг вип-зоны</v>
          </cell>
          <cell r="E5">
            <v>0.1</v>
          </cell>
          <cell r="F5">
            <v>3</v>
          </cell>
          <cell r="P5" t="str">
            <v xml:space="preserve">Лого на входе </v>
          </cell>
          <cell r="Q5">
            <v>0.8</v>
          </cell>
          <cell r="R5">
            <v>1</v>
          </cell>
        </row>
        <row r="6">
          <cell r="D6" t="str">
            <v>брендинг кресел во всем зале</v>
          </cell>
          <cell r="E6">
            <v>0.9</v>
          </cell>
          <cell r="F6">
            <v>3</v>
          </cell>
        </row>
        <row r="7">
          <cell r="D7" t="str">
            <v>брендинг сидушек/пуфиков/шезлонгов в общих зонах</v>
          </cell>
          <cell r="E7">
            <v>0.9</v>
          </cell>
          <cell r="F7">
            <v>2</v>
          </cell>
        </row>
        <row r="8">
          <cell r="D8" t="str">
            <v>брендинг браслетов</v>
          </cell>
          <cell r="E8">
            <v>0.9</v>
          </cell>
          <cell r="F8">
            <v>6</v>
          </cell>
        </row>
        <row r="9">
          <cell r="D9" t="str">
            <v>флаги/штендеры/лайтбоксы/расклеенные печатные лого/тейбл-тенты на локации мероприятия</v>
          </cell>
          <cell r="E9">
            <v>0.8</v>
          </cell>
          <cell r="F9">
            <v>1.5</v>
          </cell>
        </row>
        <row r="10">
          <cell r="D10" t="str">
            <v>брендинг зоны бара</v>
          </cell>
          <cell r="E10">
            <v>0.6</v>
          </cell>
          <cell r="F10">
            <v>1</v>
          </cell>
        </row>
        <row r="11">
          <cell r="D11" t="str">
            <v>брендинг сцены/спортивной площадки (например, логотип на льду на хоккее)</v>
          </cell>
          <cell r="E11">
            <v>0.9</v>
          </cell>
          <cell r="F11">
            <v>1</v>
          </cell>
        </row>
        <row r="12">
          <cell r="D12" t="str">
            <v>брендинг меню</v>
          </cell>
          <cell r="E12">
            <v>0.6</v>
          </cell>
          <cell r="F12">
            <v>4</v>
          </cell>
        </row>
        <row r="13">
          <cell r="D13" t="str">
            <v>брендинг посуды в баре</v>
          </cell>
          <cell r="E13">
            <v>0.6</v>
          </cell>
          <cell r="F13">
            <v>1</v>
          </cell>
        </row>
        <row r="14">
          <cell r="D14" t="str">
            <v>брендинг гардероба</v>
          </cell>
          <cell r="E14">
            <v>0.9</v>
          </cell>
          <cell r="F14">
            <v>2</v>
          </cell>
        </row>
        <row r="15">
          <cell r="D15" t="str">
            <v>брендинг номерков</v>
          </cell>
          <cell r="E15">
            <v>0.9</v>
          </cell>
          <cell r="F15">
            <v>2</v>
          </cell>
        </row>
        <row r="16">
          <cell r="D16" t="str">
            <v>брендинг зоны туалета</v>
          </cell>
          <cell r="E16">
            <v>0.9</v>
          </cell>
          <cell r="F16">
            <v>1</v>
          </cell>
        </row>
        <row r="17">
          <cell r="D17" t="str">
            <v>брендированная зона раздачи мерча</v>
          </cell>
          <cell r="E17">
            <v>0.7</v>
          </cell>
          <cell r="F17">
            <v>1</v>
          </cell>
        </row>
        <row r="18">
          <cell r="D18" t="str">
            <v>раздача/продажа брендированного мерча на площадке</v>
          </cell>
          <cell r="E18">
            <v>0.7</v>
          </cell>
          <cell r="F18">
            <v>1</v>
          </cell>
        </row>
        <row r="19">
          <cell r="D19" t="str">
            <v>брендированная раздатка (например, флешмоб с брендированными масками с лицом артиста)</v>
          </cell>
          <cell r="E19">
            <v>0.3</v>
          </cell>
          <cell r="F19">
            <v>3</v>
          </cell>
        </row>
        <row r="20">
          <cell r="D20" t="str">
            <v>размещение арт-объекта</v>
          </cell>
          <cell r="E20">
            <v>0.8</v>
          </cell>
          <cell r="F20">
            <v>1</v>
          </cell>
        </row>
        <row r="21">
          <cell r="D21" t="str">
            <v>брендинг одежды артистов/спорстменов</v>
          </cell>
          <cell r="E21">
            <v>0.8</v>
          </cell>
          <cell r="F21">
            <v>5</v>
          </cell>
        </row>
        <row r="22">
          <cell r="D22" t="str">
            <v>брендинг одежды персонала (бармены, гардеробщики)</v>
          </cell>
          <cell r="E22">
            <v>0.8</v>
          </cell>
          <cell r="F22">
            <v>2</v>
          </cell>
        </row>
        <row r="23">
          <cell r="D23" t="str">
            <v>брендирование подарков (новогодние елки)</v>
          </cell>
          <cell r="E23">
            <v>0.9</v>
          </cell>
          <cell r="F23">
            <v>1</v>
          </cell>
        </row>
        <row r="24">
          <cell r="D24" t="str">
            <v>AR-фотозона (с интерактивом)</v>
          </cell>
          <cell r="F24">
            <v>2</v>
          </cell>
        </row>
        <row r="25">
          <cell r="A25" t="str">
            <v>Источник: оценка агентства OMD</v>
          </cell>
          <cell r="D25" t="str">
            <v>Фотозона</v>
          </cell>
          <cell r="F25">
            <v>2</v>
          </cell>
        </row>
      </sheetData>
      <sheetData sheetId="23">
        <row r="1">
          <cell r="A1" t="str">
            <v>Регион</v>
          </cell>
        </row>
        <row r="2">
          <cell r="A2" t="str">
            <v>Воронеж</v>
          </cell>
        </row>
        <row r="3">
          <cell r="A3" t="str">
            <v>Воронеж</v>
          </cell>
        </row>
        <row r="4">
          <cell r="A4" t="str">
            <v>Воронеж</v>
          </cell>
        </row>
        <row r="5">
          <cell r="A5" t="str">
            <v>Воронеж</v>
          </cell>
        </row>
        <row r="6">
          <cell r="A6" t="str">
            <v>Воронеж</v>
          </cell>
        </row>
        <row r="7">
          <cell r="A7" t="str">
            <v>Воронеж</v>
          </cell>
        </row>
        <row r="8">
          <cell r="A8" t="str">
            <v>Воронеж</v>
          </cell>
        </row>
        <row r="9">
          <cell r="A9" t="str">
            <v>Воронеж</v>
          </cell>
        </row>
        <row r="10">
          <cell r="A10" t="str">
            <v>Воронеж</v>
          </cell>
        </row>
        <row r="11">
          <cell r="A11" t="str">
            <v>Воронеж</v>
          </cell>
        </row>
        <row r="12">
          <cell r="A12" t="str">
            <v>Воронеж</v>
          </cell>
        </row>
        <row r="13">
          <cell r="A13" t="str">
            <v>Воронеж</v>
          </cell>
        </row>
        <row r="14">
          <cell r="A14" t="str">
            <v>Воронеж</v>
          </cell>
        </row>
        <row r="15">
          <cell r="A15" t="str">
            <v>Воронеж</v>
          </cell>
        </row>
        <row r="16">
          <cell r="A16" t="str">
            <v>Воронеж</v>
          </cell>
        </row>
        <row r="17">
          <cell r="A17" t="str">
            <v>Воронеж</v>
          </cell>
        </row>
        <row r="18">
          <cell r="A18" t="str">
            <v>Воронеж</v>
          </cell>
        </row>
        <row r="19">
          <cell r="A19" t="str">
            <v>Воронеж</v>
          </cell>
        </row>
        <row r="20">
          <cell r="A20" t="str">
            <v>Воронеж</v>
          </cell>
        </row>
        <row r="21">
          <cell r="A21" t="str">
            <v>Воронеж</v>
          </cell>
        </row>
        <row r="22">
          <cell r="A22" t="str">
            <v>Воронеж</v>
          </cell>
        </row>
        <row r="23">
          <cell r="A23" t="str">
            <v>Воронеж</v>
          </cell>
        </row>
        <row r="24">
          <cell r="A24" t="str">
            <v>Воронеж</v>
          </cell>
        </row>
        <row r="25">
          <cell r="A25" t="str">
            <v>Воронеж</v>
          </cell>
        </row>
        <row r="26">
          <cell r="A26" t="str">
            <v>Воронеж</v>
          </cell>
        </row>
        <row r="27">
          <cell r="A27" t="str">
            <v>Воронеж</v>
          </cell>
        </row>
        <row r="28">
          <cell r="A28" t="str">
            <v>Воронеж</v>
          </cell>
        </row>
        <row r="29">
          <cell r="A29" t="str">
            <v>Воронеж</v>
          </cell>
        </row>
        <row r="30">
          <cell r="A30" t="str">
            <v>Воронеж</v>
          </cell>
        </row>
        <row r="31">
          <cell r="A31" t="str">
            <v>Воронеж</v>
          </cell>
        </row>
        <row r="32">
          <cell r="A32" t="str">
            <v>Воронеж</v>
          </cell>
        </row>
        <row r="33">
          <cell r="A33" t="str">
            <v>Воронеж</v>
          </cell>
        </row>
        <row r="34">
          <cell r="A34" t="str">
            <v>Воронеж</v>
          </cell>
        </row>
        <row r="35">
          <cell r="A35" t="str">
            <v>Воронеж</v>
          </cell>
        </row>
        <row r="36">
          <cell r="A36" t="str">
            <v>Воронеж</v>
          </cell>
        </row>
        <row r="37">
          <cell r="A37" t="str">
            <v>Воронеж</v>
          </cell>
        </row>
        <row r="38">
          <cell r="A38" t="str">
            <v>Воронеж</v>
          </cell>
        </row>
        <row r="39">
          <cell r="A39" t="str">
            <v>Воронеж</v>
          </cell>
        </row>
        <row r="40">
          <cell r="A40" t="str">
            <v>Воронеж</v>
          </cell>
        </row>
        <row r="41">
          <cell r="A41" t="str">
            <v>Екатеринбург</v>
          </cell>
        </row>
        <row r="42">
          <cell r="A42" t="str">
            <v>Екатеринбург</v>
          </cell>
        </row>
        <row r="43">
          <cell r="A43" t="str">
            <v>Екатеринбург</v>
          </cell>
        </row>
        <row r="44">
          <cell r="A44" t="str">
            <v>Екатеринбург</v>
          </cell>
        </row>
        <row r="45">
          <cell r="A45" t="str">
            <v>Екатеринбург</v>
          </cell>
        </row>
        <row r="46">
          <cell r="A46" t="str">
            <v>Екатеринбург</v>
          </cell>
        </row>
        <row r="47">
          <cell r="A47" t="str">
            <v>Екатеринбург</v>
          </cell>
        </row>
        <row r="48">
          <cell r="A48" t="str">
            <v>Екатеринбург</v>
          </cell>
        </row>
        <row r="49">
          <cell r="A49" t="str">
            <v>Екатеринбург</v>
          </cell>
        </row>
        <row r="50">
          <cell r="A50" t="str">
            <v>Екатеринбург</v>
          </cell>
        </row>
        <row r="51">
          <cell r="A51" t="str">
            <v>Екатеринбург</v>
          </cell>
        </row>
        <row r="52">
          <cell r="A52" t="str">
            <v>Екатеринбург</v>
          </cell>
        </row>
        <row r="53">
          <cell r="A53" t="str">
            <v>Екатеринбург</v>
          </cell>
        </row>
        <row r="54">
          <cell r="A54" t="str">
            <v>Екатеринбург</v>
          </cell>
        </row>
        <row r="55">
          <cell r="A55" t="str">
            <v>Екатеринбург</v>
          </cell>
        </row>
        <row r="56">
          <cell r="A56" t="str">
            <v>Екатеринбург</v>
          </cell>
        </row>
        <row r="57">
          <cell r="A57" t="str">
            <v>Екатеринбург</v>
          </cell>
        </row>
        <row r="58">
          <cell r="A58" t="str">
            <v>Екатеринбург</v>
          </cell>
        </row>
        <row r="59">
          <cell r="A59" t="str">
            <v>Екатеринбург</v>
          </cell>
        </row>
        <row r="60">
          <cell r="A60" t="str">
            <v>Екатеринбург</v>
          </cell>
        </row>
        <row r="61">
          <cell r="A61" t="str">
            <v>Екатеринбург</v>
          </cell>
        </row>
        <row r="62">
          <cell r="A62" t="str">
            <v>Екатеринбург</v>
          </cell>
        </row>
        <row r="63">
          <cell r="A63" t="str">
            <v>Екатеринбург</v>
          </cell>
        </row>
        <row r="64">
          <cell r="A64" t="str">
            <v>Екатеринбург</v>
          </cell>
        </row>
        <row r="65">
          <cell r="A65" t="str">
            <v>Екатеринбург</v>
          </cell>
        </row>
        <row r="66">
          <cell r="A66" t="str">
            <v>Екатеринбург</v>
          </cell>
        </row>
        <row r="67">
          <cell r="A67" t="str">
            <v>Екатеринбург</v>
          </cell>
        </row>
        <row r="68">
          <cell r="A68" t="str">
            <v>Екатеринбург</v>
          </cell>
        </row>
        <row r="69">
          <cell r="A69" t="str">
            <v>Екатеринбург</v>
          </cell>
        </row>
        <row r="70">
          <cell r="A70" t="str">
            <v>Екатеринбург</v>
          </cell>
        </row>
        <row r="71">
          <cell r="A71" t="str">
            <v>Екатеринбург</v>
          </cell>
        </row>
        <row r="72">
          <cell r="A72" t="str">
            <v>Екатеринбург</v>
          </cell>
        </row>
        <row r="73">
          <cell r="A73" t="str">
            <v>Екатеринбург</v>
          </cell>
        </row>
        <row r="74">
          <cell r="A74" t="str">
            <v>Екатеринбург</v>
          </cell>
        </row>
        <row r="75">
          <cell r="A75" t="str">
            <v>Екатеринбург</v>
          </cell>
        </row>
        <row r="76">
          <cell r="A76" t="str">
            <v>Екатеринбург</v>
          </cell>
        </row>
        <row r="77">
          <cell r="A77" t="str">
            <v>Екатеринбург</v>
          </cell>
        </row>
        <row r="78">
          <cell r="A78" t="str">
            <v>Екатеринбург</v>
          </cell>
        </row>
        <row r="79">
          <cell r="A79" t="str">
            <v>Екатеринбург</v>
          </cell>
        </row>
        <row r="80">
          <cell r="A80" t="str">
            <v>Екатеринбург</v>
          </cell>
        </row>
        <row r="81">
          <cell r="A81" t="str">
            <v>Екатеринбург</v>
          </cell>
        </row>
        <row r="82">
          <cell r="A82" t="str">
            <v>Казань</v>
          </cell>
        </row>
        <row r="83">
          <cell r="A83" t="str">
            <v>Казань</v>
          </cell>
        </row>
        <row r="84">
          <cell r="A84" t="str">
            <v>Казань</v>
          </cell>
        </row>
        <row r="85">
          <cell r="A85" t="str">
            <v>Казань</v>
          </cell>
        </row>
        <row r="86">
          <cell r="A86" t="str">
            <v>Казань</v>
          </cell>
        </row>
        <row r="87">
          <cell r="A87" t="str">
            <v>Казань</v>
          </cell>
        </row>
        <row r="88">
          <cell r="A88" t="str">
            <v>Казань</v>
          </cell>
        </row>
        <row r="89">
          <cell r="A89" t="str">
            <v>Казань</v>
          </cell>
        </row>
        <row r="90">
          <cell r="A90" t="str">
            <v>Казань</v>
          </cell>
        </row>
        <row r="91">
          <cell r="A91" t="str">
            <v>Казань</v>
          </cell>
        </row>
        <row r="92">
          <cell r="A92" t="str">
            <v>Казань</v>
          </cell>
        </row>
        <row r="93">
          <cell r="A93" t="str">
            <v>Казань</v>
          </cell>
        </row>
        <row r="94">
          <cell r="A94" t="str">
            <v>Казань</v>
          </cell>
        </row>
        <row r="95">
          <cell r="A95" t="str">
            <v>Казань</v>
          </cell>
        </row>
        <row r="96">
          <cell r="A96" t="str">
            <v>Казань</v>
          </cell>
        </row>
        <row r="97">
          <cell r="A97" t="str">
            <v>Казань</v>
          </cell>
        </row>
        <row r="98">
          <cell r="A98" t="str">
            <v>Казань</v>
          </cell>
        </row>
        <row r="99">
          <cell r="A99" t="str">
            <v>Казань</v>
          </cell>
        </row>
        <row r="100">
          <cell r="A100" t="str">
            <v>Казань</v>
          </cell>
        </row>
        <row r="101">
          <cell r="A101" t="str">
            <v>Казань</v>
          </cell>
        </row>
        <row r="102">
          <cell r="A102" t="str">
            <v>Казань</v>
          </cell>
        </row>
        <row r="103">
          <cell r="A103" t="str">
            <v>Казань</v>
          </cell>
        </row>
        <row r="104">
          <cell r="A104" t="str">
            <v>Казань</v>
          </cell>
        </row>
        <row r="105">
          <cell r="A105" t="str">
            <v>Казань</v>
          </cell>
        </row>
        <row r="106">
          <cell r="A106" t="str">
            <v>Казань</v>
          </cell>
        </row>
        <row r="107">
          <cell r="A107" t="str">
            <v>Казань</v>
          </cell>
        </row>
        <row r="108">
          <cell r="A108" t="str">
            <v>Казань</v>
          </cell>
        </row>
        <row r="109">
          <cell r="A109" t="str">
            <v>Казань</v>
          </cell>
        </row>
        <row r="110">
          <cell r="A110" t="str">
            <v>Казань</v>
          </cell>
        </row>
        <row r="111">
          <cell r="A111" t="str">
            <v>Казань</v>
          </cell>
        </row>
        <row r="112">
          <cell r="A112" t="str">
            <v>Казань</v>
          </cell>
        </row>
        <row r="113">
          <cell r="A113" t="str">
            <v>Казань</v>
          </cell>
        </row>
        <row r="114">
          <cell r="A114" t="str">
            <v>Казань</v>
          </cell>
        </row>
        <row r="115">
          <cell r="A115" t="str">
            <v>Казань</v>
          </cell>
        </row>
        <row r="116">
          <cell r="A116" t="str">
            <v>Казань</v>
          </cell>
        </row>
        <row r="117">
          <cell r="A117" t="str">
            <v>Казань</v>
          </cell>
        </row>
        <row r="118">
          <cell r="A118" t="str">
            <v>Казань</v>
          </cell>
        </row>
        <row r="119">
          <cell r="A119" t="str">
            <v>Казань</v>
          </cell>
        </row>
        <row r="120">
          <cell r="A120" t="str">
            <v>Казань</v>
          </cell>
        </row>
        <row r="121">
          <cell r="A121" t="str">
            <v>Кемерово</v>
          </cell>
        </row>
        <row r="122">
          <cell r="A122" t="str">
            <v>Кемерово</v>
          </cell>
        </row>
        <row r="123">
          <cell r="A123" t="str">
            <v>Кемерово</v>
          </cell>
        </row>
        <row r="124">
          <cell r="A124" t="str">
            <v>Кемерово</v>
          </cell>
        </row>
        <row r="125">
          <cell r="A125" t="str">
            <v>Кемерово</v>
          </cell>
        </row>
        <row r="126">
          <cell r="A126" t="str">
            <v>Кемерово</v>
          </cell>
        </row>
        <row r="127">
          <cell r="A127" t="str">
            <v>Кемерово</v>
          </cell>
        </row>
        <row r="128">
          <cell r="A128" t="str">
            <v>Кемерово</v>
          </cell>
        </row>
        <row r="129">
          <cell r="A129" t="str">
            <v>Кемерово</v>
          </cell>
        </row>
        <row r="130">
          <cell r="A130" t="str">
            <v>Кемерово</v>
          </cell>
        </row>
        <row r="131">
          <cell r="A131" t="str">
            <v>Кемерово</v>
          </cell>
        </row>
        <row r="132">
          <cell r="A132" t="str">
            <v>Кемерово</v>
          </cell>
        </row>
        <row r="133">
          <cell r="A133" t="str">
            <v>Кемерово</v>
          </cell>
        </row>
        <row r="134">
          <cell r="A134" t="str">
            <v>Кемерово</v>
          </cell>
        </row>
        <row r="135">
          <cell r="A135" t="str">
            <v>Кемерово</v>
          </cell>
        </row>
        <row r="136">
          <cell r="A136" t="str">
            <v>Кемерово</v>
          </cell>
        </row>
        <row r="137">
          <cell r="A137" t="str">
            <v>Кемерово</v>
          </cell>
        </row>
        <row r="138">
          <cell r="A138" t="str">
            <v>Кемерово</v>
          </cell>
        </row>
        <row r="139">
          <cell r="A139" t="str">
            <v>Кемерово</v>
          </cell>
        </row>
        <row r="140">
          <cell r="A140" t="str">
            <v>Кемерово</v>
          </cell>
        </row>
        <row r="141">
          <cell r="A141" t="str">
            <v>Кемерово</v>
          </cell>
        </row>
        <row r="142">
          <cell r="A142" t="str">
            <v>Кемерово</v>
          </cell>
        </row>
        <row r="143">
          <cell r="A143" t="str">
            <v>Кемерово</v>
          </cell>
        </row>
        <row r="144">
          <cell r="A144" t="str">
            <v>Кемерово</v>
          </cell>
        </row>
        <row r="145">
          <cell r="A145" t="str">
            <v>Кемерово</v>
          </cell>
        </row>
        <row r="146">
          <cell r="A146" t="str">
            <v>Кемерово</v>
          </cell>
        </row>
        <row r="147">
          <cell r="A147" t="str">
            <v>Кемерово</v>
          </cell>
        </row>
        <row r="148">
          <cell r="A148" t="str">
            <v>Кемерово</v>
          </cell>
        </row>
        <row r="149">
          <cell r="A149" t="str">
            <v>Кемерово</v>
          </cell>
        </row>
        <row r="150">
          <cell r="A150" t="str">
            <v>Кемерово</v>
          </cell>
        </row>
        <row r="151">
          <cell r="A151" t="str">
            <v>Кемерово</v>
          </cell>
        </row>
        <row r="152">
          <cell r="A152" t="str">
            <v>Кемерово</v>
          </cell>
        </row>
        <row r="153">
          <cell r="A153" t="str">
            <v>Кемерово</v>
          </cell>
        </row>
        <row r="154">
          <cell r="A154" t="str">
            <v>Кемерово</v>
          </cell>
        </row>
        <row r="155">
          <cell r="A155" t="str">
            <v>Кемерово</v>
          </cell>
        </row>
        <row r="156">
          <cell r="A156" t="str">
            <v>Кемерово</v>
          </cell>
        </row>
        <row r="157">
          <cell r="A157" t="str">
            <v>Кемерово</v>
          </cell>
        </row>
        <row r="158">
          <cell r="A158" t="str">
            <v>Кемерово</v>
          </cell>
        </row>
        <row r="159">
          <cell r="A159" t="str">
            <v>Краснодар</v>
          </cell>
        </row>
        <row r="160">
          <cell r="A160" t="str">
            <v>Краснодар</v>
          </cell>
        </row>
        <row r="161">
          <cell r="A161" t="str">
            <v>Краснодар</v>
          </cell>
        </row>
        <row r="162">
          <cell r="A162" t="str">
            <v>Краснодар</v>
          </cell>
        </row>
        <row r="163">
          <cell r="A163" t="str">
            <v>Краснодар</v>
          </cell>
        </row>
        <row r="164">
          <cell r="A164" t="str">
            <v>Краснодар</v>
          </cell>
        </row>
        <row r="165">
          <cell r="A165" t="str">
            <v>Краснодар</v>
          </cell>
        </row>
        <row r="166">
          <cell r="A166" t="str">
            <v>Краснодар</v>
          </cell>
        </row>
        <row r="167">
          <cell r="A167" t="str">
            <v>Краснодар</v>
          </cell>
        </row>
        <row r="168">
          <cell r="A168" t="str">
            <v>Краснодар</v>
          </cell>
        </row>
        <row r="169">
          <cell r="A169" t="str">
            <v>Краснодар</v>
          </cell>
        </row>
        <row r="170">
          <cell r="A170" t="str">
            <v>Краснодар</v>
          </cell>
        </row>
        <row r="171">
          <cell r="A171" t="str">
            <v>Краснодар</v>
          </cell>
        </row>
        <row r="172">
          <cell r="A172" t="str">
            <v>Краснодар</v>
          </cell>
        </row>
        <row r="173">
          <cell r="A173" t="str">
            <v>Краснодар</v>
          </cell>
        </row>
        <row r="174">
          <cell r="A174" t="str">
            <v>Краснодар</v>
          </cell>
        </row>
        <row r="175">
          <cell r="A175" t="str">
            <v>Краснодар</v>
          </cell>
        </row>
        <row r="176">
          <cell r="A176" t="str">
            <v>Краснодар</v>
          </cell>
        </row>
        <row r="177">
          <cell r="A177" t="str">
            <v>Краснодар</v>
          </cell>
        </row>
        <row r="178">
          <cell r="A178" t="str">
            <v>Краснодар</v>
          </cell>
        </row>
        <row r="179">
          <cell r="A179" t="str">
            <v>Краснодар</v>
          </cell>
        </row>
        <row r="180">
          <cell r="A180" t="str">
            <v>Краснодар</v>
          </cell>
        </row>
        <row r="181">
          <cell r="A181" t="str">
            <v>Краснодар</v>
          </cell>
        </row>
        <row r="182">
          <cell r="A182" t="str">
            <v>Краснодар</v>
          </cell>
        </row>
        <row r="183">
          <cell r="A183" t="str">
            <v>Краснодар</v>
          </cell>
        </row>
        <row r="184">
          <cell r="A184" t="str">
            <v>Краснодар</v>
          </cell>
        </row>
        <row r="185">
          <cell r="A185" t="str">
            <v>Краснодар</v>
          </cell>
        </row>
        <row r="186">
          <cell r="A186" t="str">
            <v>Краснодар</v>
          </cell>
        </row>
        <row r="187">
          <cell r="A187" t="str">
            <v>Краснодар</v>
          </cell>
        </row>
        <row r="188">
          <cell r="A188" t="str">
            <v>Краснодар</v>
          </cell>
        </row>
        <row r="189">
          <cell r="A189" t="str">
            <v>Краснодар</v>
          </cell>
        </row>
        <row r="190">
          <cell r="A190" t="str">
            <v>Краснодар</v>
          </cell>
        </row>
        <row r="191">
          <cell r="A191" t="str">
            <v>Краснодар</v>
          </cell>
        </row>
        <row r="192">
          <cell r="A192" t="str">
            <v>Краснодар</v>
          </cell>
        </row>
        <row r="193">
          <cell r="A193" t="str">
            <v>Москва</v>
          </cell>
        </row>
        <row r="194">
          <cell r="A194" t="str">
            <v>Москва</v>
          </cell>
        </row>
        <row r="195">
          <cell r="A195" t="str">
            <v>Москва</v>
          </cell>
        </row>
        <row r="196">
          <cell r="A196" t="str">
            <v>Москва</v>
          </cell>
        </row>
        <row r="197">
          <cell r="A197" t="str">
            <v>Москва</v>
          </cell>
        </row>
        <row r="198">
          <cell r="A198" t="str">
            <v>Москва</v>
          </cell>
        </row>
        <row r="199">
          <cell r="A199" t="str">
            <v>Москва</v>
          </cell>
        </row>
        <row r="200">
          <cell r="A200" t="str">
            <v>Москва</v>
          </cell>
        </row>
        <row r="201">
          <cell r="A201" t="str">
            <v>Москва</v>
          </cell>
        </row>
        <row r="202">
          <cell r="A202" t="str">
            <v>Москва</v>
          </cell>
        </row>
        <row r="203">
          <cell r="A203" t="str">
            <v>Москва</v>
          </cell>
        </row>
        <row r="204">
          <cell r="A204" t="str">
            <v>Москва</v>
          </cell>
        </row>
        <row r="205">
          <cell r="A205" t="str">
            <v>Москва</v>
          </cell>
        </row>
        <row r="206">
          <cell r="A206" t="str">
            <v>Москва</v>
          </cell>
        </row>
        <row r="207">
          <cell r="A207" t="str">
            <v>Москва</v>
          </cell>
        </row>
        <row r="208">
          <cell r="A208" t="str">
            <v>Москва</v>
          </cell>
        </row>
        <row r="209">
          <cell r="A209" t="str">
            <v>Москва</v>
          </cell>
        </row>
        <row r="210">
          <cell r="A210" t="str">
            <v>Москва</v>
          </cell>
        </row>
        <row r="211">
          <cell r="A211" t="str">
            <v>Москва</v>
          </cell>
        </row>
        <row r="212">
          <cell r="A212" t="str">
            <v>Москва</v>
          </cell>
        </row>
        <row r="213">
          <cell r="A213" t="str">
            <v>Москва</v>
          </cell>
        </row>
        <row r="214">
          <cell r="A214" t="str">
            <v>Москва</v>
          </cell>
        </row>
        <row r="215">
          <cell r="A215" t="str">
            <v>Москва</v>
          </cell>
        </row>
        <row r="216">
          <cell r="A216" t="str">
            <v>Москва</v>
          </cell>
        </row>
        <row r="217">
          <cell r="A217" t="str">
            <v>Москва</v>
          </cell>
        </row>
        <row r="218">
          <cell r="A218" t="str">
            <v>Москва</v>
          </cell>
        </row>
        <row r="219">
          <cell r="A219" t="str">
            <v>Москва</v>
          </cell>
        </row>
        <row r="220">
          <cell r="A220" t="str">
            <v>Москва</v>
          </cell>
        </row>
        <row r="221">
          <cell r="A221" t="str">
            <v>Москва</v>
          </cell>
        </row>
        <row r="222">
          <cell r="A222" t="str">
            <v>Москва</v>
          </cell>
        </row>
        <row r="223">
          <cell r="A223" t="str">
            <v>Москва</v>
          </cell>
        </row>
        <row r="224">
          <cell r="A224" t="str">
            <v>Москва</v>
          </cell>
        </row>
        <row r="225">
          <cell r="A225" t="str">
            <v>Москва</v>
          </cell>
        </row>
        <row r="226">
          <cell r="A226" t="str">
            <v>Москва</v>
          </cell>
        </row>
        <row r="227">
          <cell r="A227" t="str">
            <v>Москва</v>
          </cell>
        </row>
        <row r="228">
          <cell r="A228" t="str">
            <v>Москва</v>
          </cell>
        </row>
        <row r="229">
          <cell r="A229" t="str">
            <v>Москва</v>
          </cell>
        </row>
        <row r="230">
          <cell r="A230" t="str">
            <v>Москва</v>
          </cell>
        </row>
        <row r="231">
          <cell r="A231" t="str">
            <v>Москва</v>
          </cell>
        </row>
        <row r="232">
          <cell r="A232" t="str">
            <v>Москва</v>
          </cell>
        </row>
        <row r="233">
          <cell r="A233" t="str">
            <v>Нижний Новгород</v>
          </cell>
        </row>
        <row r="234">
          <cell r="A234" t="str">
            <v>Нижний Новгород</v>
          </cell>
        </row>
        <row r="235">
          <cell r="A235" t="str">
            <v>Нижний Новгород</v>
          </cell>
        </row>
        <row r="236">
          <cell r="A236" t="str">
            <v>Нижний Новгород</v>
          </cell>
        </row>
        <row r="237">
          <cell r="A237" t="str">
            <v>Нижний Новгород</v>
          </cell>
        </row>
        <row r="238">
          <cell r="A238" t="str">
            <v>Нижний Новгород</v>
          </cell>
        </row>
        <row r="239">
          <cell r="A239" t="str">
            <v>Нижний Новгород</v>
          </cell>
        </row>
        <row r="240">
          <cell r="A240" t="str">
            <v>Нижний Новгород</v>
          </cell>
        </row>
        <row r="241">
          <cell r="A241" t="str">
            <v>Нижний Новгород</v>
          </cell>
        </row>
        <row r="242">
          <cell r="A242" t="str">
            <v>Нижний Новгород</v>
          </cell>
        </row>
        <row r="243">
          <cell r="A243" t="str">
            <v>Нижний Новгород</v>
          </cell>
        </row>
        <row r="244">
          <cell r="A244" t="str">
            <v>Нижний Новгород</v>
          </cell>
        </row>
        <row r="245">
          <cell r="A245" t="str">
            <v>Нижний Новгород</v>
          </cell>
        </row>
        <row r="246">
          <cell r="A246" t="str">
            <v>Нижний Новгород</v>
          </cell>
        </row>
        <row r="247">
          <cell r="A247" t="str">
            <v>Нижний Новгород</v>
          </cell>
        </row>
        <row r="248">
          <cell r="A248" t="str">
            <v>Нижний Новгород</v>
          </cell>
        </row>
        <row r="249">
          <cell r="A249" t="str">
            <v>Нижний Новгород</v>
          </cell>
        </row>
        <row r="250">
          <cell r="A250" t="str">
            <v>Нижний Новгород</v>
          </cell>
        </row>
        <row r="251">
          <cell r="A251" t="str">
            <v>Нижний Новгород</v>
          </cell>
        </row>
        <row r="252">
          <cell r="A252" t="str">
            <v>Нижний Новгород</v>
          </cell>
        </row>
        <row r="253">
          <cell r="A253" t="str">
            <v>Нижний Новгород</v>
          </cell>
        </row>
        <row r="254">
          <cell r="A254" t="str">
            <v>Нижний Новгород</v>
          </cell>
        </row>
        <row r="255">
          <cell r="A255" t="str">
            <v>Нижний Новгород</v>
          </cell>
        </row>
        <row r="256">
          <cell r="A256" t="str">
            <v>Нижний Новгород</v>
          </cell>
        </row>
        <row r="257">
          <cell r="A257" t="str">
            <v>Нижний Новгород</v>
          </cell>
        </row>
        <row r="258">
          <cell r="A258" t="str">
            <v>Нижний Новгород</v>
          </cell>
        </row>
        <row r="259">
          <cell r="A259" t="str">
            <v>Нижний Новгород</v>
          </cell>
        </row>
        <row r="260">
          <cell r="A260" t="str">
            <v>Нижний Новгород</v>
          </cell>
        </row>
        <row r="261">
          <cell r="A261" t="str">
            <v>Нижний Новгород</v>
          </cell>
        </row>
        <row r="262">
          <cell r="A262" t="str">
            <v>Нижний Новгород</v>
          </cell>
        </row>
        <row r="263">
          <cell r="A263" t="str">
            <v>Нижний Новгород</v>
          </cell>
        </row>
        <row r="264">
          <cell r="A264" t="str">
            <v>Нижний Новгород</v>
          </cell>
        </row>
        <row r="265">
          <cell r="A265" t="str">
            <v>Нижний Новгород</v>
          </cell>
        </row>
        <row r="266">
          <cell r="A266" t="str">
            <v>Нижний Новгород</v>
          </cell>
        </row>
        <row r="267">
          <cell r="A267" t="str">
            <v>Нижний Новгород</v>
          </cell>
        </row>
        <row r="268">
          <cell r="A268" t="str">
            <v>Нижний Новгород</v>
          </cell>
        </row>
        <row r="269">
          <cell r="A269" t="str">
            <v>Нижний Новгород</v>
          </cell>
        </row>
        <row r="270">
          <cell r="A270" t="str">
            <v>Нижний Новгород</v>
          </cell>
        </row>
        <row r="271">
          <cell r="A271" t="str">
            <v>Нижний Новгород</v>
          </cell>
        </row>
        <row r="272">
          <cell r="A272" t="str">
            <v>Новосибирск</v>
          </cell>
        </row>
        <row r="273">
          <cell r="A273" t="str">
            <v>Новосибирск</v>
          </cell>
        </row>
        <row r="274">
          <cell r="A274" t="str">
            <v>Новосибирск</v>
          </cell>
        </row>
        <row r="275">
          <cell r="A275" t="str">
            <v>Новосибирск</v>
          </cell>
        </row>
        <row r="276">
          <cell r="A276" t="str">
            <v>Новосибирск</v>
          </cell>
        </row>
        <row r="277">
          <cell r="A277" t="str">
            <v>Новосибирск</v>
          </cell>
        </row>
        <row r="278">
          <cell r="A278" t="str">
            <v>Новосибирск</v>
          </cell>
        </row>
        <row r="279">
          <cell r="A279" t="str">
            <v>Новосибирск</v>
          </cell>
        </row>
        <row r="280">
          <cell r="A280" t="str">
            <v>Новосибирск</v>
          </cell>
        </row>
        <row r="281">
          <cell r="A281" t="str">
            <v>Новосибирск</v>
          </cell>
        </row>
        <row r="282">
          <cell r="A282" t="str">
            <v>Новосибирск</v>
          </cell>
        </row>
        <row r="283">
          <cell r="A283" t="str">
            <v>Новосибирск</v>
          </cell>
        </row>
        <row r="284">
          <cell r="A284" t="str">
            <v>Новосибирск</v>
          </cell>
        </row>
        <row r="285">
          <cell r="A285" t="str">
            <v>Новосибирск</v>
          </cell>
        </row>
        <row r="286">
          <cell r="A286" t="str">
            <v>Новосибирск</v>
          </cell>
        </row>
        <row r="287">
          <cell r="A287" t="str">
            <v>Новосибирск</v>
          </cell>
        </row>
        <row r="288">
          <cell r="A288" t="str">
            <v>Новосибирск</v>
          </cell>
        </row>
        <row r="289">
          <cell r="A289" t="str">
            <v>Новосибирск</v>
          </cell>
        </row>
        <row r="290">
          <cell r="A290" t="str">
            <v>Новосибирск</v>
          </cell>
        </row>
        <row r="291">
          <cell r="A291" t="str">
            <v>Новосибирск</v>
          </cell>
        </row>
        <row r="292">
          <cell r="A292" t="str">
            <v>Новосибирск</v>
          </cell>
        </row>
        <row r="293">
          <cell r="A293" t="str">
            <v>Новосибирск</v>
          </cell>
        </row>
        <row r="294">
          <cell r="A294" t="str">
            <v>Новосибирск</v>
          </cell>
        </row>
        <row r="295">
          <cell r="A295" t="str">
            <v>Новосибирск</v>
          </cell>
        </row>
        <row r="296">
          <cell r="A296" t="str">
            <v>Новосибирск</v>
          </cell>
        </row>
        <row r="297">
          <cell r="A297" t="str">
            <v>Новосибирск</v>
          </cell>
        </row>
        <row r="298">
          <cell r="A298" t="str">
            <v>Новосибирск</v>
          </cell>
        </row>
        <row r="299">
          <cell r="A299" t="str">
            <v>Новосибирск</v>
          </cell>
        </row>
        <row r="300">
          <cell r="A300" t="str">
            <v>Новосибирск</v>
          </cell>
        </row>
        <row r="301">
          <cell r="A301" t="str">
            <v>Новосибирск</v>
          </cell>
        </row>
        <row r="302">
          <cell r="A302" t="str">
            <v>Новосибирск</v>
          </cell>
        </row>
        <row r="303">
          <cell r="A303" t="str">
            <v>Новосибирск</v>
          </cell>
        </row>
        <row r="304">
          <cell r="A304" t="str">
            <v>Новосибирск</v>
          </cell>
        </row>
        <row r="305">
          <cell r="A305" t="str">
            <v>Новосибирск</v>
          </cell>
        </row>
        <row r="306">
          <cell r="A306" t="str">
            <v>Новосибирск</v>
          </cell>
        </row>
        <row r="307">
          <cell r="A307" t="str">
            <v>Новосибирск</v>
          </cell>
        </row>
        <row r="308">
          <cell r="A308" t="str">
            <v>Новосибирск</v>
          </cell>
        </row>
        <row r="309">
          <cell r="A309" t="str">
            <v>Омск</v>
          </cell>
        </row>
        <row r="310">
          <cell r="A310" t="str">
            <v>Омск</v>
          </cell>
        </row>
        <row r="311">
          <cell r="A311" t="str">
            <v>Омск</v>
          </cell>
        </row>
        <row r="312">
          <cell r="A312" t="str">
            <v>Омск</v>
          </cell>
        </row>
        <row r="313">
          <cell r="A313" t="str">
            <v>Омск</v>
          </cell>
        </row>
        <row r="314">
          <cell r="A314" t="str">
            <v>Омск</v>
          </cell>
        </row>
        <row r="315">
          <cell r="A315" t="str">
            <v>Омск</v>
          </cell>
        </row>
        <row r="316">
          <cell r="A316" t="str">
            <v>Омск</v>
          </cell>
        </row>
        <row r="317">
          <cell r="A317" t="str">
            <v>Омск</v>
          </cell>
        </row>
        <row r="318">
          <cell r="A318" t="str">
            <v>Омск</v>
          </cell>
        </row>
        <row r="319">
          <cell r="A319" t="str">
            <v>Омск</v>
          </cell>
        </row>
        <row r="320">
          <cell r="A320" t="str">
            <v>Омск</v>
          </cell>
        </row>
        <row r="321">
          <cell r="A321" t="str">
            <v>Омск</v>
          </cell>
        </row>
        <row r="322">
          <cell r="A322" t="str">
            <v>Омск</v>
          </cell>
        </row>
        <row r="323">
          <cell r="A323" t="str">
            <v>Омск</v>
          </cell>
        </row>
        <row r="324">
          <cell r="A324" t="str">
            <v>Омск</v>
          </cell>
        </row>
        <row r="325">
          <cell r="A325" t="str">
            <v>Омск</v>
          </cell>
        </row>
        <row r="326">
          <cell r="A326" t="str">
            <v>Омск</v>
          </cell>
        </row>
        <row r="327">
          <cell r="A327" t="str">
            <v>Омск</v>
          </cell>
        </row>
        <row r="328">
          <cell r="A328" t="str">
            <v>Омск</v>
          </cell>
        </row>
        <row r="329">
          <cell r="A329" t="str">
            <v>Омск</v>
          </cell>
        </row>
        <row r="330">
          <cell r="A330" t="str">
            <v>Омск</v>
          </cell>
        </row>
        <row r="331">
          <cell r="A331" t="str">
            <v>Омск</v>
          </cell>
        </row>
        <row r="332">
          <cell r="A332" t="str">
            <v>Омск</v>
          </cell>
        </row>
        <row r="333">
          <cell r="A333" t="str">
            <v>Омск</v>
          </cell>
        </row>
        <row r="334">
          <cell r="A334" t="str">
            <v>Омск</v>
          </cell>
        </row>
        <row r="335">
          <cell r="A335" t="str">
            <v>Омск</v>
          </cell>
        </row>
        <row r="336">
          <cell r="A336" t="str">
            <v>Омск</v>
          </cell>
        </row>
        <row r="337">
          <cell r="A337" t="str">
            <v>Омск</v>
          </cell>
        </row>
        <row r="338">
          <cell r="A338" t="str">
            <v>Омск</v>
          </cell>
        </row>
        <row r="339">
          <cell r="A339" t="str">
            <v>Омск</v>
          </cell>
        </row>
        <row r="340">
          <cell r="A340" t="str">
            <v>Омск</v>
          </cell>
        </row>
        <row r="341">
          <cell r="A341" t="str">
            <v>Омск</v>
          </cell>
        </row>
        <row r="342">
          <cell r="A342" t="str">
            <v>Омск</v>
          </cell>
        </row>
        <row r="343">
          <cell r="A343" t="str">
            <v>Омск</v>
          </cell>
        </row>
        <row r="344">
          <cell r="A344" t="str">
            <v>Омск</v>
          </cell>
        </row>
        <row r="345">
          <cell r="A345" t="str">
            <v>Омск</v>
          </cell>
        </row>
        <row r="346">
          <cell r="A346" t="str">
            <v>Омск</v>
          </cell>
        </row>
        <row r="347">
          <cell r="A347" t="str">
            <v>Омск</v>
          </cell>
        </row>
        <row r="348">
          <cell r="A348" t="str">
            <v>Санкт-Петербург</v>
          </cell>
        </row>
        <row r="349">
          <cell r="A349" t="str">
            <v>Санкт-Петербург</v>
          </cell>
        </row>
        <row r="350">
          <cell r="A350" t="str">
            <v>Санкт-Петербург</v>
          </cell>
        </row>
        <row r="351">
          <cell r="A351" t="str">
            <v>Санкт-Петербург</v>
          </cell>
        </row>
        <row r="352">
          <cell r="A352" t="str">
            <v>Санкт-Петербург</v>
          </cell>
        </row>
        <row r="353">
          <cell r="A353" t="str">
            <v>Санкт-Петербург</v>
          </cell>
        </row>
        <row r="354">
          <cell r="A354" t="str">
            <v>Санкт-Петербург</v>
          </cell>
        </row>
        <row r="355">
          <cell r="A355" t="str">
            <v>Санкт-Петербург</v>
          </cell>
        </row>
        <row r="356">
          <cell r="A356" t="str">
            <v>Санкт-Петербург</v>
          </cell>
        </row>
        <row r="357">
          <cell r="A357" t="str">
            <v>Санкт-Петербург</v>
          </cell>
        </row>
        <row r="358">
          <cell r="A358" t="str">
            <v>Санкт-Петербург</v>
          </cell>
        </row>
        <row r="359">
          <cell r="A359" t="str">
            <v>Санкт-Петербург</v>
          </cell>
        </row>
        <row r="360">
          <cell r="A360" t="str">
            <v>Санкт-Петербург</v>
          </cell>
        </row>
        <row r="361">
          <cell r="A361" t="str">
            <v>Санкт-Петербург</v>
          </cell>
        </row>
        <row r="362">
          <cell r="A362" t="str">
            <v>Санкт-Петербург</v>
          </cell>
        </row>
        <row r="363">
          <cell r="A363" t="str">
            <v>Санкт-Петербург</v>
          </cell>
        </row>
        <row r="364">
          <cell r="A364" t="str">
            <v>Санкт-Петербург</v>
          </cell>
        </row>
        <row r="365">
          <cell r="A365" t="str">
            <v>Санкт-Петербург</v>
          </cell>
        </row>
        <row r="366">
          <cell r="A366" t="str">
            <v>Санкт-Петербург</v>
          </cell>
        </row>
        <row r="367">
          <cell r="A367" t="str">
            <v>Санкт-Петербург</v>
          </cell>
        </row>
        <row r="368">
          <cell r="A368" t="str">
            <v>Санкт-Петербург</v>
          </cell>
        </row>
        <row r="369">
          <cell r="A369" t="str">
            <v>Санкт-Петербург</v>
          </cell>
        </row>
        <row r="370">
          <cell r="A370" t="str">
            <v>Санкт-Петербург</v>
          </cell>
        </row>
        <row r="371">
          <cell r="A371" t="str">
            <v>Санкт-Петербург</v>
          </cell>
        </row>
        <row r="372">
          <cell r="A372" t="str">
            <v>Санкт-Петербург</v>
          </cell>
        </row>
        <row r="373">
          <cell r="A373" t="str">
            <v>Санкт-Петербург</v>
          </cell>
        </row>
        <row r="374">
          <cell r="A374" t="str">
            <v>Санкт-Петербург</v>
          </cell>
        </row>
        <row r="375">
          <cell r="A375" t="str">
            <v>Санкт-Петербург</v>
          </cell>
        </row>
        <row r="376">
          <cell r="A376" t="str">
            <v>Санкт-Петербург</v>
          </cell>
        </row>
        <row r="377">
          <cell r="A377" t="str">
            <v>Санкт-Петербург</v>
          </cell>
        </row>
        <row r="378">
          <cell r="A378" t="str">
            <v>Санкт-Петербург</v>
          </cell>
        </row>
        <row r="379">
          <cell r="A379" t="str">
            <v>Санкт-Петербург</v>
          </cell>
        </row>
        <row r="380">
          <cell r="A380" t="str">
            <v>Санкт-Петербург</v>
          </cell>
        </row>
        <row r="381">
          <cell r="A381" t="str">
            <v>Санкт-Петербург</v>
          </cell>
        </row>
        <row r="382">
          <cell r="A382" t="str">
            <v>Санкт-Петербург</v>
          </cell>
        </row>
        <row r="383">
          <cell r="A383" t="str">
            <v>Санкт-Петербург</v>
          </cell>
        </row>
        <row r="384">
          <cell r="A384" t="str">
            <v>Санкт-Петербург</v>
          </cell>
        </row>
        <row r="385">
          <cell r="A385" t="str">
            <v>Санкт-Петербург</v>
          </cell>
        </row>
        <row r="386">
          <cell r="A386" t="str">
            <v>Санкт-Петербург</v>
          </cell>
        </row>
        <row r="387">
          <cell r="A387" t="str">
            <v>Санкт-Петербург</v>
          </cell>
        </row>
        <row r="388">
          <cell r="A388" t="str">
            <v>Томск</v>
          </cell>
        </row>
        <row r="389">
          <cell r="A389" t="str">
            <v>Томск</v>
          </cell>
        </row>
        <row r="390">
          <cell r="A390" t="str">
            <v>Томск</v>
          </cell>
        </row>
        <row r="391">
          <cell r="A391" t="str">
            <v>Томск</v>
          </cell>
        </row>
        <row r="392">
          <cell r="A392" t="str">
            <v>Томск</v>
          </cell>
        </row>
        <row r="393">
          <cell r="A393" t="str">
            <v>Томск</v>
          </cell>
        </row>
        <row r="394">
          <cell r="A394" t="str">
            <v>Томск</v>
          </cell>
        </row>
        <row r="395">
          <cell r="A395" t="str">
            <v>Томск</v>
          </cell>
        </row>
        <row r="396">
          <cell r="A396" t="str">
            <v>Томск</v>
          </cell>
        </row>
        <row r="397">
          <cell r="A397" t="str">
            <v>Томск</v>
          </cell>
        </row>
        <row r="398">
          <cell r="A398" t="str">
            <v>Томск</v>
          </cell>
        </row>
        <row r="399">
          <cell r="A399" t="str">
            <v>Томск</v>
          </cell>
        </row>
        <row r="400">
          <cell r="A400" t="str">
            <v>Томск</v>
          </cell>
        </row>
        <row r="401">
          <cell r="A401" t="str">
            <v>Томск</v>
          </cell>
        </row>
        <row r="402">
          <cell r="A402" t="str">
            <v>Томск</v>
          </cell>
        </row>
        <row r="403">
          <cell r="A403" t="str">
            <v>Томск</v>
          </cell>
        </row>
        <row r="404">
          <cell r="A404" t="str">
            <v>Томск</v>
          </cell>
        </row>
        <row r="405">
          <cell r="A405" t="str">
            <v>Томск</v>
          </cell>
        </row>
        <row r="406">
          <cell r="A406" t="str">
            <v>Томск</v>
          </cell>
        </row>
        <row r="407">
          <cell r="A407" t="str">
            <v>Томск</v>
          </cell>
        </row>
        <row r="408">
          <cell r="A408" t="str">
            <v>Томск</v>
          </cell>
        </row>
        <row r="409">
          <cell r="A409" t="str">
            <v>Томск</v>
          </cell>
        </row>
        <row r="410">
          <cell r="A410" t="str">
            <v>Томск</v>
          </cell>
        </row>
        <row r="411">
          <cell r="A411" t="str">
            <v>Томск</v>
          </cell>
        </row>
        <row r="412">
          <cell r="A412" t="str">
            <v>Томск</v>
          </cell>
        </row>
        <row r="413">
          <cell r="A413" t="str">
            <v>Томск</v>
          </cell>
        </row>
        <row r="414">
          <cell r="A414" t="str">
            <v>Томск</v>
          </cell>
        </row>
        <row r="415">
          <cell r="A415" t="str">
            <v>Томск</v>
          </cell>
        </row>
        <row r="416">
          <cell r="A416" t="str">
            <v>Томск</v>
          </cell>
        </row>
        <row r="417">
          <cell r="A417" t="str">
            <v>Томск</v>
          </cell>
        </row>
        <row r="418">
          <cell r="A418" t="str">
            <v>Томск</v>
          </cell>
        </row>
        <row r="419">
          <cell r="A419" t="str">
            <v>Томск</v>
          </cell>
        </row>
        <row r="420">
          <cell r="A420" t="str">
            <v>Томск</v>
          </cell>
        </row>
        <row r="421">
          <cell r="A421" t="str">
            <v>Томск</v>
          </cell>
        </row>
        <row r="422">
          <cell r="A422" t="str">
            <v>Томск</v>
          </cell>
        </row>
        <row r="423">
          <cell r="A423" t="str">
            <v>Томск</v>
          </cell>
        </row>
        <row r="424">
          <cell r="A424" t="str">
            <v>Томск</v>
          </cell>
        </row>
        <row r="425">
          <cell r="A425" t="str">
            <v>Томск</v>
          </cell>
        </row>
        <row r="426">
          <cell r="A426" t="str">
            <v>Томск</v>
          </cell>
        </row>
        <row r="427">
          <cell r="A427" t="str">
            <v>Хабаровск</v>
          </cell>
        </row>
        <row r="428">
          <cell r="A428" t="str">
            <v>Хабаровск</v>
          </cell>
        </row>
        <row r="429">
          <cell r="A429" t="str">
            <v>Хабаровск</v>
          </cell>
        </row>
        <row r="430">
          <cell r="A430" t="str">
            <v>Хабаровск</v>
          </cell>
        </row>
        <row r="431">
          <cell r="A431" t="str">
            <v>Хабаровск</v>
          </cell>
        </row>
        <row r="432">
          <cell r="A432" t="str">
            <v>Хабаровск</v>
          </cell>
        </row>
        <row r="433">
          <cell r="A433" t="str">
            <v>Хабаровск</v>
          </cell>
        </row>
        <row r="434">
          <cell r="A434" t="str">
            <v>Хабаровск</v>
          </cell>
        </row>
        <row r="435">
          <cell r="A435" t="str">
            <v>Хабаровск</v>
          </cell>
        </row>
        <row r="436">
          <cell r="A436" t="str">
            <v>Хабаровск</v>
          </cell>
        </row>
        <row r="437">
          <cell r="A437" t="str">
            <v>Хабаровск</v>
          </cell>
        </row>
        <row r="438">
          <cell r="A438" t="str">
            <v>Хабаровск</v>
          </cell>
        </row>
        <row r="439">
          <cell r="A439" t="str">
            <v>Хабаровск</v>
          </cell>
        </row>
        <row r="440">
          <cell r="A440" t="str">
            <v>Хабаровск</v>
          </cell>
        </row>
        <row r="441">
          <cell r="A441" t="str">
            <v>Хабаровск</v>
          </cell>
        </row>
        <row r="442">
          <cell r="A442" t="str">
            <v>Хабаровск</v>
          </cell>
        </row>
        <row r="443">
          <cell r="A443" t="str">
            <v>Хабаровск</v>
          </cell>
        </row>
        <row r="444">
          <cell r="A444" t="str">
            <v>Хабаровск</v>
          </cell>
        </row>
        <row r="445">
          <cell r="A445" t="str">
            <v>Хабаровск</v>
          </cell>
        </row>
        <row r="446">
          <cell r="A446" t="str">
            <v>Хабаровск</v>
          </cell>
        </row>
        <row r="447">
          <cell r="A447" t="str">
            <v>Хабаровск</v>
          </cell>
        </row>
        <row r="448">
          <cell r="A448" t="str">
            <v>Хабаровск</v>
          </cell>
        </row>
        <row r="449">
          <cell r="A449" t="str">
            <v>Хабаровск</v>
          </cell>
        </row>
        <row r="450">
          <cell r="A450" t="str">
            <v>Хабаровск</v>
          </cell>
        </row>
        <row r="451">
          <cell r="A451" t="str">
            <v>Хабаровск</v>
          </cell>
        </row>
        <row r="452">
          <cell r="A452" t="str">
            <v>Хабаровск</v>
          </cell>
        </row>
        <row r="453">
          <cell r="A453" t="str">
            <v>Хабаровск</v>
          </cell>
        </row>
        <row r="454">
          <cell r="A454" t="str">
            <v>Хабаровск</v>
          </cell>
        </row>
        <row r="455">
          <cell r="A455" t="str">
            <v>Хабаровск</v>
          </cell>
        </row>
        <row r="456">
          <cell r="A456" t="str">
            <v>Хабаровск</v>
          </cell>
        </row>
        <row r="457">
          <cell r="A457" t="str">
            <v>Хабаровск</v>
          </cell>
        </row>
        <row r="458">
          <cell r="A458" t="str">
            <v>Хабаровск</v>
          </cell>
        </row>
        <row r="459">
          <cell r="A459" t="str">
            <v>Хабаровск</v>
          </cell>
        </row>
        <row r="460">
          <cell r="A460" t="str">
            <v>Хабаровск</v>
          </cell>
        </row>
        <row r="461">
          <cell r="A461" t="str">
            <v>Хабаровск</v>
          </cell>
        </row>
        <row r="462">
          <cell r="A462" t="str">
            <v>Хабаровск</v>
          </cell>
        </row>
        <row r="463">
          <cell r="A463" t="str">
            <v>Хабаровск</v>
          </cell>
        </row>
        <row r="464">
          <cell r="A464" t="str">
            <v>Хабаровск</v>
          </cell>
        </row>
      </sheetData>
      <sheetData sheetId="24">
        <row r="2">
          <cell r="A2" t="str">
            <v>Москва</v>
          </cell>
          <cell r="B2" t="str">
            <v>BB</v>
          </cell>
          <cell r="C2">
            <v>61.45</v>
          </cell>
        </row>
        <row r="3">
          <cell r="A3" t="str">
            <v>Москва</v>
          </cell>
          <cell r="B3" t="str">
            <v>DBB</v>
          </cell>
          <cell r="C3">
            <v>74.489999999999995</v>
          </cell>
        </row>
        <row r="4">
          <cell r="A4" t="str">
            <v>Москва</v>
          </cell>
          <cell r="B4" t="str">
            <v>SS</v>
          </cell>
          <cell r="C4">
            <v>35.44</v>
          </cell>
        </row>
        <row r="5">
          <cell r="A5" t="str">
            <v>Москва</v>
          </cell>
          <cell r="B5" t="str">
            <v>DSS</v>
          </cell>
          <cell r="C5">
            <v>162.69</v>
          </cell>
        </row>
        <row r="6">
          <cell r="A6" t="str">
            <v>Москва</v>
          </cell>
          <cell r="B6" t="str">
            <v>CF</v>
          </cell>
          <cell r="C6">
            <v>27.55</v>
          </cell>
        </row>
        <row r="7">
          <cell r="A7" t="str">
            <v>Москва</v>
          </cell>
          <cell r="B7" t="str">
            <v>DCF</v>
          </cell>
          <cell r="C7">
            <v>20.63</v>
          </cell>
        </row>
        <row r="8">
          <cell r="A8" t="str">
            <v>Москва</v>
          </cell>
          <cell r="B8" t="str">
            <v>Медиафасады</v>
          </cell>
          <cell r="C8">
            <v>138.32</v>
          </cell>
        </row>
        <row r="9">
          <cell r="A9" t="str">
            <v>Москва</v>
          </cell>
          <cell r="B9" t="str">
            <v>PL</v>
          </cell>
          <cell r="C9">
            <v>37.33</v>
          </cell>
        </row>
        <row r="10">
          <cell r="A10" t="str">
            <v>Санкт-Петербург</v>
          </cell>
          <cell r="B10" t="str">
            <v xml:space="preserve">BB </v>
          </cell>
          <cell r="C10">
            <v>27.78</v>
          </cell>
        </row>
        <row r="11">
          <cell r="A11" t="str">
            <v>Санкт-Петербург</v>
          </cell>
          <cell r="B11" t="str">
            <v xml:space="preserve">DBB </v>
          </cell>
          <cell r="C11">
            <v>37.04</v>
          </cell>
        </row>
        <row r="12">
          <cell r="A12" t="str">
            <v>Санкт-Петербург</v>
          </cell>
          <cell r="B12" t="str">
            <v xml:space="preserve">SS </v>
          </cell>
          <cell r="C12">
            <v>88.38</v>
          </cell>
        </row>
        <row r="13">
          <cell r="A13" t="str">
            <v>Санкт-Петербург</v>
          </cell>
          <cell r="B13" t="str">
            <v xml:space="preserve">DSS </v>
          </cell>
          <cell r="C13">
            <v>60.53</v>
          </cell>
        </row>
        <row r="14">
          <cell r="A14" t="str">
            <v>Санкт-Петербург</v>
          </cell>
          <cell r="B14" t="str">
            <v xml:space="preserve">CF </v>
          </cell>
          <cell r="C14">
            <v>20.03</v>
          </cell>
        </row>
        <row r="15">
          <cell r="A15" t="str">
            <v>Санкт-Петербург</v>
          </cell>
          <cell r="B15" t="str">
            <v xml:space="preserve">DCF </v>
          </cell>
        </row>
        <row r="16">
          <cell r="A16" t="str">
            <v>Санкт-Петербург</v>
          </cell>
          <cell r="B16" t="str">
            <v xml:space="preserve">Медиафасад </v>
          </cell>
        </row>
        <row r="17">
          <cell r="A17" t="str">
            <v>Санкт-Петербург</v>
          </cell>
          <cell r="B17" t="str">
            <v>PL</v>
          </cell>
          <cell r="C17">
            <v>18.8</v>
          </cell>
        </row>
        <row r="18">
          <cell r="A18" t="str">
            <v>Екатеринбург</v>
          </cell>
          <cell r="B18" t="str">
            <v xml:space="preserve">BB </v>
          </cell>
          <cell r="C18">
            <v>26.75</v>
          </cell>
        </row>
        <row r="19">
          <cell r="A19" t="str">
            <v>Екатеринбург</v>
          </cell>
          <cell r="B19" t="str">
            <v xml:space="preserve">DBB </v>
          </cell>
          <cell r="C19">
            <v>22.08</v>
          </cell>
        </row>
        <row r="20">
          <cell r="A20" t="str">
            <v>Екатеринбург</v>
          </cell>
          <cell r="B20" t="str">
            <v xml:space="preserve">SS </v>
          </cell>
          <cell r="C20">
            <v>87.74</v>
          </cell>
        </row>
        <row r="21">
          <cell r="A21" t="str">
            <v>Екатеринбург</v>
          </cell>
          <cell r="B21" t="str">
            <v xml:space="preserve">DSS </v>
          </cell>
          <cell r="C21">
            <v>57.83</v>
          </cell>
        </row>
        <row r="22">
          <cell r="A22" t="str">
            <v>Екатеринбург</v>
          </cell>
          <cell r="B22" t="str">
            <v xml:space="preserve">CF </v>
          </cell>
          <cell r="C22">
            <v>15.48</v>
          </cell>
        </row>
        <row r="23">
          <cell r="A23" t="str">
            <v>Екатеринбург</v>
          </cell>
          <cell r="B23" t="str">
            <v xml:space="preserve">DCF </v>
          </cell>
          <cell r="C23">
            <v>15.86</v>
          </cell>
        </row>
        <row r="24">
          <cell r="A24" t="str">
            <v>Екатеринбург</v>
          </cell>
          <cell r="B24" t="str">
            <v xml:space="preserve">Медиафасад </v>
          </cell>
          <cell r="C24">
            <v>76.239999999999995</v>
          </cell>
        </row>
        <row r="25">
          <cell r="A25" t="str">
            <v>Екатеринбург</v>
          </cell>
          <cell r="B25" t="str">
            <v>PL</v>
          </cell>
        </row>
        <row r="26">
          <cell r="A26" t="str">
            <v>Томск</v>
          </cell>
          <cell r="B26" t="str">
            <v xml:space="preserve">BB </v>
          </cell>
          <cell r="C26">
            <v>21.54</v>
          </cell>
        </row>
        <row r="27">
          <cell r="A27" t="str">
            <v>Томск</v>
          </cell>
          <cell r="B27" t="str">
            <v xml:space="preserve">DBB </v>
          </cell>
          <cell r="C27">
            <v>24.34</v>
          </cell>
        </row>
        <row r="28">
          <cell r="A28" t="str">
            <v>Томск</v>
          </cell>
          <cell r="B28" t="str">
            <v xml:space="preserve">SS </v>
          </cell>
          <cell r="C28">
            <v>20.21</v>
          </cell>
        </row>
        <row r="29">
          <cell r="A29" t="str">
            <v>Томск</v>
          </cell>
          <cell r="B29" t="str">
            <v xml:space="preserve">DSS </v>
          </cell>
          <cell r="C29">
            <v>25</v>
          </cell>
        </row>
        <row r="30">
          <cell r="A30" t="str">
            <v>Томск</v>
          </cell>
          <cell r="B30" t="str">
            <v xml:space="preserve">CF </v>
          </cell>
          <cell r="C30">
            <v>19.170000000000002</v>
          </cell>
        </row>
        <row r="31">
          <cell r="A31" t="str">
            <v>Томск</v>
          </cell>
          <cell r="B31" t="str">
            <v xml:space="preserve">DCF </v>
          </cell>
        </row>
        <row r="32">
          <cell r="A32" t="str">
            <v>Томск</v>
          </cell>
          <cell r="B32" t="str">
            <v xml:space="preserve">Медиафасад </v>
          </cell>
        </row>
        <row r="33">
          <cell r="A33" t="str">
            <v>Томск</v>
          </cell>
          <cell r="B33" t="str">
            <v>PL</v>
          </cell>
          <cell r="C33">
            <v>18.46</v>
          </cell>
        </row>
        <row r="34">
          <cell r="A34" t="str">
            <v>Кемерово</v>
          </cell>
          <cell r="B34" t="str">
            <v xml:space="preserve">BB </v>
          </cell>
        </row>
        <row r="35">
          <cell r="A35" t="str">
            <v>Кемерово</v>
          </cell>
          <cell r="B35" t="str">
            <v xml:space="preserve">DBB </v>
          </cell>
        </row>
        <row r="36">
          <cell r="A36" t="str">
            <v>Кемерово</v>
          </cell>
          <cell r="B36" t="str">
            <v xml:space="preserve">SS </v>
          </cell>
        </row>
        <row r="37">
          <cell r="A37" t="str">
            <v>Кемерово</v>
          </cell>
          <cell r="B37" t="str">
            <v xml:space="preserve">DSS </v>
          </cell>
        </row>
        <row r="38">
          <cell r="A38" t="str">
            <v>Кемерово</v>
          </cell>
          <cell r="B38" t="str">
            <v xml:space="preserve">CF </v>
          </cell>
        </row>
        <row r="39">
          <cell r="A39" t="str">
            <v>Кемерово</v>
          </cell>
          <cell r="B39" t="str">
            <v xml:space="preserve">DCF </v>
          </cell>
        </row>
        <row r="40">
          <cell r="A40" t="str">
            <v>Кемерово</v>
          </cell>
          <cell r="B40" t="str">
            <v xml:space="preserve">Медиафасад </v>
          </cell>
        </row>
        <row r="41">
          <cell r="A41" t="str">
            <v>Кемерово</v>
          </cell>
          <cell r="B41" t="str">
            <v>PL</v>
          </cell>
        </row>
        <row r="42">
          <cell r="A42" t="str">
            <v>Казань</v>
          </cell>
          <cell r="B42" t="str">
            <v xml:space="preserve">BB </v>
          </cell>
          <cell r="C42">
            <v>41.48</v>
          </cell>
        </row>
        <row r="43">
          <cell r="A43" t="str">
            <v>Казань</v>
          </cell>
          <cell r="B43" t="str">
            <v xml:space="preserve">DBB </v>
          </cell>
          <cell r="C43">
            <v>45.62</v>
          </cell>
        </row>
        <row r="44">
          <cell r="A44" t="str">
            <v>Казань</v>
          </cell>
          <cell r="B44" t="str">
            <v xml:space="preserve">SS </v>
          </cell>
          <cell r="C44">
            <v>82.87</v>
          </cell>
        </row>
        <row r="45">
          <cell r="A45" t="str">
            <v>Казань</v>
          </cell>
          <cell r="B45" t="str">
            <v xml:space="preserve">DSS </v>
          </cell>
          <cell r="C45">
            <v>76.37</v>
          </cell>
        </row>
        <row r="46">
          <cell r="A46" t="str">
            <v>Казань</v>
          </cell>
          <cell r="B46" t="str">
            <v xml:space="preserve">CF </v>
          </cell>
          <cell r="C46">
            <v>18.86</v>
          </cell>
        </row>
        <row r="47">
          <cell r="A47" t="str">
            <v>Казань</v>
          </cell>
          <cell r="B47" t="str">
            <v xml:space="preserve">DCF </v>
          </cell>
          <cell r="C47">
            <v>23.15</v>
          </cell>
        </row>
        <row r="48">
          <cell r="A48" t="str">
            <v>Казань</v>
          </cell>
          <cell r="B48" t="str">
            <v xml:space="preserve">Медиафасад </v>
          </cell>
        </row>
        <row r="49">
          <cell r="A49" t="str">
            <v>Казань</v>
          </cell>
          <cell r="B49" t="str">
            <v>PL</v>
          </cell>
          <cell r="C49">
            <v>18.98</v>
          </cell>
        </row>
        <row r="50">
          <cell r="A50" t="str">
            <v>Новосибирск</v>
          </cell>
          <cell r="B50" t="str">
            <v xml:space="preserve">BB </v>
          </cell>
          <cell r="C50">
            <v>44.71</v>
          </cell>
        </row>
        <row r="51">
          <cell r="A51" t="str">
            <v>Новосибирск</v>
          </cell>
          <cell r="B51" t="str">
            <v xml:space="preserve">DBB </v>
          </cell>
          <cell r="C51">
            <v>42.42</v>
          </cell>
        </row>
        <row r="52">
          <cell r="A52" t="str">
            <v>Новосибирск</v>
          </cell>
          <cell r="B52" t="str">
            <v xml:space="preserve">SS </v>
          </cell>
          <cell r="C52">
            <v>112.11</v>
          </cell>
        </row>
        <row r="53">
          <cell r="A53" t="str">
            <v>Новосибирск</v>
          </cell>
          <cell r="B53" t="str">
            <v xml:space="preserve">DSS </v>
          </cell>
          <cell r="C53">
            <v>85.63</v>
          </cell>
        </row>
        <row r="54">
          <cell r="A54" t="str">
            <v>Новосибирск</v>
          </cell>
          <cell r="B54" t="str">
            <v xml:space="preserve">CF </v>
          </cell>
          <cell r="C54">
            <v>21.5</v>
          </cell>
        </row>
        <row r="55">
          <cell r="A55" t="str">
            <v>Новосибирск</v>
          </cell>
          <cell r="B55" t="str">
            <v xml:space="preserve">DCF </v>
          </cell>
          <cell r="C55">
            <v>16.37</v>
          </cell>
        </row>
        <row r="56">
          <cell r="A56" t="str">
            <v>Новосибирск</v>
          </cell>
          <cell r="B56" t="str">
            <v xml:space="preserve">Медиафасад </v>
          </cell>
        </row>
        <row r="57">
          <cell r="A57" t="str">
            <v>Новосибирск</v>
          </cell>
          <cell r="B57" t="str">
            <v>PL</v>
          </cell>
          <cell r="C57">
            <v>24.32</v>
          </cell>
        </row>
        <row r="58">
          <cell r="A58" t="str">
            <v>Краснодар</v>
          </cell>
          <cell r="B58" t="str">
            <v xml:space="preserve">BB </v>
          </cell>
          <cell r="C58">
            <v>27.05</v>
          </cell>
        </row>
        <row r="59">
          <cell r="A59" t="str">
            <v>Краснодар</v>
          </cell>
          <cell r="B59" t="str">
            <v xml:space="preserve">DBB </v>
          </cell>
          <cell r="C59">
            <v>35.08</v>
          </cell>
        </row>
        <row r="60">
          <cell r="A60" t="str">
            <v>Краснодар</v>
          </cell>
          <cell r="B60" t="str">
            <v xml:space="preserve">SS </v>
          </cell>
          <cell r="C60">
            <v>88.22</v>
          </cell>
        </row>
        <row r="61">
          <cell r="A61" t="str">
            <v>Краснодар</v>
          </cell>
          <cell r="B61" t="str">
            <v xml:space="preserve">DSS </v>
          </cell>
          <cell r="C61">
            <v>62.86</v>
          </cell>
        </row>
        <row r="62">
          <cell r="A62" t="str">
            <v>Краснодар</v>
          </cell>
          <cell r="B62" t="str">
            <v xml:space="preserve">CF </v>
          </cell>
          <cell r="C62">
            <v>18.97</v>
          </cell>
        </row>
        <row r="63">
          <cell r="A63" t="str">
            <v>Краснодар</v>
          </cell>
          <cell r="B63" t="str">
            <v xml:space="preserve">DCF </v>
          </cell>
        </row>
        <row r="64">
          <cell r="A64" t="str">
            <v>Краснодар</v>
          </cell>
          <cell r="B64" t="str">
            <v xml:space="preserve">Медиафасад </v>
          </cell>
        </row>
        <row r="65">
          <cell r="A65" t="str">
            <v>Краснодар</v>
          </cell>
          <cell r="B65" t="str">
            <v>PL</v>
          </cell>
          <cell r="C65">
            <v>12.25</v>
          </cell>
        </row>
        <row r="66">
          <cell r="A66" t="str">
            <v>Сочи</v>
          </cell>
          <cell r="B66" t="str">
            <v xml:space="preserve">BB </v>
          </cell>
          <cell r="C66">
            <v>24.48</v>
          </cell>
        </row>
        <row r="67">
          <cell r="A67" t="str">
            <v>Сочи</v>
          </cell>
          <cell r="B67" t="str">
            <v xml:space="preserve">DBB </v>
          </cell>
          <cell r="C67">
            <v>24.93</v>
          </cell>
        </row>
        <row r="68">
          <cell r="A68" t="str">
            <v>Сочи</v>
          </cell>
          <cell r="B68" t="str">
            <v xml:space="preserve">SS </v>
          </cell>
          <cell r="C68">
            <v>73.290000000000006</v>
          </cell>
        </row>
        <row r="69">
          <cell r="A69" t="str">
            <v>Сочи</v>
          </cell>
          <cell r="B69" t="str">
            <v xml:space="preserve">DSS </v>
          </cell>
          <cell r="C69">
            <v>31.2</v>
          </cell>
        </row>
        <row r="70">
          <cell r="A70" t="str">
            <v>Сочи</v>
          </cell>
          <cell r="B70" t="str">
            <v xml:space="preserve">CF </v>
          </cell>
          <cell r="C70">
            <v>20.79</v>
          </cell>
        </row>
        <row r="71">
          <cell r="A71" t="str">
            <v>Сочи</v>
          </cell>
          <cell r="B71" t="str">
            <v xml:space="preserve">DCF </v>
          </cell>
          <cell r="C71">
            <v>27.22</v>
          </cell>
        </row>
        <row r="72">
          <cell r="A72" t="str">
            <v>Сочи</v>
          </cell>
          <cell r="B72" t="str">
            <v xml:space="preserve">Медиафасад </v>
          </cell>
          <cell r="C72">
            <v>37.71</v>
          </cell>
        </row>
        <row r="73">
          <cell r="A73" t="str">
            <v>Сочи</v>
          </cell>
          <cell r="B73" t="str">
            <v>PL</v>
          </cell>
          <cell r="C73">
            <v>12.25</v>
          </cell>
        </row>
        <row r="74">
          <cell r="A74" t="str">
            <v>Чебоксары</v>
          </cell>
          <cell r="B74" t="str">
            <v xml:space="preserve">BB </v>
          </cell>
          <cell r="C74">
            <v>28.74</v>
          </cell>
        </row>
        <row r="75">
          <cell r="A75" t="str">
            <v>Чебоксары</v>
          </cell>
          <cell r="B75" t="str">
            <v xml:space="preserve">DBB </v>
          </cell>
          <cell r="C75">
            <v>27.51</v>
          </cell>
        </row>
        <row r="76">
          <cell r="A76" t="str">
            <v>Чебоксары</v>
          </cell>
          <cell r="B76" t="str">
            <v xml:space="preserve">SS </v>
          </cell>
          <cell r="C76">
            <v>64.41</v>
          </cell>
        </row>
        <row r="77">
          <cell r="A77" t="str">
            <v>Чебоксары</v>
          </cell>
          <cell r="B77" t="str">
            <v xml:space="preserve">DSS </v>
          </cell>
        </row>
        <row r="78">
          <cell r="A78" t="str">
            <v>Чебоксары</v>
          </cell>
          <cell r="B78" t="str">
            <v xml:space="preserve">CF </v>
          </cell>
          <cell r="C78">
            <v>12.28</v>
          </cell>
        </row>
        <row r="79">
          <cell r="A79" t="str">
            <v>Чебоксары</v>
          </cell>
          <cell r="B79" t="str">
            <v xml:space="preserve">DCF </v>
          </cell>
        </row>
        <row r="80">
          <cell r="A80" t="str">
            <v>Чебоксары</v>
          </cell>
          <cell r="B80" t="str">
            <v xml:space="preserve">Медиафасад </v>
          </cell>
        </row>
        <row r="81">
          <cell r="A81" t="str">
            <v>Чебоксары</v>
          </cell>
          <cell r="B81" t="str">
            <v>PL</v>
          </cell>
        </row>
        <row r="82">
          <cell r="A82" t="str">
            <v>Нижний Новгород</v>
          </cell>
          <cell r="B82" t="str">
            <v xml:space="preserve">BB </v>
          </cell>
          <cell r="C82">
            <v>32.79</v>
          </cell>
        </row>
        <row r="83">
          <cell r="A83" t="str">
            <v>Нижний Новгород</v>
          </cell>
          <cell r="B83" t="str">
            <v xml:space="preserve">DBB </v>
          </cell>
          <cell r="C83">
            <v>37.04</v>
          </cell>
        </row>
        <row r="84">
          <cell r="A84" t="str">
            <v>Нижний Новгород</v>
          </cell>
          <cell r="B84" t="str">
            <v xml:space="preserve">SS </v>
          </cell>
          <cell r="C84">
            <v>66.2</v>
          </cell>
        </row>
        <row r="85">
          <cell r="A85" t="str">
            <v>Нижний Новгород</v>
          </cell>
          <cell r="B85" t="str">
            <v xml:space="preserve">DSS </v>
          </cell>
          <cell r="C85">
            <v>55.01</v>
          </cell>
        </row>
        <row r="86">
          <cell r="A86" t="str">
            <v>Нижний Новгород</v>
          </cell>
          <cell r="B86" t="str">
            <v xml:space="preserve">CF </v>
          </cell>
          <cell r="C86">
            <v>23.23</v>
          </cell>
        </row>
        <row r="87">
          <cell r="A87" t="str">
            <v>Нижний Новгород</v>
          </cell>
          <cell r="B87" t="str">
            <v xml:space="preserve">DCF </v>
          </cell>
          <cell r="C87">
            <v>11.73</v>
          </cell>
        </row>
        <row r="88">
          <cell r="A88" t="str">
            <v>Нижний Новгород</v>
          </cell>
          <cell r="B88" t="str">
            <v xml:space="preserve">Медиафасад </v>
          </cell>
        </row>
        <row r="89">
          <cell r="A89" t="str">
            <v>Нижний Новгород</v>
          </cell>
          <cell r="B89" t="str">
            <v>PL</v>
          </cell>
          <cell r="C89">
            <v>24.82</v>
          </cell>
        </row>
        <row r="90">
          <cell r="A90" t="str">
            <v>Хабаровск</v>
          </cell>
          <cell r="B90" t="str">
            <v xml:space="preserve">BB </v>
          </cell>
          <cell r="C90">
            <v>27.95</v>
          </cell>
        </row>
        <row r="91">
          <cell r="A91" t="str">
            <v>Хабаровск</v>
          </cell>
          <cell r="B91" t="str">
            <v xml:space="preserve">DBB </v>
          </cell>
          <cell r="C91">
            <v>34.270000000000003</v>
          </cell>
        </row>
        <row r="92">
          <cell r="A92" t="str">
            <v>Хабаровск</v>
          </cell>
          <cell r="B92" t="str">
            <v xml:space="preserve">SS </v>
          </cell>
          <cell r="C92">
            <v>53.93</v>
          </cell>
        </row>
        <row r="93">
          <cell r="A93" t="str">
            <v>Хабаровск</v>
          </cell>
          <cell r="B93" t="str">
            <v xml:space="preserve">DSS </v>
          </cell>
          <cell r="C93">
            <v>27.56</v>
          </cell>
        </row>
        <row r="94">
          <cell r="A94" t="str">
            <v>Хабаровск</v>
          </cell>
          <cell r="B94" t="str">
            <v xml:space="preserve">CF </v>
          </cell>
          <cell r="C94">
            <v>19.420000000000002</v>
          </cell>
        </row>
        <row r="95">
          <cell r="A95" t="str">
            <v>Хабаровск</v>
          </cell>
          <cell r="B95" t="str">
            <v xml:space="preserve">DCF </v>
          </cell>
        </row>
        <row r="96">
          <cell r="A96" t="str">
            <v>Хабаровск</v>
          </cell>
          <cell r="B96" t="str">
            <v xml:space="preserve">Медиафасад </v>
          </cell>
        </row>
        <row r="97">
          <cell r="A97" t="str">
            <v>Хабаровск</v>
          </cell>
          <cell r="B97" t="str">
            <v>PL</v>
          </cell>
          <cell r="C97">
            <v>13.24</v>
          </cell>
        </row>
        <row r="98">
          <cell r="A98" t="str">
            <v>Калининград</v>
          </cell>
          <cell r="B98" t="str">
            <v xml:space="preserve">BB </v>
          </cell>
        </row>
        <row r="99">
          <cell r="A99" t="str">
            <v>Калининград</v>
          </cell>
          <cell r="B99" t="str">
            <v xml:space="preserve">DBB </v>
          </cell>
        </row>
        <row r="100">
          <cell r="A100" t="str">
            <v>Калининград</v>
          </cell>
          <cell r="B100" t="str">
            <v xml:space="preserve">SS </v>
          </cell>
        </row>
        <row r="101">
          <cell r="A101" t="str">
            <v>Калининград</v>
          </cell>
          <cell r="B101" t="str">
            <v xml:space="preserve">DSS </v>
          </cell>
        </row>
        <row r="102">
          <cell r="A102" t="str">
            <v>Калининград</v>
          </cell>
          <cell r="B102" t="str">
            <v xml:space="preserve">CF </v>
          </cell>
        </row>
        <row r="103">
          <cell r="A103" t="str">
            <v>Калининград</v>
          </cell>
          <cell r="B103" t="str">
            <v xml:space="preserve">DCF </v>
          </cell>
        </row>
        <row r="104">
          <cell r="A104" t="str">
            <v>Калининград</v>
          </cell>
          <cell r="B104" t="str">
            <v xml:space="preserve">Медиафасад </v>
          </cell>
        </row>
        <row r="105">
          <cell r="A105" t="str">
            <v>Калининград</v>
          </cell>
          <cell r="B105" t="str">
            <v>PL</v>
          </cell>
        </row>
        <row r="106">
          <cell r="A106" t="str">
            <v>Омск</v>
          </cell>
          <cell r="B106" t="str">
            <v xml:space="preserve">BB </v>
          </cell>
          <cell r="C106">
            <v>34.24</v>
          </cell>
        </row>
        <row r="107">
          <cell r="A107" t="str">
            <v>Омск</v>
          </cell>
          <cell r="B107" t="str">
            <v xml:space="preserve">DBB </v>
          </cell>
          <cell r="C107">
            <v>50.34</v>
          </cell>
        </row>
        <row r="108">
          <cell r="A108" t="str">
            <v>Омск</v>
          </cell>
          <cell r="B108" t="str">
            <v xml:space="preserve">SS </v>
          </cell>
          <cell r="C108">
            <v>82.54</v>
          </cell>
        </row>
        <row r="109">
          <cell r="A109" t="str">
            <v>Омск</v>
          </cell>
          <cell r="B109" t="str">
            <v xml:space="preserve">DSS </v>
          </cell>
          <cell r="C109">
            <v>84.32</v>
          </cell>
        </row>
        <row r="110">
          <cell r="A110" t="str">
            <v>Омск</v>
          </cell>
          <cell r="B110" t="str">
            <v xml:space="preserve">CF </v>
          </cell>
          <cell r="C110">
            <v>24.31</v>
          </cell>
        </row>
        <row r="111">
          <cell r="A111" t="str">
            <v>Омск</v>
          </cell>
          <cell r="B111" t="str">
            <v xml:space="preserve">DCF </v>
          </cell>
          <cell r="C111">
            <v>18.7</v>
          </cell>
        </row>
        <row r="112">
          <cell r="A112" t="str">
            <v>Омск</v>
          </cell>
          <cell r="B112" t="str">
            <v xml:space="preserve">Медиафасад </v>
          </cell>
        </row>
        <row r="113">
          <cell r="A113" t="str">
            <v>Омск</v>
          </cell>
          <cell r="B113" t="str">
            <v>PL</v>
          </cell>
        </row>
        <row r="114">
          <cell r="A114" t="str">
            <v>Воронеж</v>
          </cell>
          <cell r="B114" t="str">
            <v xml:space="preserve">BB </v>
          </cell>
          <cell r="C114">
            <v>37.369999999999997</v>
          </cell>
        </row>
        <row r="115">
          <cell r="A115" t="str">
            <v>Воронеж</v>
          </cell>
          <cell r="B115" t="str">
            <v xml:space="preserve">DBB </v>
          </cell>
          <cell r="C115">
            <v>52.53</v>
          </cell>
        </row>
        <row r="116">
          <cell r="A116" t="str">
            <v>Воронеж</v>
          </cell>
          <cell r="B116" t="str">
            <v xml:space="preserve">SS </v>
          </cell>
          <cell r="C116">
            <v>95.42</v>
          </cell>
        </row>
        <row r="117">
          <cell r="A117" t="str">
            <v>Воронеж</v>
          </cell>
          <cell r="B117" t="str">
            <v xml:space="preserve">DSS </v>
          </cell>
          <cell r="C117">
            <v>46.5</v>
          </cell>
        </row>
        <row r="118">
          <cell r="A118" t="str">
            <v>Воронеж</v>
          </cell>
          <cell r="B118" t="str">
            <v xml:space="preserve">CF </v>
          </cell>
          <cell r="C118">
            <v>18.760000000000002</v>
          </cell>
        </row>
        <row r="119">
          <cell r="A119" t="str">
            <v>Воронеж</v>
          </cell>
          <cell r="B119" t="str">
            <v xml:space="preserve">DCF </v>
          </cell>
        </row>
        <row r="120">
          <cell r="A120" t="str">
            <v>Воронеж</v>
          </cell>
          <cell r="B120" t="str">
            <v xml:space="preserve">Медиафасад </v>
          </cell>
        </row>
        <row r="121">
          <cell r="A121" t="str">
            <v>Воронеж</v>
          </cell>
          <cell r="B121" t="str">
            <v>PL</v>
          </cell>
          <cell r="C121">
            <v>16.32</v>
          </cell>
        </row>
      </sheetData>
      <sheetData sheetId="25">
        <row r="2">
          <cell r="A2" t="str">
            <v>Москва</v>
          </cell>
          <cell r="E2">
            <v>467692.30769230769</v>
          </cell>
          <cell r="F2" t="str">
            <v>Digital Screen в вагонах</v>
          </cell>
          <cell r="G2">
            <v>0.1</v>
          </cell>
        </row>
        <row r="3">
          <cell r="A3" t="str">
            <v>Санкт-Петербург</v>
          </cell>
          <cell r="E3">
            <v>304000</v>
          </cell>
          <cell r="F3" t="str">
            <v>DCF на ст.метро</v>
          </cell>
          <cell r="G3">
            <v>0.4</v>
          </cell>
        </row>
        <row r="4">
          <cell r="A4" t="str">
            <v>Екатеринбург</v>
          </cell>
          <cell r="E4">
            <v>114000</v>
          </cell>
          <cell r="F4" t="str">
            <v>Digital Screen на ст.Савеловская</v>
          </cell>
          <cell r="G4">
            <v>0.03</v>
          </cell>
        </row>
        <row r="5">
          <cell r="A5" t="str">
            <v>Томск</v>
          </cell>
          <cell r="F5" t="str">
            <v>Стикеры в вагонах А2</v>
          </cell>
          <cell r="G5">
            <v>0.4</v>
          </cell>
        </row>
        <row r="6">
          <cell r="A6" t="str">
            <v>Кемерово</v>
          </cell>
          <cell r="F6" t="str">
            <v>Стикеры в вагонах над дверью</v>
          </cell>
          <cell r="G6">
            <v>0.4</v>
          </cell>
        </row>
        <row r="7">
          <cell r="A7" t="str">
            <v>Казань</v>
          </cell>
          <cell r="E7">
            <v>98800</v>
          </cell>
        </row>
        <row r="8">
          <cell r="A8" t="str">
            <v>Новосибирск</v>
          </cell>
          <cell r="E8">
            <v>87780</v>
          </cell>
        </row>
        <row r="9">
          <cell r="A9" t="str">
            <v>Краснодар</v>
          </cell>
        </row>
        <row r="10">
          <cell r="A10" t="str">
            <v>Сочи</v>
          </cell>
        </row>
        <row r="11">
          <cell r="A11" t="str">
            <v>Чебоксары</v>
          </cell>
        </row>
        <row r="12">
          <cell r="A12" t="str">
            <v>Нижний Новгород</v>
          </cell>
          <cell r="E12">
            <v>31540</v>
          </cell>
        </row>
        <row r="13">
          <cell r="A13" t="str">
            <v>Хабаровск</v>
          </cell>
        </row>
        <row r="14">
          <cell r="A14" t="str">
            <v>Калининград</v>
          </cell>
        </row>
        <row r="15">
          <cell r="A15" t="str">
            <v>Омск</v>
          </cell>
        </row>
        <row r="16">
          <cell r="A16" t="str">
            <v>Воронеж</v>
          </cell>
        </row>
        <row r="19">
          <cell r="A19" t="str">
            <v>Источник: оценка агентства OMD</v>
          </cell>
        </row>
      </sheetData>
      <sheetData sheetId="26">
        <row r="1">
          <cell r="A1" t="str">
            <v>Город</v>
          </cell>
        </row>
        <row r="2">
          <cell r="A2" t="str">
            <v>Москва</v>
          </cell>
        </row>
        <row r="3">
          <cell r="A3" t="str">
            <v>Москва</v>
          </cell>
        </row>
        <row r="4">
          <cell r="A4" t="str">
            <v>Москва</v>
          </cell>
        </row>
        <row r="5">
          <cell r="A5" t="str">
            <v>Москва</v>
          </cell>
        </row>
        <row r="6">
          <cell r="A6" t="str">
            <v>Москва</v>
          </cell>
        </row>
        <row r="7">
          <cell r="A7" t="str">
            <v>Москва</v>
          </cell>
        </row>
        <row r="8">
          <cell r="A8" t="str">
            <v>Москва</v>
          </cell>
        </row>
        <row r="9">
          <cell r="A9" t="str">
            <v>Москва</v>
          </cell>
        </row>
        <row r="10">
          <cell r="A10" t="str">
            <v>Москва</v>
          </cell>
        </row>
        <row r="11">
          <cell r="A11" t="str">
            <v>Москва</v>
          </cell>
        </row>
        <row r="12">
          <cell r="A12" t="str">
            <v>Москва</v>
          </cell>
        </row>
        <row r="13">
          <cell r="A13" t="str">
            <v>Москва</v>
          </cell>
        </row>
        <row r="14">
          <cell r="A14" t="str">
            <v>Москва</v>
          </cell>
        </row>
        <row r="15">
          <cell r="A15" t="str">
            <v>Москва</v>
          </cell>
        </row>
        <row r="16">
          <cell r="A16" t="str">
            <v>Москва</v>
          </cell>
        </row>
        <row r="17">
          <cell r="A17" t="str">
            <v>Москва</v>
          </cell>
        </row>
        <row r="18">
          <cell r="A18" t="str">
            <v>Москва</v>
          </cell>
        </row>
        <row r="19">
          <cell r="A19" t="str">
            <v>Москва</v>
          </cell>
        </row>
        <row r="20">
          <cell r="A20" t="str">
            <v>Москва</v>
          </cell>
        </row>
        <row r="21">
          <cell r="A21" t="str">
            <v>Москва</v>
          </cell>
        </row>
        <row r="22">
          <cell r="A22" t="str">
            <v>Москва</v>
          </cell>
        </row>
        <row r="23">
          <cell r="A23" t="str">
            <v>Москва</v>
          </cell>
        </row>
        <row r="24">
          <cell r="A24" t="str">
            <v>Москва</v>
          </cell>
        </row>
        <row r="25">
          <cell r="A25" t="str">
            <v>Москва</v>
          </cell>
        </row>
        <row r="26">
          <cell r="A26" t="str">
            <v>Москва</v>
          </cell>
        </row>
        <row r="27">
          <cell r="A27" t="str">
            <v>Москва</v>
          </cell>
        </row>
        <row r="28">
          <cell r="A28" t="str">
            <v>Москва</v>
          </cell>
        </row>
        <row r="29">
          <cell r="A29" t="str">
            <v>Москва</v>
          </cell>
        </row>
        <row r="30">
          <cell r="A30" t="str">
            <v>Москва</v>
          </cell>
        </row>
        <row r="31">
          <cell r="A31" t="str">
            <v>Москва</v>
          </cell>
        </row>
        <row r="32">
          <cell r="A32" t="str">
            <v>Москва</v>
          </cell>
        </row>
        <row r="33">
          <cell r="A33" t="str">
            <v>Москва</v>
          </cell>
        </row>
        <row r="34">
          <cell r="A34" t="str">
            <v>Москва</v>
          </cell>
        </row>
        <row r="35">
          <cell r="A35" t="str">
            <v>Москва</v>
          </cell>
        </row>
        <row r="36">
          <cell r="A36" t="str">
            <v>Москва</v>
          </cell>
        </row>
        <row r="37">
          <cell r="A37" t="str">
            <v>Москва</v>
          </cell>
        </row>
        <row r="38">
          <cell r="A38" t="str">
            <v>Москва</v>
          </cell>
        </row>
        <row r="39">
          <cell r="A39" t="str">
            <v>Москва</v>
          </cell>
        </row>
        <row r="40">
          <cell r="A40" t="str">
            <v>Москва</v>
          </cell>
        </row>
        <row r="41">
          <cell r="A41" t="str">
            <v>Москва</v>
          </cell>
        </row>
        <row r="42">
          <cell r="A42" t="str">
            <v>Москва</v>
          </cell>
        </row>
        <row r="43">
          <cell r="A43" t="str">
            <v>Москва</v>
          </cell>
        </row>
        <row r="44">
          <cell r="A44" t="str">
            <v>Москва</v>
          </cell>
        </row>
        <row r="45">
          <cell r="A45" t="str">
            <v>Москва</v>
          </cell>
        </row>
        <row r="46">
          <cell r="A46" t="str">
            <v>Москва</v>
          </cell>
        </row>
        <row r="47">
          <cell r="A47" t="str">
            <v>Москва</v>
          </cell>
        </row>
        <row r="48">
          <cell r="A48" t="str">
            <v>Москва</v>
          </cell>
        </row>
        <row r="49">
          <cell r="A49" t="str">
            <v>Москва</v>
          </cell>
        </row>
        <row r="50">
          <cell r="A50" t="str">
            <v>Москва</v>
          </cell>
        </row>
        <row r="51">
          <cell r="A51" t="str">
            <v>Москва</v>
          </cell>
        </row>
        <row r="52">
          <cell r="A52" t="str">
            <v>Москва</v>
          </cell>
        </row>
        <row r="53">
          <cell r="A53" t="str">
            <v>Москва</v>
          </cell>
        </row>
        <row r="54">
          <cell r="A54" t="str">
            <v>Москва</v>
          </cell>
        </row>
        <row r="55">
          <cell r="A55" t="str">
            <v>Москва</v>
          </cell>
        </row>
        <row r="56">
          <cell r="A56" t="str">
            <v>Москва</v>
          </cell>
        </row>
        <row r="57">
          <cell r="A57" t="str">
            <v>Москва</v>
          </cell>
        </row>
        <row r="58">
          <cell r="A58" t="str">
            <v>Москва</v>
          </cell>
        </row>
        <row r="59">
          <cell r="A59" t="str">
            <v>Москва</v>
          </cell>
        </row>
        <row r="60">
          <cell r="A60" t="str">
            <v>Санкт-Петербург</v>
          </cell>
        </row>
        <row r="61">
          <cell r="A61" t="str">
            <v>Санкт-Петербург</v>
          </cell>
        </row>
        <row r="62">
          <cell r="A62" t="str">
            <v>Санкт-Петербург</v>
          </cell>
        </row>
        <row r="63">
          <cell r="A63" t="str">
            <v>Санкт-Петербург</v>
          </cell>
        </row>
        <row r="64">
          <cell r="A64" t="str">
            <v>Санкт-Петербург</v>
          </cell>
        </row>
        <row r="65">
          <cell r="A65" t="str">
            <v>Санкт-Петербург</v>
          </cell>
        </row>
        <row r="66">
          <cell r="A66" t="str">
            <v>Санкт-Петербург</v>
          </cell>
        </row>
        <row r="67">
          <cell r="A67" t="str">
            <v>Санкт-Петербург</v>
          </cell>
        </row>
        <row r="68">
          <cell r="A68" t="str">
            <v>Санкт-Петербург</v>
          </cell>
        </row>
        <row r="69">
          <cell r="A69" t="str">
            <v>Санкт-Петербург</v>
          </cell>
        </row>
        <row r="70">
          <cell r="A70" t="str">
            <v>Санкт-Петербург</v>
          </cell>
        </row>
        <row r="71">
          <cell r="A71" t="str">
            <v>Санкт-Петербург</v>
          </cell>
        </row>
        <row r="72">
          <cell r="A72" t="str">
            <v>Санкт-Петербург</v>
          </cell>
        </row>
        <row r="73">
          <cell r="A73" t="str">
            <v>Санкт-Петербург</v>
          </cell>
        </row>
        <row r="74">
          <cell r="A74" t="str">
            <v>Санкт-Петербург</v>
          </cell>
        </row>
        <row r="75">
          <cell r="A75" t="str">
            <v>Санкт-Петербург</v>
          </cell>
        </row>
        <row r="76">
          <cell r="A76" t="str">
            <v>Санкт-Петербург</v>
          </cell>
        </row>
        <row r="77">
          <cell r="A77" t="str">
            <v>Санкт-Петербург</v>
          </cell>
        </row>
        <row r="78">
          <cell r="A78" t="str">
            <v>Санкт-Петербург</v>
          </cell>
        </row>
        <row r="79">
          <cell r="A79" t="str">
            <v>Санкт-Петербург</v>
          </cell>
        </row>
        <row r="80">
          <cell r="A80" t="str">
            <v>Санкт-Петербург</v>
          </cell>
        </row>
        <row r="81">
          <cell r="A81" t="str">
            <v>Санкт-Петербург</v>
          </cell>
        </row>
        <row r="82">
          <cell r="A82" t="str">
            <v>Санкт-Петербург</v>
          </cell>
        </row>
        <row r="83">
          <cell r="A83" t="str">
            <v>Санкт-Петербург</v>
          </cell>
        </row>
        <row r="84">
          <cell r="A84" t="str">
            <v>Санкт-Петербург</v>
          </cell>
        </row>
        <row r="85">
          <cell r="A85" t="str">
            <v>Санкт-Петербург</v>
          </cell>
        </row>
        <row r="86">
          <cell r="A86" t="str">
            <v>Санкт-Петербург</v>
          </cell>
        </row>
        <row r="87">
          <cell r="A87" t="str">
            <v>Санкт-Петербург</v>
          </cell>
        </row>
        <row r="88">
          <cell r="A88" t="str">
            <v>Санкт-Петербург</v>
          </cell>
        </row>
        <row r="89">
          <cell r="A89" t="str">
            <v>Санкт-Петербург</v>
          </cell>
        </row>
        <row r="90">
          <cell r="A90" t="str">
            <v>Санкт-Петербург</v>
          </cell>
        </row>
        <row r="91">
          <cell r="A91" t="str">
            <v>Санкт-Петербург</v>
          </cell>
        </row>
        <row r="92">
          <cell r="A92" t="str">
            <v>Санкт-Петербург</v>
          </cell>
        </row>
        <row r="93">
          <cell r="A93" t="str">
            <v>Санкт-Петербург</v>
          </cell>
        </row>
        <row r="94">
          <cell r="A94" t="str">
            <v>Санкт-Петербург</v>
          </cell>
        </row>
        <row r="95">
          <cell r="A95" t="str">
            <v>Санкт-Петербург</v>
          </cell>
        </row>
        <row r="96">
          <cell r="A96" t="str">
            <v>Санкт-Петербург</v>
          </cell>
        </row>
        <row r="97">
          <cell r="A97" t="str">
            <v>Санкт-Петербург</v>
          </cell>
        </row>
        <row r="98">
          <cell r="A98" t="str">
            <v>Санкт-Петербург</v>
          </cell>
        </row>
        <row r="99">
          <cell r="A99" t="str">
            <v>Санкт-Петербург</v>
          </cell>
        </row>
        <row r="100">
          <cell r="A100" t="str">
            <v>Санкт-Петербург</v>
          </cell>
        </row>
        <row r="101">
          <cell r="A101" t="str">
            <v>Санкт-Петербург</v>
          </cell>
        </row>
        <row r="102">
          <cell r="A102" t="str">
            <v>Санкт-Петербург</v>
          </cell>
        </row>
        <row r="103">
          <cell r="A103" t="str">
            <v>Санкт-Петербург</v>
          </cell>
        </row>
        <row r="104">
          <cell r="A104" t="str">
            <v>Санкт-Петербург</v>
          </cell>
        </row>
        <row r="105">
          <cell r="A105" t="str">
            <v>Санкт-Петербург</v>
          </cell>
        </row>
        <row r="106">
          <cell r="A106" t="str">
            <v>Санкт-Петербург</v>
          </cell>
        </row>
        <row r="107">
          <cell r="A107" t="str">
            <v>Санкт-Петербург</v>
          </cell>
        </row>
        <row r="108">
          <cell r="A108" t="str">
            <v>Санкт-Петербург</v>
          </cell>
        </row>
        <row r="109">
          <cell r="A109" t="str">
            <v>Санкт-Петербург</v>
          </cell>
        </row>
        <row r="110">
          <cell r="A110" t="str">
            <v>Санкт-Петербург</v>
          </cell>
        </row>
        <row r="111">
          <cell r="A111" t="str">
            <v>Санкт-Петербург</v>
          </cell>
        </row>
        <row r="112">
          <cell r="A112" t="str">
            <v>Санкт-Петербург</v>
          </cell>
        </row>
        <row r="113">
          <cell r="A113" t="str">
            <v>Санкт-Петербург</v>
          </cell>
        </row>
        <row r="114">
          <cell r="A114" t="str">
            <v>Санкт-Петербург</v>
          </cell>
        </row>
        <row r="115">
          <cell r="A115" t="str">
            <v>Санкт-Петербург</v>
          </cell>
        </row>
        <row r="116">
          <cell r="A116" t="str">
            <v>Санкт-Петербург</v>
          </cell>
        </row>
        <row r="117">
          <cell r="A117" t="str">
            <v>Санкт-Петербург</v>
          </cell>
        </row>
        <row r="118">
          <cell r="A118" t="str">
            <v>Екатеринбург</v>
          </cell>
        </row>
        <row r="119">
          <cell r="A119" t="str">
            <v>Екатеринбург</v>
          </cell>
        </row>
        <row r="120">
          <cell r="A120" t="str">
            <v>Екатеринбург</v>
          </cell>
        </row>
        <row r="121">
          <cell r="A121" t="str">
            <v>Екатеринбург</v>
          </cell>
        </row>
        <row r="122">
          <cell r="A122" t="str">
            <v>Екатеринбург</v>
          </cell>
        </row>
        <row r="123">
          <cell r="A123" t="str">
            <v>Екатеринбург</v>
          </cell>
        </row>
        <row r="124">
          <cell r="A124" t="str">
            <v>Екатеринбург</v>
          </cell>
        </row>
        <row r="125">
          <cell r="A125" t="str">
            <v>Екатеринбург</v>
          </cell>
        </row>
        <row r="126">
          <cell r="A126" t="str">
            <v>Екатеринбург</v>
          </cell>
        </row>
        <row r="127">
          <cell r="A127" t="str">
            <v>Екатеринбург</v>
          </cell>
        </row>
        <row r="128">
          <cell r="A128" t="str">
            <v>Екатеринбург</v>
          </cell>
        </row>
        <row r="129">
          <cell r="A129" t="str">
            <v>Екатеринбург</v>
          </cell>
        </row>
        <row r="130">
          <cell r="A130" t="str">
            <v>Екатеринбург</v>
          </cell>
        </row>
        <row r="131">
          <cell r="A131" t="str">
            <v>Екатеринбург</v>
          </cell>
        </row>
        <row r="132">
          <cell r="A132" t="str">
            <v>Екатеринбург</v>
          </cell>
        </row>
        <row r="133">
          <cell r="A133" t="str">
            <v>Екатеринбург</v>
          </cell>
        </row>
        <row r="134">
          <cell r="A134" t="str">
            <v>Екатеринбург</v>
          </cell>
        </row>
        <row r="135">
          <cell r="A135" t="str">
            <v>Екатеринбург</v>
          </cell>
        </row>
        <row r="136">
          <cell r="A136" t="str">
            <v>Екатеринбург</v>
          </cell>
        </row>
        <row r="137">
          <cell r="A137" t="str">
            <v>Екатеринбург</v>
          </cell>
        </row>
        <row r="138">
          <cell r="A138" t="str">
            <v>Екатеринбург</v>
          </cell>
        </row>
        <row r="139">
          <cell r="A139" t="str">
            <v>Екатеринбург</v>
          </cell>
        </row>
        <row r="140">
          <cell r="A140" t="str">
            <v>Екатеринбург</v>
          </cell>
        </row>
        <row r="141">
          <cell r="A141" t="str">
            <v>Екатеринбург</v>
          </cell>
        </row>
        <row r="142">
          <cell r="A142" t="str">
            <v>Екатеринбург</v>
          </cell>
        </row>
        <row r="143">
          <cell r="A143" t="str">
            <v>Екатеринбург</v>
          </cell>
        </row>
        <row r="144">
          <cell r="A144" t="str">
            <v>Екатеринбург</v>
          </cell>
        </row>
        <row r="145">
          <cell r="A145" t="str">
            <v>Екатеринбург</v>
          </cell>
        </row>
        <row r="146">
          <cell r="A146" t="str">
            <v>Екатеринбург</v>
          </cell>
        </row>
        <row r="147">
          <cell r="A147" t="str">
            <v>Екатеринбург</v>
          </cell>
        </row>
        <row r="148">
          <cell r="A148" t="str">
            <v>Екатеринбург</v>
          </cell>
        </row>
        <row r="149">
          <cell r="A149" t="str">
            <v>Екатеринбург</v>
          </cell>
        </row>
        <row r="150">
          <cell r="A150" t="str">
            <v>Екатеринбург</v>
          </cell>
        </row>
        <row r="151">
          <cell r="A151" t="str">
            <v>Екатеринбург</v>
          </cell>
        </row>
        <row r="152">
          <cell r="A152" t="str">
            <v>Екатеринбург</v>
          </cell>
        </row>
        <row r="153">
          <cell r="A153" t="str">
            <v>Екатеринбург</v>
          </cell>
        </row>
        <row r="154">
          <cell r="A154" t="str">
            <v>Екатеринбург</v>
          </cell>
        </row>
        <row r="155">
          <cell r="A155" t="str">
            <v>Екатеринбург</v>
          </cell>
        </row>
        <row r="156">
          <cell r="A156" t="str">
            <v>Екатеринбург</v>
          </cell>
        </row>
        <row r="157">
          <cell r="A157" t="str">
            <v>Екатеринбург</v>
          </cell>
        </row>
        <row r="158">
          <cell r="A158" t="str">
            <v>Екатеринбург</v>
          </cell>
        </row>
        <row r="159">
          <cell r="A159" t="str">
            <v>Екатеринбург</v>
          </cell>
        </row>
        <row r="160">
          <cell r="A160" t="str">
            <v>Екатеринбург</v>
          </cell>
        </row>
        <row r="161">
          <cell r="A161" t="str">
            <v>Екатеринбург</v>
          </cell>
        </row>
        <row r="162">
          <cell r="A162" t="str">
            <v>Екатеринбург</v>
          </cell>
        </row>
        <row r="163">
          <cell r="A163" t="str">
            <v>Екатеринбург</v>
          </cell>
        </row>
        <row r="164">
          <cell r="A164" t="str">
            <v>Екатеринбург</v>
          </cell>
        </row>
        <row r="165">
          <cell r="A165" t="str">
            <v>Екатеринбург</v>
          </cell>
        </row>
        <row r="166">
          <cell r="A166" t="str">
            <v>Екатеринбург</v>
          </cell>
        </row>
        <row r="167">
          <cell r="A167" t="str">
            <v>Екатеринбург</v>
          </cell>
        </row>
        <row r="168">
          <cell r="A168" t="str">
            <v>Екатеринбург</v>
          </cell>
        </row>
        <row r="169">
          <cell r="A169" t="str">
            <v>Екатеринбург</v>
          </cell>
        </row>
        <row r="170">
          <cell r="A170" t="str">
            <v>Екатеринбург</v>
          </cell>
        </row>
        <row r="171">
          <cell r="A171" t="str">
            <v>Екатеринбург</v>
          </cell>
        </row>
        <row r="172">
          <cell r="A172" t="str">
            <v>Екатеринбург</v>
          </cell>
        </row>
        <row r="173">
          <cell r="A173" t="str">
            <v>Екатеринбург</v>
          </cell>
        </row>
        <row r="174">
          <cell r="A174" t="str">
            <v>Екатеринбург</v>
          </cell>
        </row>
        <row r="175">
          <cell r="A175" t="str">
            <v>Екатеринбург</v>
          </cell>
        </row>
        <row r="176">
          <cell r="A176" t="str">
            <v>Казань</v>
          </cell>
        </row>
        <row r="177">
          <cell r="A177" t="str">
            <v>Казань</v>
          </cell>
        </row>
        <row r="178">
          <cell r="A178" t="str">
            <v>Казань</v>
          </cell>
        </row>
        <row r="179">
          <cell r="A179" t="str">
            <v>Казань</v>
          </cell>
        </row>
        <row r="180">
          <cell r="A180" t="str">
            <v>Казань</v>
          </cell>
        </row>
        <row r="181">
          <cell r="A181" t="str">
            <v>Казань</v>
          </cell>
        </row>
        <row r="182">
          <cell r="A182" t="str">
            <v>Казань</v>
          </cell>
        </row>
        <row r="183">
          <cell r="A183" t="str">
            <v>Казань</v>
          </cell>
        </row>
        <row r="184">
          <cell r="A184" t="str">
            <v>Казань</v>
          </cell>
        </row>
        <row r="185">
          <cell r="A185" t="str">
            <v>Казань</v>
          </cell>
        </row>
        <row r="186">
          <cell r="A186" t="str">
            <v>Казань</v>
          </cell>
        </row>
        <row r="187">
          <cell r="A187" t="str">
            <v>Казань</v>
          </cell>
        </row>
        <row r="188">
          <cell r="A188" t="str">
            <v>Казань</v>
          </cell>
        </row>
        <row r="189">
          <cell r="A189" t="str">
            <v>Казань</v>
          </cell>
        </row>
        <row r="190">
          <cell r="A190" t="str">
            <v>Казань</v>
          </cell>
        </row>
        <row r="191">
          <cell r="A191" t="str">
            <v>Казань</v>
          </cell>
        </row>
        <row r="192">
          <cell r="A192" t="str">
            <v>Казань</v>
          </cell>
        </row>
        <row r="193">
          <cell r="A193" t="str">
            <v>Казань</v>
          </cell>
        </row>
        <row r="194">
          <cell r="A194" t="str">
            <v>Казань</v>
          </cell>
        </row>
        <row r="195">
          <cell r="A195" t="str">
            <v>Казань</v>
          </cell>
        </row>
        <row r="196">
          <cell r="A196" t="str">
            <v>Казань</v>
          </cell>
        </row>
        <row r="197">
          <cell r="A197" t="str">
            <v>Казань</v>
          </cell>
        </row>
        <row r="198">
          <cell r="A198" t="str">
            <v>Казань</v>
          </cell>
        </row>
        <row r="199">
          <cell r="A199" t="str">
            <v>Казань</v>
          </cell>
        </row>
        <row r="200">
          <cell r="A200" t="str">
            <v>Казань</v>
          </cell>
        </row>
        <row r="201">
          <cell r="A201" t="str">
            <v>Казань</v>
          </cell>
        </row>
        <row r="202">
          <cell r="A202" t="str">
            <v>Казань</v>
          </cell>
        </row>
        <row r="203">
          <cell r="A203" t="str">
            <v>Казань</v>
          </cell>
        </row>
        <row r="204">
          <cell r="A204" t="str">
            <v>Казань</v>
          </cell>
        </row>
        <row r="205">
          <cell r="A205" t="str">
            <v>Казань</v>
          </cell>
        </row>
        <row r="206">
          <cell r="A206" t="str">
            <v>Казань</v>
          </cell>
        </row>
        <row r="207">
          <cell r="A207" t="str">
            <v>Казань</v>
          </cell>
        </row>
        <row r="208">
          <cell r="A208" t="str">
            <v>Казань</v>
          </cell>
        </row>
        <row r="209">
          <cell r="A209" t="str">
            <v>Казань</v>
          </cell>
        </row>
        <row r="210">
          <cell r="A210" t="str">
            <v>Казань</v>
          </cell>
        </row>
        <row r="211">
          <cell r="A211" t="str">
            <v>Казань</v>
          </cell>
        </row>
        <row r="212">
          <cell r="A212" t="str">
            <v>Казань</v>
          </cell>
        </row>
        <row r="213">
          <cell r="A213" t="str">
            <v>Казань</v>
          </cell>
        </row>
        <row r="214">
          <cell r="A214" t="str">
            <v>Казань</v>
          </cell>
        </row>
        <row r="215">
          <cell r="A215" t="str">
            <v>Казань</v>
          </cell>
        </row>
        <row r="216">
          <cell r="A216" t="str">
            <v>Казань</v>
          </cell>
        </row>
        <row r="217">
          <cell r="A217" t="str">
            <v>Казань</v>
          </cell>
        </row>
        <row r="218">
          <cell r="A218" t="str">
            <v>Казань</v>
          </cell>
        </row>
        <row r="219">
          <cell r="A219" t="str">
            <v>Казань</v>
          </cell>
        </row>
        <row r="220">
          <cell r="A220" t="str">
            <v>Казань</v>
          </cell>
        </row>
        <row r="221">
          <cell r="A221" t="str">
            <v>Казань</v>
          </cell>
        </row>
        <row r="222">
          <cell r="A222" t="str">
            <v>Казань</v>
          </cell>
        </row>
        <row r="223">
          <cell r="A223" t="str">
            <v>Казань</v>
          </cell>
        </row>
        <row r="224">
          <cell r="A224" t="str">
            <v>Казань</v>
          </cell>
        </row>
        <row r="225">
          <cell r="A225" t="str">
            <v>Казань</v>
          </cell>
        </row>
        <row r="226">
          <cell r="A226" t="str">
            <v>Казань</v>
          </cell>
        </row>
        <row r="227">
          <cell r="A227" t="str">
            <v>Казань</v>
          </cell>
        </row>
        <row r="228">
          <cell r="A228" t="str">
            <v>Казань</v>
          </cell>
        </row>
        <row r="229">
          <cell r="A229" t="str">
            <v>Казань</v>
          </cell>
        </row>
        <row r="230">
          <cell r="A230" t="str">
            <v>Казань</v>
          </cell>
        </row>
        <row r="231">
          <cell r="A231" t="str">
            <v>Казань</v>
          </cell>
        </row>
        <row r="232">
          <cell r="A232" t="str">
            <v>Казань</v>
          </cell>
        </row>
        <row r="233">
          <cell r="A233" t="str">
            <v>Казань</v>
          </cell>
        </row>
        <row r="234">
          <cell r="A234" t="str">
            <v>Новосибирск</v>
          </cell>
        </row>
        <row r="235">
          <cell r="A235" t="str">
            <v>Новосибирск</v>
          </cell>
        </row>
        <row r="236">
          <cell r="A236" t="str">
            <v>Новосибирск</v>
          </cell>
        </row>
        <row r="237">
          <cell r="A237" t="str">
            <v>Новосибирск</v>
          </cell>
        </row>
        <row r="238">
          <cell r="A238" t="str">
            <v>Новосибирск</v>
          </cell>
        </row>
        <row r="239">
          <cell r="A239" t="str">
            <v>Новосибирск</v>
          </cell>
        </row>
        <row r="240">
          <cell r="A240" t="str">
            <v>Новосибирск</v>
          </cell>
        </row>
        <row r="241">
          <cell r="A241" t="str">
            <v>Новосибирск</v>
          </cell>
        </row>
        <row r="242">
          <cell r="A242" t="str">
            <v>Новосибирск</v>
          </cell>
        </row>
        <row r="243">
          <cell r="A243" t="str">
            <v>Новосибирск</v>
          </cell>
        </row>
        <row r="244">
          <cell r="A244" t="str">
            <v>Новосибирск</v>
          </cell>
        </row>
        <row r="245">
          <cell r="A245" t="str">
            <v>Новосибирск</v>
          </cell>
        </row>
        <row r="246">
          <cell r="A246" t="str">
            <v>Новосибирск</v>
          </cell>
        </row>
        <row r="247">
          <cell r="A247" t="str">
            <v>Новосибирск</v>
          </cell>
        </row>
        <row r="248">
          <cell r="A248" t="str">
            <v>Новосибирск</v>
          </cell>
        </row>
        <row r="249">
          <cell r="A249" t="str">
            <v>Новосибирск</v>
          </cell>
        </row>
        <row r="250">
          <cell r="A250" t="str">
            <v>Новосибирск</v>
          </cell>
        </row>
        <row r="251">
          <cell r="A251" t="str">
            <v>Новосибирск</v>
          </cell>
        </row>
        <row r="252">
          <cell r="A252" t="str">
            <v>Новосибирск</v>
          </cell>
        </row>
        <row r="253">
          <cell r="A253" t="str">
            <v>Новосибирск</v>
          </cell>
        </row>
        <row r="254">
          <cell r="A254" t="str">
            <v>Новосибирск</v>
          </cell>
        </row>
        <row r="255">
          <cell r="A255" t="str">
            <v>Новосибирск</v>
          </cell>
        </row>
        <row r="256">
          <cell r="A256" t="str">
            <v>Новосибирск</v>
          </cell>
        </row>
        <row r="257">
          <cell r="A257" t="str">
            <v>Новосибирск</v>
          </cell>
        </row>
        <row r="258">
          <cell r="A258" t="str">
            <v>Новосибирск</v>
          </cell>
        </row>
        <row r="259">
          <cell r="A259" t="str">
            <v>Новосибирск</v>
          </cell>
        </row>
        <row r="260">
          <cell r="A260" t="str">
            <v>Новосибирск</v>
          </cell>
        </row>
        <row r="261">
          <cell r="A261" t="str">
            <v>Новосибирск</v>
          </cell>
        </row>
        <row r="262">
          <cell r="A262" t="str">
            <v>Новосибирск</v>
          </cell>
        </row>
        <row r="263">
          <cell r="A263" t="str">
            <v>Новосибирск</v>
          </cell>
        </row>
        <row r="264">
          <cell r="A264" t="str">
            <v>Новосибирск</v>
          </cell>
        </row>
        <row r="265">
          <cell r="A265" t="str">
            <v>Новосибирск</v>
          </cell>
        </row>
        <row r="266">
          <cell r="A266" t="str">
            <v>Новосибирск</v>
          </cell>
        </row>
        <row r="267">
          <cell r="A267" t="str">
            <v>Новосибирск</v>
          </cell>
        </row>
        <row r="268">
          <cell r="A268" t="str">
            <v>Новосибирск</v>
          </cell>
        </row>
        <row r="269">
          <cell r="A269" t="str">
            <v>Новосибирск</v>
          </cell>
        </row>
        <row r="270">
          <cell r="A270" t="str">
            <v>Новосибирск</v>
          </cell>
        </row>
        <row r="271">
          <cell r="A271" t="str">
            <v>Новосибирск</v>
          </cell>
        </row>
        <row r="272">
          <cell r="A272" t="str">
            <v>Новосибирск</v>
          </cell>
        </row>
        <row r="273">
          <cell r="A273" t="str">
            <v>Новосибирск</v>
          </cell>
        </row>
        <row r="274">
          <cell r="A274" t="str">
            <v>Новосибирск</v>
          </cell>
        </row>
        <row r="275">
          <cell r="A275" t="str">
            <v>Новосибирск</v>
          </cell>
        </row>
        <row r="276">
          <cell r="A276" t="str">
            <v>Новосибирск</v>
          </cell>
        </row>
        <row r="277">
          <cell r="A277" t="str">
            <v>Новосибирск</v>
          </cell>
        </row>
        <row r="278">
          <cell r="A278" t="str">
            <v>Новосибирск</v>
          </cell>
        </row>
        <row r="279">
          <cell r="A279" t="str">
            <v>Новосибирск</v>
          </cell>
        </row>
        <row r="280">
          <cell r="A280" t="str">
            <v>Новосибирск</v>
          </cell>
        </row>
        <row r="281">
          <cell r="A281" t="str">
            <v>Новосибирск</v>
          </cell>
        </row>
        <row r="282">
          <cell r="A282" t="str">
            <v>Новосибирск</v>
          </cell>
        </row>
        <row r="283">
          <cell r="A283" t="str">
            <v>Новосибирск</v>
          </cell>
        </row>
        <row r="284">
          <cell r="A284" t="str">
            <v>Новосибирск</v>
          </cell>
        </row>
        <row r="285">
          <cell r="A285" t="str">
            <v>Новосибирск</v>
          </cell>
        </row>
        <row r="286">
          <cell r="A286" t="str">
            <v>Новосибирск</v>
          </cell>
        </row>
        <row r="287">
          <cell r="A287" t="str">
            <v>Новосибирск</v>
          </cell>
        </row>
        <row r="288">
          <cell r="A288" t="str">
            <v>Новосибирск</v>
          </cell>
        </row>
        <row r="289">
          <cell r="A289" t="str">
            <v>Новосибирск</v>
          </cell>
        </row>
        <row r="290">
          <cell r="A290" t="str">
            <v>Новосибирск</v>
          </cell>
        </row>
        <row r="291">
          <cell r="A291" t="str">
            <v>Новосибирск</v>
          </cell>
        </row>
        <row r="292">
          <cell r="A292" t="str">
            <v>Краснодар</v>
          </cell>
        </row>
        <row r="293">
          <cell r="A293" t="str">
            <v>Краснодар</v>
          </cell>
        </row>
        <row r="294">
          <cell r="A294" t="str">
            <v>Краснодар</v>
          </cell>
        </row>
        <row r="295">
          <cell r="A295" t="str">
            <v>Краснодар</v>
          </cell>
        </row>
        <row r="296">
          <cell r="A296" t="str">
            <v>Краснодар</v>
          </cell>
        </row>
        <row r="297">
          <cell r="A297" t="str">
            <v>Краснодар</v>
          </cell>
        </row>
        <row r="298">
          <cell r="A298" t="str">
            <v>Краснодар</v>
          </cell>
        </row>
        <row r="299">
          <cell r="A299" t="str">
            <v>Краснодар</v>
          </cell>
        </row>
        <row r="300">
          <cell r="A300" t="str">
            <v>Краснодар</v>
          </cell>
        </row>
        <row r="301">
          <cell r="A301" t="str">
            <v>Краснодар</v>
          </cell>
        </row>
        <row r="302">
          <cell r="A302" t="str">
            <v>Краснодар</v>
          </cell>
        </row>
        <row r="303">
          <cell r="A303" t="str">
            <v>Краснодар</v>
          </cell>
        </row>
        <row r="304">
          <cell r="A304" t="str">
            <v>Краснодар</v>
          </cell>
        </row>
        <row r="305">
          <cell r="A305" t="str">
            <v>Краснодар</v>
          </cell>
        </row>
        <row r="306">
          <cell r="A306" t="str">
            <v>Краснодар</v>
          </cell>
        </row>
        <row r="307">
          <cell r="A307" t="str">
            <v>Краснодар</v>
          </cell>
        </row>
        <row r="308">
          <cell r="A308" t="str">
            <v>Краснодар</v>
          </cell>
        </row>
        <row r="309">
          <cell r="A309" t="str">
            <v>Краснодар</v>
          </cell>
        </row>
        <row r="310">
          <cell r="A310" t="str">
            <v>Краснодар</v>
          </cell>
        </row>
        <row r="311">
          <cell r="A311" t="str">
            <v>Краснодар</v>
          </cell>
        </row>
        <row r="312">
          <cell r="A312" t="str">
            <v>Краснодар</v>
          </cell>
        </row>
        <row r="313">
          <cell r="A313" t="str">
            <v>Краснодар</v>
          </cell>
        </row>
        <row r="314">
          <cell r="A314" t="str">
            <v>Краснодар</v>
          </cell>
        </row>
        <row r="315">
          <cell r="A315" t="str">
            <v>Краснодар</v>
          </cell>
        </row>
        <row r="316">
          <cell r="A316" t="str">
            <v>Краснодар</v>
          </cell>
        </row>
        <row r="317">
          <cell r="A317" t="str">
            <v>Краснодар</v>
          </cell>
        </row>
        <row r="318">
          <cell r="A318" t="str">
            <v>Краснодар</v>
          </cell>
        </row>
        <row r="319">
          <cell r="A319" t="str">
            <v>Краснодар</v>
          </cell>
        </row>
        <row r="320">
          <cell r="A320" t="str">
            <v>Краснодар</v>
          </cell>
        </row>
        <row r="321">
          <cell r="A321" t="str">
            <v>Краснодар</v>
          </cell>
        </row>
        <row r="322">
          <cell r="A322" t="str">
            <v>Краснодар</v>
          </cell>
        </row>
        <row r="323">
          <cell r="A323" t="str">
            <v>Краснодар</v>
          </cell>
        </row>
        <row r="324">
          <cell r="A324" t="str">
            <v>Краснодар</v>
          </cell>
        </row>
        <row r="325">
          <cell r="A325" t="str">
            <v>Краснодар</v>
          </cell>
        </row>
        <row r="326">
          <cell r="A326" t="str">
            <v>Краснодар</v>
          </cell>
        </row>
        <row r="327">
          <cell r="A327" t="str">
            <v>Краснодар</v>
          </cell>
        </row>
        <row r="328">
          <cell r="A328" t="str">
            <v>Краснодар</v>
          </cell>
        </row>
        <row r="329">
          <cell r="A329" t="str">
            <v>Краснодар</v>
          </cell>
        </row>
        <row r="330">
          <cell r="A330" t="str">
            <v>Краснодар</v>
          </cell>
        </row>
        <row r="331">
          <cell r="A331" t="str">
            <v>Краснодар</v>
          </cell>
        </row>
        <row r="332">
          <cell r="A332" t="str">
            <v>Краснодар</v>
          </cell>
        </row>
        <row r="333">
          <cell r="A333" t="str">
            <v>Краснодар</v>
          </cell>
        </row>
        <row r="334">
          <cell r="A334" t="str">
            <v>Краснодар</v>
          </cell>
        </row>
        <row r="335">
          <cell r="A335" t="str">
            <v>Краснодар</v>
          </cell>
        </row>
        <row r="336">
          <cell r="A336" t="str">
            <v>Краснодар</v>
          </cell>
        </row>
        <row r="337">
          <cell r="A337" t="str">
            <v>Краснодар</v>
          </cell>
        </row>
        <row r="338">
          <cell r="A338" t="str">
            <v>Краснодар</v>
          </cell>
        </row>
        <row r="339">
          <cell r="A339" t="str">
            <v>Краснодар</v>
          </cell>
        </row>
        <row r="340">
          <cell r="A340" t="str">
            <v>Краснодар</v>
          </cell>
        </row>
        <row r="341">
          <cell r="A341" t="str">
            <v>Краснодар</v>
          </cell>
        </row>
        <row r="342">
          <cell r="A342" t="str">
            <v>Краснодар</v>
          </cell>
        </row>
        <row r="343">
          <cell r="A343" t="str">
            <v>Краснодар</v>
          </cell>
        </row>
        <row r="344">
          <cell r="A344" t="str">
            <v>Краснодар</v>
          </cell>
        </row>
        <row r="345">
          <cell r="A345" t="str">
            <v>Краснодар</v>
          </cell>
        </row>
        <row r="346">
          <cell r="A346" t="str">
            <v>Краснодар</v>
          </cell>
        </row>
        <row r="347">
          <cell r="A347" t="str">
            <v>Краснодар</v>
          </cell>
        </row>
        <row r="348">
          <cell r="A348" t="str">
            <v>Краснодар</v>
          </cell>
        </row>
        <row r="349">
          <cell r="A349" t="str">
            <v>Краснодар</v>
          </cell>
        </row>
        <row r="350">
          <cell r="A350" t="str">
            <v>Сочи</v>
          </cell>
        </row>
        <row r="351">
          <cell r="A351" t="str">
            <v>Сочи</v>
          </cell>
        </row>
        <row r="352">
          <cell r="A352" t="str">
            <v>Сочи</v>
          </cell>
        </row>
        <row r="353">
          <cell r="A353" t="str">
            <v>Сочи</v>
          </cell>
        </row>
        <row r="354">
          <cell r="A354" t="str">
            <v>Сочи</v>
          </cell>
        </row>
        <row r="355">
          <cell r="A355" t="str">
            <v>Сочи</v>
          </cell>
        </row>
        <row r="356">
          <cell r="A356" t="str">
            <v>Сочи</v>
          </cell>
        </row>
        <row r="357">
          <cell r="A357" t="str">
            <v>Сочи</v>
          </cell>
        </row>
        <row r="358">
          <cell r="A358" t="str">
            <v>Сочи</v>
          </cell>
        </row>
        <row r="359">
          <cell r="A359" t="str">
            <v>Сочи</v>
          </cell>
        </row>
        <row r="360">
          <cell r="A360" t="str">
            <v>Сочи</v>
          </cell>
        </row>
        <row r="361">
          <cell r="A361" t="str">
            <v>Сочи</v>
          </cell>
        </row>
        <row r="362">
          <cell r="A362" t="str">
            <v>Сочи</v>
          </cell>
        </row>
        <row r="363">
          <cell r="A363" t="str">
            <v>Сочи</v>
          </cell>
        </row>
        <row r="364">
          <cell r="A364" t="str">
            <v>Сочи</v>
          </cell>
        </row>
        <row r="365">
          <cell r="A365" t="str">
            <v>Сочи</v>
          </cell>
        </row>
        <row r="366">
          <cell r="A366" t="str">
            <v>Сочи</v>
          </cell>
        </row>
        <row r="367">
          <cell r="A367" t="str">
            <v>Сочи</v>
          </cell>
        </row>
        <row r="368">
          <cell r="A368" t="str">
            <v>Сочи</v>
          </cell>
        </row>
        <row r="369">
          <cell r="A369" t="str">
            <v>Сочи</v>
          </cell>
        </row>
        <row r="370">
          <cell r="A370" t="str">
            <v>Сочи</v>
          </cell>
        </row>
        <row r="371">
          <cell r="A371" t="str">
            <v>Сочи</v>
          </cell>
        </row>
        <row r="372">
          <cell r="A372" t="str">
            <v>Сочи</v>
          </cell>
        </row>
        <row r="373">
          <cell r="A373" t="str">
            <v>Сочи</v>
          </cell>
        </row>
        <row r="374">
          <cell r="A374" t="str">
            <v>Сочи</v>
          </cell>
        </row>
        <row r="375">
          <cell r="A375" t="str">
            <v>Сочи</v>
          </cell>
        </row>
        <row r="376">
          <cell r="A376" t="str">
            <v>Сочи</v>
          </cell>
        </row>
        <row r="377">
          <cell r="A377" t="str">
            <v>Сочи</v>
          </cell>
        </row>
        <row r="378">
          <cell r="A378" t="str">
            <v>Сочи</v>
          </cell>
        </row>
        <row r="379">
          <cell r="A379" t="str">
            <v>Сочи</v>
          </cell>
        </row>
        <row r="380">
          <cell r="A380" t="str">
            <v>Сочи</v>
          </cell>
        </row>
        <row r="381">
          <cell r="A381" t="str">
            <v>Сочи</v>
          </cell>
        </row>
        <row r="382">
          <cell r="A382" t="str">
            <v>Сочи</v>
          </cell>
        </row>
        <row r="383">
          <cell r="A383" t="str">
            <v>Сочи</v>
          </cell>
        </row>
        <row r="384">
          <cell r="A384" t="str">
            <v>Сочи</v>
          </cell>
        </row>
        <row r="385">
          <cell r="A385" t="str">
            <v>Сочи</v>
          </cell>
        </row>
        <row r="386">
          <cell r="A386" t="str">
            <v>Сочи</v>
          </cell>
        </row>
        <row r="387">
          <cell r="A387" t="str">
            <v>Сочи</v>
          </cell>
        </row>
        <row r="388">
          <cell r="A388" t="str">
            <v>Сочи</v>
          </cell>
        </row>
        <row r="389">
          <cell r="A389" t="str">
            <v>Сочи</v>
          </cell>
        </row>
        <row r="390">
          <cell r="A390" t="str">
            <v>Сочи</v>
          </cell>
        </row>
        <row r="391">
          <cell r="A391" t="str">
            <v>Сочи</v>
          </cell>
        </row>
        <row r="392">
          <cell r="A392" t="str">
            <v>Сочи</v>
          </cell>
        </row>
        <row r="393">
          <cell r="A393" t="str">
            <v>Сочи</v>
          </cell>
        </row>
        <row r="394">
          <cell r="A394" t="str">
            <v>Сочи</v>
          </cell>
        </row>
        <row r="395">
          <cell r="A395" t="str">
            <v>Сочи</v>
          </cell>
        </row>
        <row r="396">
          <cell r="A396" t="str">
            <v>Сочи</v>
          </cell>
        </row>
        <row r="397">
          <cell r="A397" t="str">
            <v>Сочи</v>
          </cell>
        </row>
        <row r="398">
          <cell r="A398" t="str">
            <v>Сочи</v>
          </cell>
        </row>
        <row r="399">
          <cell r="A399" t="str">
            <v>Сочи</v>
          </cell>
        </row>
        <row r="400">
          <cell r="A400" t="str">
            <v>Сочи</v>
          </cell>
        </row>
        <row r="401">
          <cell r="A401" t="str">
            <v>Сочи</v>
          </cell>
        </row>
        <row r="402">
          <cell r="A402" t="str">
            <v>Сочи</v>
          </cell>
        </row>
        <row r="403">
          <cell r="A403" t="str">
            <v>Сочи</v>
          </cell>
        </row>
        <row r="404">
          <cell r="A404" t="str">
            <v>Сочи</v>
          </cell>
        </row>
        <row r="405">
          <cell r="A405" t="str">
            <v>Сочи</v>
          </cell>
        </row>
        <row r="406">
          <cell r="A406" t="str">
            <v>Сочи</v>
          </cell>
        </row>
        <row r="407">
          <cell r="A407" t="str">
            <v>Сочи</v>
          </cell>
        </row>
        <row r="408">
          <cell r="A408" t="str">
            <v>Нижний Новгород</v>
          </cell>
        </row>
        <row r="409">
          <cell r="A409" t="str">
            <v>Нижний Новгород</v>
          </cell>
        </row>
        <row r="410">
          <cell r="A410" t="str">
            <v>Нижний Новгород</v>
          </cell>
        </row>
        <row r="411">
          <cell r="A411" t="str">
            <v>Нижний Новгород</v>
          </cell>
        </row>
        <row r="412">
          <cell r="A412" t="str">
            <v>Нижний Новгород</v>
          </cell>
        </row>
        <row r="413">
          <cell r="A413" t="str">
            <v>Нижний Новгород</v>
          </cell>
        </row>
        <row r="414">
          <cell r="A414" t="str">
            <v>Нижний Новгород</v>
          </cell>
        </row>
        <row r="415">
          <cell r="A415" t="str">
            <v>Нижний Новгород</v>
          </cell>
        </row>
        <row r="416">
          <cell r="A416" t="str">
            <v>Нижний Новгород</v>
          </cell>
        </row>
        <row r="417">
          <cell r="A417" t="str">
            <v>Нижний Новгород</v>
          </cell>
        </row>
        <row r="418">
          <cell r="A418" t="str">
            <v>Нижний Новгород</v>
          </cell>
        </row>
        <row r="419">
          <cell r="A419" t="str">
            <v>Нижний Новгород</v>
          </cell>
        </row>
        <row r="420">
          <cell r="A420" t="str">
            <v>Нижний Новгород</v>
          </cell>
        </row>
        <row r="421">
          <cell r="A421" t="str">
            <v>Нижний Новгород</v>
          </cell>
        </row>
        <row r="422">
          <cell r="A422" t="str">
            <v>Нижний Новгород</v>
          </cell>
        </row>
        <row r="423">
          <cell r="A423" t="str">
            <v>Нижний Новгород</v>
          </cell>
        </row>
        <row r="424">
          <cell r="A424" t="str">
            <v>Нижний Новгород</v>
          </cell>
        </row>
        <row r="425">
          <cell r="A425" t="str">
            <v>Нижний Новгород</v>
          </cell>
        </row>
        <row r="426">
          <cell r="A426" t="str">
            <v>Нижний Новгород</v>
          </cell>
        </row>
        <row r="427">
          <cell r="A427" t="str">
            <v>Нижний Новгород</v>
          </cell>
        </row>
        <row r="428">
          <cell r="A428" t="str">
            <v>Нижний Новгород</v>
          </cell>
        </row>
        <row r="429">
          <cell r="A429" t="str">
            <v>Нижний Новгород</v>
          </cell>
        </row>
        <row r="430">
          <cell r="A430" t="str">
            <v>Нижний Новгород</v>
          </cell>
        </row>
        <row r="431">
          <cell r="A431" t="str">
            <v>Нижний Новгород</v>
          </cell>
        </row>
        <row r="432">
          <cell r="A432" t="str">
            <v>Нижний Новгород</v>
          </cell>
        </row>
        <row r="433">
          <cell r="A433" t="str">
            <v>Нижний Новгород</v>
          </cell>
        </row>
        <row r="434">
          <cell r="A434" t="str">
            <v>Нижний Новгород</v>
          </cell>
        </row>
        <row r="435">
          <cell r="A435" t="str">
            <v>Нижний Новгород</v>
          </cell>
        </row>
        <row r="436">
          <cell r="A436" t="str">
            <v>Нижний Новгород</v>
          </cell>
        </row>
        <row r="437">
          <cell r="A437" t="str">
            <v>Нижний Новгород</v>
          </cell>
        </row>
        <row r="438">
          <cell r="A438" t="str">
            <v>Нижний Новгород</v>
          </cell>
        </row>
        <row r="439">
          <cell r="A439" t="str">
            <v>Нижний Новгород</v>
          </cell>
        </row>
        <row r="440">
          <cell r="A440" t="str">
            <v>Нижний Новгород</v>
          </cell>
        </row>
        <row r="441">
          <cell r="A441" t="str">
            <v>Нижний Новгород</v>
          </cell>
        </row>
        <row r="442">
          <cell r="A442" t="str">
            <v>Нижний Новгород</v>
          </cell>
        </row>
        <row r="443">
          <cell r="A443" t="str">
            <v>Нижний Новгород</v>
          </cell>
        </row>
        <row r="444">
          <cell r="A444" t="str">
            <v>Нижний Новгород</v>
          </cell>
        </row>
        <row r="445">
          <cell r="A445" t="str">
            <v>Нижний Новгород</v>
          </cell>
        </row>
        <row r="446">
          <cell r="A446" t="str">
            <v>Нижний Новгород</v>
          </cell>
        </row>
        <row r="447">
          <cell r="A447" t="str">
            <v>Нижний Новгород</v>
          </cell>
        </row>
        <row r="448">
          <cell r="A448" t="str">
            <v>Нижний Новгород</v>
          </cell>
        </row>
        <row r="449">
          <cell r="A449" t="str">
            <v>Нижний Новгород</v>
          </cell>
        </row>
        <row r="450">
          <cell r="A450" t="str">
            <v>Нижний Новгород</v>
          </cell>
        </row>
        <row r="451">
          <cell r="A451" t="str">
            <v>Нижний Новгород</v>
          </cell>
        </row>
        <row r="452">
          <cell r="A452" t="str">
            <v>Нижний Новгород</v>
          </cell>
        </row>
        <row r="453">
          <cell r="A453" t="str">
            <v>Нижний Новгород</v>
          </cell>
        </row>
        <row r="454">
          <cell r="A454" t="str">
            <v>Нижний Новгород</v>
          </cell>
        </row>
        <row r="455">
          <cell r="A455" t="str">
            <v>Нижний Новгород</v>
          </cell>
        </row>
        <row r="456">
          <cell r="A456" t="str">
            <v>Нижний Новгород</v>
          </cell>
        </row>
        <row r="457">
          <cell r="A457" t="str">
            <v>Нижний Новгород</v>
          </cell>
        </row>
        <row r="458">
          <cell r="A458" t="str">
            <v>Нижний Новгород</v>
          </cell>
        </row>
        <row r="459">
          <cell r="A459" t="str">
            <v>Нижний Новгород</v>
          </cell>
        </row>
        <row r="460">
          <cell r="A460" t="str">
            <v>Нижний Новгород</v>
          </cell>
        </row>
        <row r="461">
          <cell r="A461" t="str">
            <v>Нижний Новгород</v>
          </cell>
        </row>
        <row r="462">
          <cell r="A462" t="str">
            <v>Нижний Новгород</v>
          </cell>
        </row>
        <row r="463">
          <cell r="A463" t="str">
            <v>Нижний Новгород</v>
          </cell>
        </row>
        <row r="464">
          <cell r="A464" t="str">
            <v>Нижний Новгород</v>
          </cell>
        </row>
        <row r="465">
          <cell r="A465" t="str">
            <v>Нижний Новгород</v>
          </cell>
        </row>
        <row r="466">
          <cell r="A466" t="str">
            <v>Хабаровск</v>
          </cell>
        </row>
        <row r="467">
          <cell r="A467" t="str">
            <v>Хабаровск</v>
          </cell>
        </row>
        <row r="468">
          <cell r="A468" t="str">
            <v>Хабаровск</v>
          </cell>
        </row>
        <row r="469">
          <cell r="A469" t="str">
            <v>Хабаровск</v>
          </cell>
        </row>
        <row r="470">
          <cell r="A470" t="str">
            <v>Хабаровск</v>
          </cell>
        </row>
        <row r="471">
          <cell r="A471" t="str">
            <v>Хабаровск</v>
          </cell>
        </row>
        <row r="472">
          <cell r="A472" t="str">
            <v>Хабаровск</v>
          </cell>
        </row>
        <row r="473">
          <cell r="A473" t="str">
            <v>Хабаровск</v>
          </cell>
        </row>
        <row r="474">
          <cell r="A474" t="str">
            <v>Хабаровск</v>
          </cell>
        </row>
        <row r="475">
          <cell r="A475" t="str">
            <v>Хабаровск</v>
          </cell>
        </row>
        <row r="476">
          <cell r="A476" t="str">
            <v>Хабаровск</v>
          </cell>
        </row>
        <row r="477">
          <cell r="A477" t="str">
            <v>Хабаровск</v>
          </cell>
        </row>
        <row r="478">
          <cell r="A478" t="str">
            <v>Хабаровск</v>
          </cell>
        </row>
        <row r="479">
          <cell r="A479" t="str">
            <v>Хабаровск</v>
          </cell>
        </row>
        <row r="480">
          <cell r="A480" t="str">
            <v>Хабаровск</v>
          </cell>
        </row>
        <row r="481">
          <cell r="A481" t="str">
            <v>Хабаровск</v>
          </cell>
        </row>
        <row r="482">
          <cell r="A482" t="str">
            <v>Хабаровск</v>
          </cell>
        </row>
        <row r="483">
          <cell r="A483" t="str">
            <v>Хабаровск</v>
          </cell>
        </row>
        <row r="484">
          <cell r="A484" t="str">
            <v>Хабаровск</v>
          </cell>
        </row>
        <row r="485">
          <cell r="A485" t="str">
            <v>Хабаровск</v>
          </cell>
        </row>
        <row r="486">
          <cell r="A486" t="str">
            <v>Хабаровск</v>
          </cell>
        </row>
        <row r="487">
          <cell r="A487" t="str">
            <v>Хабаровск</v>
          </cell>
        </row>
        <row r="488">
          <cell r="A488" t="str">
            <v>Хабаровск</v>
          </cell>
        </row>
        <row r="489">
          <cell r="A489" t="str">
            <v>Хабаровск</v>
          </cell>
        </row>
        <row r="490">
          <cell r="A490" t="str">
            <v>Хабаровск</v>
          </cell>
        </row>
        <row r="491">
          <cell r="A491" t="str">
            <v>Хабаровск</v>
          </cell>
        </row>
        <row r="492">
          <cell r="A492" t="str">
            <v>Хабаровск</v>
          </cell>
        </row>
        <row r="493">
          <cell r="A493" t="str">
            <v>Хабаровск</v>
          </cell>
        </row>
        <row r="494">
          <cell r="A494" t="str">
            <v>Хабаровск</v>
          </cell>
        </row>
        <row r="495">
          <cell r="A495" t="str">
            <v>Хабаровск</v>
          </cell>
        </row>
        <row r="496">
          <cell r="A496" t="str">
            <v>Хабаровск</v>
          </cell>
        </row>
        <row r="497">
          <cell r="A497" t="str">
            <v>Хабаровск</v>
          </cell>
        </row>
        <row r="498">
          <cell r="A498" t="str">
            <v>Хабаровск</v>
          </cell>
        </row>
        <row r="499">
          <cell r="A499" t="str">
            <v>Хабаровск</v>
          </cell>
        </row>
        <row r="500">
          <cell r="A500" t="str">
            <v>Хабаровск</v>
          </cell>
        </row>
        <row r="501">
          <cell r="A501" t="str">
            <v>Хабаровск</v>
          </cell>
        </row>
        <row r="502">
          <cell r="A502" t="str">
            <v>Хабаровск</v>
          </cell>
        </row>
        <row r="503">
          <cell r="A503" t="str">
            <v>Хабаровск</v>
          </cell>
        </row>
        <row r="504">
          <cell r="A504" t="str">
            <v>Хабаровск</v>
          </cell>
        </row>
        <row r="505">
          <cell r="A505" t="str">
            <v>Хабаровск</v>
          </cell>
        </row>
        <row r="506">
          <cell r="A506" t="str">
            <v>Хабаровск</v>
          </cell>
        </row>
        <row r="507">
          <cell r="A507" t="str">
            <v>Хабаровск</v>
          </cell>
        </row>
        <row r="508">
          <cell r="A508" t="str">
            <v>Хабаровск</v>
          </cell>
        </row>
        <row r="509">
          <cell r="A509" t="str">
            <v>Хабаровск</v>
          </cell>
        </row>
        <row r="510">
          <cell r="A510" t="str">
            <v>Хабаровск</v>
          </cell>
        </row>
        <row r="511">
          <cell r="A511" t="str">
            <v>Хабаровск</v>
          </cell>
        </row>
        <row r="512">
          <cell r="A512" t="str">
            <v>Хабаровск</v>
          </cell>
        </row>
        <row r="513">
          <cell r="A513" t="str">
            <v>Хабаровск</v>
          </cell>
        </row>
        <row r="514">
          <cell r="A514" t="str">
            <v>Хабаровск</v>
          </cell>
        </row>
        <row r="515">
          <cell r="A515" t="str">
            <v>Хабаровск</v>
          </cell>
        </row>
        <row r="516">
          <cell r="A516" t="str">
            <v>Хабаровск</v>
          </cell>
        </row>
        <row r="517">
          <cell r="A517" t="str">
            <v>Хабаровск</v>
          </cell>
        </row>
        <row r="518">
          <cell r="A518" t="str">
            <v>Хабаровск</v>
          </cell>
        </row>
        <row r="519">
          <cell r="A519" t="str">
            <v>Хабаровск</v>
          </cell>
        </row>
        <row r="520">
          <cell r="A520" t="str">
            <v>Хабаровск</v>
          </cell>
        </row>
        <row r="521">
          <cell r="A521" t="str">
            <v>Хабаровск</v>
          </cell>
        </row>
        <row r="522">
          <cell r="A522" t="str">
            <v>Хабаровск</v>
          </cell>
        </row>
        <row r="523">
          <cell r="A523" t="str">
            <v>Хабаровск</v>
          </cell>
        </row>
        <row r="524">
          <cell r="A524" t="str">
            <v>Омск</v>
          </cell>
        </row>
        <row r="525">
          <cell r="A525" t="str">
            <v>Омск</v>
          </cell>
        </row>
        <row r="526">
          <cell r="A526" t="str">
            <v>Омск</v>
          </cell>
        </row>
        <row r="527">
          <cell r="A527" t="str">
            <v>Омск</v>
          </cell>
        </row>
        <row r="528">
          <cell r="A528" t="str">
            <v>Омск</v>
          </cell>
        </row>
        <row r="529">
          <cell r="A529" t="str">
            <v>Омск</v>
          </cell>
        </row>
        <row r="530">
          <cell r="A530" t="str">
            <v>Омск</v>
          </cell>
        </row>
        <row r="531">
          <cell r="A531" t="str">
            <v>Омск</v>
          </cell>
        </row>
        <row r="532">
          <cell r="A532" t="str">
            <v>Омск</v>
          </cell>
        </row>
        <row r="533">
          <cell r="A533" t="str">
            <v>Омск</v>
          </cell>
        </row>
        <row r="534">
          <cell r="A534" t="str">
            <v>Омск</v>
          </cell>
        </row>
        <row r="535">
          <cell r="A535" t="str">
            <v>Омск</v>
          </cell>
        </row>
        <row r="536">
          <cell r="A536" t="str">
            <v>Омск</v>
          </cell>
        </row>
        <row r="537">
          <cell r="A537" t="str">
            <v>Омск</v>
          </cell>
        </row>
        <row r="538">
          <cell r="A538" t="str">
            <v>Омск</v>
          </cell>
        </row>
        <row r="539">
          <cell r="A539" t="str">
            <v>Омск</v>
          </cell>
        </row>
        <row r="540">
          <cell r="A540" t="str">
            <v>Омск</v>
          </cell>
        </row>
        <row r="541">
          <cell r="A541" t="str">
            <v>Омск</v>
          </cell>
        </row>
        <row r="542">
          <cell r="A542" t="str">
            <v>Омск</v>
          </cell>
        </row>
        <row r="543">
          <cell r="A543" t="str">
            <v>Омск</v>
          </cell>
        </row>
        <row r="544">
          <cell r="A544" t="str">
            <v>Омск</v>
          </cell>
        </row>
        <row r="545">
          <cell r="A545" t="str">
            <v>Омск</v>
          </cell>
        </row>
        <row r="546">
          <cell r="A546" t="str">
            <v>Омск</v>
          </cell>
        </row>
        <row r="547">
          <cell r="A547" t="str">
            <v>Омск</v>
          </cell>
        </row>
        <row r="548">
          <cell r="A548" t="str">
            <v>Омск</v>
          </cell>
        </row>
        <row r="549">
          <cell r="A549" t="str">
            <v>Омск</v>
          </cell>
        </row>
        <row r="550">
          <cell r="A550" t="str">
            <v>Омск</v>
          </cell>
        </row>
        <row r="551">
          <cell r="A551" t="str">
            <v>Омск</v>
          </cell>
        </row>
        <row r="552">
          <cell r="A552" t="str">
            <v>Омск</v>
          </cell>
        </row>
        <row r="553">
          <cell r="A553" t="str">
            <v>Омск</v>
          </cell>
        </row>
        <row r="554">
          <cell r="A554" t="str">
            <v>Омск</v>
          </cell>
        </row>
        <row r="555">
          <cell r="A555" t="str">
            <v>Омск</v>
          </cell>
        </row>
        <row r="556">
          <cell r="A556" t="str">
            <v>Омск</v>
          </cell>
        </row>
        <row r="557">
          <cell r="A557" t="str">
            <v>Омск</v>
          </cell>
        </row>
        <row r="558">
          <cell r="A558" t="str">
            <v>Омск</v>
          </cell>
        </row>
        <row r="559">
          <cell r="A559" t="str">
            <v>Омск</v>
          </cell>
        </row>
        <row r="560">
          <cell r="A560" t="str">
            <v>Омск</v>
          </cell>
        </row>
        <row r="561">
          <cell r="A561" t="str">
            <v>Омск</v>
          </cell>
        </row>
        <row r="562">
          <cell r="A562" t="str">
            <v>Омск</v>
          </cell>
        </row>
        <row r="563">
          <cell r="A563" t="str">
            <v>Омск</v>
          </cell>
        </row>
        <row r="564">
          <cell r="A564" t="str">
            <v>Омск</v>
          </cell>
        </row>
        <row r="565">
          <cell r="A565" t="str">
            <v>Омск</v>
          </cell>
        </row>
        <row r="566">
          <cell r="A566" t="str">
            <v>Омск</v>
          </cell>
        </row>
        <row r="567">
          <cell r="A567" t="str">
            <v>Омск</v>
          </cell>
        </row>
        <row r="568">
          <cell r="A568" t="str">
            <v>Омск</v>
          </cell>
        </row>
        <row r="569">
          <cell r="A569" t="str">
            <v>Омск</v>
          </cell>
        </row>
        <row r="570">
          <cell r="A570" t="str">
            <v>Омск</v>
          </cell>
        </row>
        <row r="571">
          <cell r="A571" t="str">
            <v>Омск</v>
          </cell>
        </row>
        <row r="572">
          <cell r="A572" t="str">
            <v>Омск</v>
          </cell>
        </row>
        <row r="573">
          <cell r="A573" t="str">
            <v>Омск</v>
          </cell>
        </row>
        <row r="574">
          <cell r="A574" t="str">
            <v>Омск</v>
          </cell>
        </row>
        <row r="575">
          <cell r="A575" t="str">
            <v>Омск</v>
          </cell>
        </row>
        <row r="576">
          <cell r="A576" t="str">
            <v>Омск</v>
          </cell>
        </row>
        <row r="577">
          <cell r="A577" t="str">
            <v>Омск</v>
          </cell>
        </row>
        <row r="578">
          <cell r="A578" t="str">
            <v>Омск</v>
          </cell>
        </row>
        <row r="579">
          <cell r="A579" t="str">
            <v>Омск</v>
          </cell>
        </row>
        <row r="580">
          <cell r="A580" t="str">
            <v>Омск</v>
          </cell>
        </row>
        <row r="581">
          <cell r="A581" t="str">
            <v>Омск</v>
          </cell>
        </row>
        <row r="582">
          <cell r="A582" t="str">
            <v>Воронеж</v>
          </cell>
        </row>
        <row r="583">
          <cell r="A583" t="str">
            <v>Воронеж</v>
          </cell>
        </row>
        <row r="584">
          <cell r="A584" t="str">
            <v>Воронеж</v>
          </cell>
        </row>
        <row r="585">
          <cell r="A585" t="str">
            <v>Воронеж</v>
          </cell>
        </row>
        <row r="586">
          <cell r="A586" t="str">
            <v>Воронеж</v>
          </cell>
        </row>
        <row r="587">
          <cell r="A587" t="str">
            <v>Воронеж</v>
          </cell>
        </row>
        <row r="588">
          <cell r="A588" t="str">
            <v>Воронеж</v>
          </cell>
        </row>
        <row r="589">
          <cell r="A589" t="str">
            <v>Воронеж</v>
          </cell>
        </row>
        <row r="590">
          <cell r="A590" t="str">
            <v>Воронеж</v>
          </cell>
        </row>
        <row r="591">
          <cell r="A591" t="str">
            <v>Воронеж</v>
          </cell>
        </row>
        <row r="592">
          <cell r="A592" t="str">
            <v>Воронеж</v>
          </cell>
        </row>
        <row r="593">
          <cell r="A593" t="str">
            <v>Воронеж</v>
          </cell>
        </row>
        <row r="594">
          <cell r="A594" t="str">
            <v>Воронеж</v>
          </cell>
        </row>
        <row r="595">
          <cell r="A595" t="str">
            <v>Воронеж</v>
          </cell>
        </row>
        <row r="596">
          <cell r="A596" t="str">
            <v>Воронеж</v>
          </cell>
        </row>
        <row r="597">
          <cell r="A597" t="str">
            <v>Воронеж</v>
          </cell>
        </row>
        <row r="598">
          <cell r="A598" t="str">
            <v>Воронеж</v>
          </cell>
        </row>
        <row r="599">
          <cell r="A599" t="str">
            <v>Воронеж</v>
          </cell>
        </row>
        <row r="600">
          <cell r="A600" t="str">
            <v>Воронеж</v>
          </cell>
        </row>
        <row r="601">
          <cell r="A601" t="str">
            <v>Воронеж</v>
          </cell>
        </row>
        <row r="602">
          <cell r="A602" t="str">
            <v>Воронеж</v>
          </cell>
        </row>
        <row r="603">
          <cell r="A603" t="str">
            <v>Воронеж</v>
          </cell>
        </row>
        <row r="604">
          <cell r="A604" t="str">
            <v>Воронеж</v>
          </cell>
        </row>
        <row r="605">
          <cell r="A605" t="str">
            <v>Воронеж</v>
          </cell>
        </row>
        <row r="606">
          <cell r="A606" t="str">
            <v>Воронеж</v>
          </cell>
        </row>
        <row r="607">
          <cell r="A607" t="str">
            <v>Воронеж</v>
          </cell>
        </row>
        <row r="608">
          <cell r="A608" t="str">
            <v>Воронеж</v>
          </cell>
        </row>
        <row r="609">
          <cell r="A609" t="str">
            <v>Воронеж</v>
          </cell>
        </row>
        <row r="610">
          <cell r="A610" t="str">
            <v>Воронеж</v>
          </cell>
        </row>
        <row r="611">
          <cell r="A611" t="str">
            <v>Воронеж</v>
          </cell>
        </row>
        <row r="612">
          <cell r="A612" t="str">
            <v>Воронеж</v>
          </cell>
        </row>
        <row r="613">
          <cell r="A613" t="str">
            <v>Воронеж</v>
          </cell>
        </row>
        <row r="614">
          <cell r="A614" t="str">
            <v>Воронеж</v>
          </cell>
        </row>
        <row r="615">
          <cell r="A615" t="str">
            <v>Воронеж</v>
          </cell>
        </row>
        <row r="616">
          <cell r="A616" t="str">
            <v>Воронеж</v>
          </cell>
        </row>
        <row r="617">
          <cell r="A617" t="str">
            <v>Воронеж</v>
          </cell>
        </row>
        <row r="618">
          <cell r="A618" t="str">
            <v>Воронеж</v>
          </cell>
        </row>
        <row r="619">
          <cell r="A619" t="str">
            <v>Воронеж</v>
          </cell>
        </row>
        <row r="620">
          <cell r="A620" t="str">
            <v>Воронеж</v>
          </cell>
        </row>
        <row r="621">
          <cell r="A621" t="str">
            <v>Воронеж</v>
          </cell>
        </row>
        <row r="622">
          <cell r="A622" t="str">
            <v>Воронеж</v>
          </cell>
        </row>
        <row r="623">
          <cell r="A623" t="str">
            <v>Воронеж</v>
          </cell>
        </row>
        <row r="624">
          <cell r="A624" t="str">
            <v>Воронеж</v>
          </cell>
        </row>
        <row r="625">
          <cell r="A625" t="str">
            <v>Воронеж</v>
          </cell>
        </row>
        <row r="626">
          <cell r="A626" t="str">
            <v>Воронеж</v>
          </cell>
        </row>
        <row r="627">
          <cell r="A627" t="str">
            <v>Воронеж</v>
          </cell>
        </row>
        <row r="628">
          <cell r="A628" t="str">
            <v>Воронеж</v>
          </cell>
        </row>
        <row r="629">
          <cell r="A629" t="str">
            <v>Воронеж</v>
          </cell>
        </row>
        <row r="630">
          <cell r="A630" t="str">
            <v>Воронеж</v>
          </cell>
        </row>
        <row r="631">
          <cell r="A631" t="str">
            <v>Воронеж</v>
          </cell>
        </row>
        <row r="632">
          <cell r="A632" t="str">
            <v>Воронеж</v>
          </cell>
        </row>
        <row r="633">
          <cell r="A633" t="str">
            <v>Воронеж</v>
          </cell>
        </row>
        <row r="634">
          <cell r="A634" t="str">
            <v>Воронеж</v>
          </cell>
        </row>
        <row r="635">
          <cell r="A635" t="str">
            <v>Воронеж</v>
          </cell>
        </row>
        <row r="636">
          <cell r="A636" t="str">
            <v>Воронеж</v>
          </cell>
        </row>
        <row r="637">
          <cell r="A637" t="str">
            <v>Воронеж</v>
          </cell>
        </row>
        <row r="638">
          <cell r="A638" t="str">
            <v>Воронеж</v>
          </cell>
        </row>
        <row r="639">
          <cell r="A639" t="str">
            <v>Воронеж</v>
          </cell>
        </row>
      </sheetData>
      <sheetData sheetId="27">
        <row r="2">
          <cell r="A2" t="str">
            <v>Анапа</v>
          </cell>
          <cell r="B2" t="str">
            <v>ТЦ Красная Площадь</v>
          </cell>
          <cell r="F2">
            <v>20.013333333333332</v>
          </cell>
          <cell r="G2">
            <v>5</v>
          </cell>
        </row>
        <row r="3">
          <cell r="A3" t="str">
            <v>Красногорск</v>
          </cell>
          <cell r="B3" t="str">
            <v>ТЦ Vegas, Крокус сити</v>
          </cell>
          <cell r="F3">
            <v>36.866666666666667</v>
          </cell>
          <cell r="G3">
            <v>5</v>
          </cell>
        </row>
        <row r="4">
          <cell r="A4" t="str">
            <v>Краснодар</v>
          </cell>
          <cell r="B4" t="str">
            <v>ТЦ Красная Площадь</v>
          </cell>
          <cell r="F4">
            <v>60.669577333333336</v>
          </cell>
          <cell r="G4">
            <v>5</v>
          </cell>
        </row>
        <row r="5">
          <cell r="A5" t="str">
            <v>Москва</v>
          </cell>
          <cell r="B5" t="str">
            <v>Такси</v>
          </cell>
          <cell r="F5">
            <v>963.33333333333337</v>
          </cell>
          <cell r="G5">
            <v>5</v>
          </cell>
        </row>
        <row r="6">
          <cell r="A6" t="str">
            <v>Москва</v>
          </cell>
          <cell r="B6" t="str">
            <v>Авиапарк</v>
          </cell>
          <cell r="F6">
            <v>400</v>
          </cell>
          <cell r="G6">
            <v>5</v>
          </cell>
        </row>
        <row r="7">
          <cell r="A7" t="str">
            <v>Москва</v>
          </cell>
          <cell r="B7" t="str">
            <v>Digital-мобиль</v>
          </cell>
          <cell r="F7">
            <v>235.37999999999997</v>
          </cell>
          <cell r="G7">
            <v>5</v>
          </cell>
        </row>
        <row r="8">
          <cell r="A8" t="str">
            <v>Москва</v>
          </cell>
          <cell r="B8" t="str">
            <v>ПВЗ</v>
          </cell>
          <cell r="F8">
            <v>716.7619047619047</v>
          </cell>
          <cell r="G8">
            <v>5</v>
          </cell>
        </row>
        <row r="9">
          <cell r="A9" t="str">
            <v>Москва</v>
          </cell>
          <cell r="B9" t="str">
            <v>Аэроэкспрессы (Москва)</v>
          </cell>
          <cell r="F9">
            <v>429.33909999999997</v>
          </cell>
          <cell r="G9">
            <v>5</v>
          </cell>
        </row>
        <row r="10">
          <cell r="A10" t="str">
            <v>Москва</v>
          </cell>
          <cell r="B10" t="str">
            <v>Сапсаны</v>
          </cell>
          <cell r="F10">
            <v>13.106924034133106</v>
          </cell>
          <cell r="G10">
            <v>5</v>
          </cell>
        </row>
        <row r="11">
          <cell r="A11" t="str">
            <v>Москва</v>
          </cell>
          <cell r="B11" t="str">
            <v>Ласточки</v>
          </cell>
          <cell r="F11">
            <v>114.9</v>
          </cell>
          <cell r="G11">
            <v>5</v>
          </cell>
        </row>
        <row r="12">
          <cell r="A12" t="str">
            <v>Москва</v>
          </cell>
          <cell r="B12" t="str">
            <v>ТЦ Коламбус</v>
          </cell>
          <cell r="F12">
            <v>79</v>
          </cell>
          <cell r="G12">
            <v>5</v>
          </cell>
        </row>
        <row r="13">
          <cell r="A13" t="str">
            <v>Москва</v>
          </cell>
          <cell r="B13" t="str">
            <v>ТЦ Охотный ряд</v>
          </cell>
          <cell r="F13">
            <v>189.6</v>
          </cell>
          <cell r="G13">
            <v>5</v>
          </cell>
        </row>
        <row r="14">
          <cell r="A14" t="str">
            <v>Москва</v>
          </cell>
          <cell r="B14" t="str">
            <v>ТЦ Атриум</v>
          </cell>
          <cell r="F14">
            <v>168.53333333333333</v>
          </cell>
          <cell r="G14">
            <v>5</v>
          </cell>
        </row>
        <row r="15">
          <cell r="A15" t="str">
            <v>Москва</v>
          </cell>
          <cell r="B15" t="str">
            <v>ТЦ XL</v>
          </cell>
          <cell r="F15">
            <v>71.099999999999994</v>
          </cell>
          <cell r="G15">
            <v>5</v>
          </cell>
        </row>
        <row r="16">
          <cell r="A16" t="str">
            <v>Москва</v>
          </cell>
          <cell r="B16" t="str">
            <v>ТЦ Саларис</v>
          </cell>
          <cell r="F16">
            <v>110.6</v>
          </cell>
          <cell r="G16">
            <v>5</v>
          </cell>
        </row>
        <row r="17">
          <cell r="A17" t="str">
            <v>Москва</v>
          </cell>
          <cell r="B17" t="str">
            <v>ТЦ Vegas, Кунцево</v>
          </cell>
          <cell r="F17">
            <v>24.963999999999999</v>
          </cell>
          <cell r="G17">
            <v>5</v>
          </cell>
        </row>
        <row r="18">
          <cell r="A18" t="str">
            <v>Москва</v>
          </cell>
          <cell r="B18" t="str">
            <v>ТЦ Европейский</v>
          </cell>
          <cell r="F18">
            <v>147.46666666666667</v>
          </cell>
          <cell r="G18">
            <v>5</v>
          </cell>
        </row>
        <row r="19">
          <cell r="A19" t="str">
            <v>Москва</v>
          </cell>
          <cell r="B19" t="str">
            <v>ТЦ Афимолл</v>
          </cell>
          <cell r="F19">
            <v>658.33333333333337</v>
          </cell>
          <cell r="G19">
            <v>5</v>
          </cell>
        </row>
        <row r="20">
          <cell r="A20" t="str">
            <v>Москва</v>
          </cell>
          <cell r="B20" t="str">
            <v>ТЦ Гагаринский</v>
          </cell>
          <cell r="F20">
            <v>13.166666666666668</v>
          </cell>
          <cell r="G20">
            <v>5</v>
          </cell>
        </row>
        <row r="21">
          <cell r="A21" t="str">
            <v>Москва</v>
          </cell>
          <cell r="B21" t="str">
            <v>ТЦ Авиапарк</v>
          </cell>
          <cell r="F21">
            <v>1185</v>
          </cell>
          <cell r="G21">
            <v>5</v>
          </cell>
        </row>
        <row r="22">
          <cell r="A22" t="str">
            <v>Москва</v>
          </cell>
          <cell r="B22" t="str">
            <v>ТЦ Vegas, Каширское</v>
          </cell>
          <cell r="F22">
            <v>1.3166666666666667</v>
          </cell>
          <cell r="G22">
            <v>5</v>
          </cell>
        </row>
        <row r="23">
          <cell r="A23" t="str">
            <v>Москва</v>
          </cell>
          <cell r="B23" t="str">
            <v>Азбука Вкуса</v>
          </cell>
          <cell r="F23">
            <v>966.66666666666663</v>
          </cell>
          <cell r="G23">
            <v>5</v>
          </cell>
        </row>
        <row r="24">
          <cell r="A24" t="str">
            <v>Нижний Новгород</v>
          </cell>
          <cell r="B24" t="str">
            <v>Ласточки</v>
          </cell>
          <cell r="F24">
            <v>114.9</v>
          </cell>
          <cell r="G24">
            <v>5</v>
          </cell>
        </row>
        <row r="25">
          <cell r="A25" t="str">
            <v>Подольск</v>
          </cell>
          <cell r="B25" t="str">
            <v>ТЦ Центральный</v>
          </cell>
          <cell r="F25">
            <v>18.433333333333334</v>
          </cell>
          <cell r="G25">
            <v>5</v>
          </cell>
        </row>
        <row r="26">
          <cell r="A26" t="str">
            <v>Ростов-на-Дону</v>
          </cell>
          <cell r="B26" t="str">
            <v>ТЦ Золотой Вавилон</v>
          </cell>
          <cell r="F26">
            <v>39.5</v>
          </cell>
          <cell r="G26">
            <v>5</v>
          </cell>
        </row>
        <row r="27">
          <cell r="A27" t="str">
            <v>Самара</v>
          </cell>
          <cell r="B27" t="str">
            <v>ТЦ Мега</v>
          </cell>
          <cell r="F27">
            <v>52.666666666666671</v>
          </cell>
          <cell r="G27">
            <v>5</v>
          </cell>
        </row>
        <row r="28">
          <cell r="A28" t="str">
            <v>Самара</v>
          </cell>
          <cell r="B28" t="str">
            <v>ТЦ Вива ленд</v>
          </cell>
          <cell r="F28">
            <v>2.7572549019607844</v>
          </cell>
          <cell r="G28">
            <v>5</v>
          </cell>
        </row>
        <row r="29">
          <cell r="A29" t="str">
            <v>Санкт-Петербург</v>
          </cell>
          <cell r="B29" t="str">
            <v>ПВЗ</v>
          </cell>
          <cell r="F29">
            <v>716.7619047619047</v>
          </cell>
          <cell r="G29">
            <v>5</v>
          </cell>
        </row>
        <row r="30">
          <cell r="A30" t="str">
            <v>Санкт-Петербург</v>
          </cell>
          <cell r="B30" t="str">
            <v>Сапсаны</v>
          </cell>
          <cell r="F30">
            <v>13.106924034133106</v>
          </cell>
          <cell r="G30">
            <v>5</v>
          </cell>
        </row>
        <row r="31">
          <cell r="A31" t="str">
            <v>Санкт-Петербург</v>
          </cell>
          <cell r="B31" t="str">
            <v>Ласточки</v>
          </cell>
          <cell r="F31">
            <v>114.9</v>
          </cell>
          <cell r="G31">
            <v>5</v>
          </cell>
        </row>
        <row r="32">
          <cell r="A32" t="str">
            <v>Санкт-Петербург</v>
          </cell>
          <cell r="B32" t="str">
            <v>ТЦ Атмосфера</v>
          </cell>
          <cell r="F32">
            <v>147.46666666666667</v>
          </cell>
          <cell r="G32">
            <v>5</v>
          </cell>
        </row>
        <row r="33">
          <cell r="A33" t="str">
            <v>Санкт-Петербург</v>
          </cell>
          <cell r="B33" t="str">
            <v>ТЦ Меркурий</v>
          </cell>
          <cell r="F33">
            <v>36.432941176470592</v>
          </cell>
          <cell r="G33">
            <v>5</v>
          </cell>
        </row>
        <row r="34">
          <cell r="A34" t="str">
            <v>Санкт-Петербург</v>
          </cell>
          <cell r="B34" t="str">
            <v>ТЦ Балканскй-3</v>
          </cell>
          <cell r="F34">
            <v>91.041045751634002</v>
          </cell>
          <cell r="G34">
            <v>5</v>
          </cell>
        </row>
        <row r="35">
          <cell r="A35" t="str">
            <v>Санкт-Петербург</v>
          </cell>
          <cell r="B35" t="str">
            <v>Азбука Вкуса</v>
          </cell>
          <cell r="F35">
            <v>966.66666666666663</v>
          </cell>
          <cell r="G35">
            <v>5</v>
          </cell>
        </row>
        <row r="36">
          <cell r="A36" t="str">
            <v>Тюмень</v>
          </cell>
          <cell r="B36" t="str">
            <v>ТЦ Солнечный</v>
          </cell>
          <cell r="F36">
            <v>8.1112586400000009</v>
          </cell>
          <cell r="G36">
            <v>5</v>
          </cell>
        </row>
        <row r="37">
          <cell r="A37" t="str">
            <v>Химки</v>
          </cell>
          <cell r="B37" t="str">
            <v>ТЦ Мега, Химки</v>
          </cell>
          <cell r="F37">
            <v>131.66666666666666</v>
          </cell>
          <cell r="G37">
            <v>5</v>
          </cell>
        </row>
        <row r="40">
          <cell r="A40" t="str">
            <v>Источник: оценка агентства OMD</v>
          </cell>
        </row>
      </sheetData>
      <sheetData sheetId="28"/>
      <sheetData sheetId="29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C86DFE3-42AB-4BE0-9766-1787631C251C}" autoFormatId="16" applyNumberFormats="0" applyBorderFormats="0" applyFontFormats="0" applyPatternFormats="0" applyAlignmentFormats="0" applyWidthHeightFormats="0">
  <queryTableRefresh nextId="4">
    <queryTableFields count="3">
      <queryTableField id="1" name="Регион" tableColumnId="1"/>
      <queryTableField id="2" name="Канал" tableColumnId="2"/>
      <queryTableField id="3" name="OT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831576-1ADA-438B-85F8-88808F42DE59}" name="Таблица1_1" displayName="Таблица1_1" ref="A1:C464" tableType="queryTable" totalsRowShown="0">
  <autoFilter ref="A1:C464" xr:uid="{42831576-1ADA-438B-85F8-88808F42DE59}"/>
  <sortState xmlns:xlrd2="http://schemas.microsoft.com/office/spreadsheetml/2017/richdata2" ref="A2:C464">
    <sortCondition ref="A1:A464"/>
  </sortState>
  <tableColumns count="3">
    <tableColumn id="1" xr3:uid="{426E5030-04A4-4F4D-AEB0-B9EA1CAA3896}" uniqueName="1" name="Регион" queryTableFieldId="1" dataDxfId="8"/>
    <tableColumn id="2" xr3:uid="{E5C3178B-BA78-4327-9287-48C3D6862253}" uniqueName="2" name="Канал" queryTableFieldId="2" dataDxfId="7"/>
    <tableColumn id="3" xr3:uid="{452623A4-AE98-4F91-86D5-88A865377DFD}" uniqueName="3" name="OTS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927326-257D-4029-9A91-21C783E5FC58}" name="Таблица1" displayName="Таблица1" ref="A1:D805" totalsRowShown="0" headerRowDxfId="6" dataDxfId="5">
  <autoFilter ref="A1:D805" xr:uid="{9E92D6EE-D7AB-4D5B-9962-E360B5F0176F}"/>
  <tableColumns count="4">
    <tableColumn id="1" xr3:uid="{A82FA009-64CE-42A4-B400-0DF961311328}" name="Блок распространения" dataDxfId="4"/>
    <tableColumn id="2" xr3:uid="{0FC4CEA6-22A3-40D6-BA84-7D0016E93768}" name="Канал" dataDxfId="3"/>
    <tableColumn id="3" xr3:uid="{F517AE59-7C85-4722-A5AB-A3C2E3F8AB5C}" name="Регион" dataDxfId="2"/>
    <tableColumn id="4" xr3:uid="{AC934F58-9AA6-4FF1-9E3C-2B889F15F561}" name="OT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0606F-C732-4DB5-AA01-BF4A8A0CC63B}">
  <dimension ref="B1:P167"/>
  <sheetViews>
    <sheetView tabSelected="1" topLeftCell="A16" zoomScale="80" zoomScaleNormal="80" workbookViewId="0">
      <pane ySplit="12" topLeftCell="A28" activePane="bottomLeft" state="frozen"/>
      <selection activeCell="A14" sqref="A14"/>
      <selection pane="bottomLeft" activeCell="C28" sqref="C28:C92"/>
    </sheetView>
  </sheetViews>
  <sheetFormatPr defaultColWidth="9.140625" defaultRowHeight="13.5" outlineLevelRow="1" x14ac:dyDescent="0.25"/>
  <cols>
    <col min="1" max="1" width="6" style="53" customWidth="1"/>
    <col min="2" max="2" width="6.140625" style="55" customWidth="1"/>
    <col min="3" max="3" width="23.42578125" style="53" customWidth="1"/>
    <col min="4" max="4" width="33.85546875" style="53" customWidth="1"/>
    <col min="5" max="5" width="26.5703125" style="53" customWidth="1"/>
    <col min="6" max="6" width="13" style="54" customWidth="1"/>
    <col min="7" max="7" width="15.85546875" style="53" customWidth="1"/>
    <col min="8" max="9" width="22.42578125" style="53" customWidth="1"/>
    <col min="10" max="10" width="22.140625" style="53" customWidth="1"/>
    <col min="11" max="11" width="26.42578125" style="53" customWidth="1"/>
    <col min="12" max="12" width="25.140625" style="53" customWidth="1"/>
    <col min="13" max="13" width="24" style="53" customWidth="1"/>
    <col min="14" max="14" width="26" style="53" customWidth="1"/>
    <col min="15" max="15" width="16.42578125" style="53" customWidth="1"/>
    <col min="16" max="16384" width="9.140625" style="53"/>
  </cols>
  <sheetData>
    <row r="1" spans="2:15" hidden="1" x14ac:dyDescent="0.25"/>
    <row r="2" spans="2:15" hidden="1" x14ac:dyDescent="0.25">
      <c r="C2" s="53" t="s">
        <v>409</v>
      </c>
    </row>
    <row r="3" spans="2:15" ht="30" hidden="1" customHeight="1" x14ac:dyDescent="0.25">
      <c r="C3" s="207" t="s">
        <v>408</v>
      </c>
      <c r="D3" s="207" t="s">
        <v>407</v>
      </c>
      <c r="E3" s="207" t="s">
        <v>406</v>
      </c>
      <c r="F3" s="207"/>
      <c r="G3" s="207"/>
      <c r="H3" s="207"/>
      <c r="I3" s="207"/>
      <c r="J3" s="207"/>
      <c r="K3" s="207"/>
      <c r="L3" s="207"/>
      <c r="M3" s="207"/>
      <c r="N3" s="207"/>
    </row>
    <row r="4" spans="2:15" s="58" customFormat="1" ht="174" hidden="1" customHeight="1" x14ac:dyDescent="0.25">
      <c r="B4" s="55"/>
      <c r="C4" s="56" t="s">
        <v>405</v>
      </c>
      <c r="D4" s="56" t="s">
        <v>404</v>
      </c>
      <c r="E4" s="56" t="s">
        <v>403</v>
      </c>
      <c r="F4" s="57"/>
      <c r="G4" s="56"/>
      <c r="H4" s="64"/>
      <c r="I4" s="64"/>
      <c r="J4" s="64"/>
      <c r="K4" s="64"/>
      <c r="L4" s="64"/>
      <c r="M4" s="64"/>
      <c r="N4" s="64"/>
      <c r="O4" s="218"/>
    </row>
    <row r="5" spans="2:15" s="58" customFormat="1" ht="162.75" hidden="1" customHeight="1" x14ac:dyDescent="0.25">
      <c r="B5" s="55"/>
      <c r="C5" s="56" t="s">
        <v>402</v>
      </c>
      <c r="D5" s="56" t="s">
        <v>401</v>
      </c>
      <c r="E5" s="56" t="s">
        <v>400</v>
      </c>
      <c r="F5" s="57"/>
      <c r="G5" s="56"/>
      <c r="H5" s="64"/>
      <c r="I5" s="64"/>
      <c r="J5" s="64"/>
      <c r="K5" s="64"/>
      <c r="L5" s="64"/>
      <c r="M5" s="64"/>
      <c r="N5" s="64"/>
    </row>
    <row r="6" spans="2:15" s="58" customFormat="1" ht="33" hidden="1" customHeight="1" x14ac:dyDescent="0.25">
      <c r="B6" s="55"/>
      <c r="C6" s="56"/>
      <c r="D6" s="56"/>
      <c r="E6" s="217" t="s">
        <v>399</v>
      </c>
      <c r="F6" s="60"/>
      <c r="G6" s="217"/>
    </row>
    <row r="7" spans="2:15" s="58" customFormat="1" ht="33" hidden="1" customHeight="1" x14ac:dyDescent="0.25">
      <c r="B7" s="55"/>
      <c r="C7" s="56"/>
      <c r="D7" s="56"/>
      <c r="E7" s="217"/>
      <c r="F7" s="60"/>
      <c r="G7" s="217"/>
    </row>
    <row r="8" spans="2:15" hidden="1" x14ac:dyDescent="0.25">
      <c r="C8" s="53" t="s">
        <v>398</v>
      </c>
    </row>
    <row r="9" spans="2:15" hidden="1" x14ac:dyDescent="0.25"/>
    <row r="10" spans="2:15" hidden="1" x14ac:dyDescent="0.25">
      <c r="C10" s="58" t="s">
        <v>397</v>
      </c>
    </row>
    <row r="11" spans="2:15" hidden="1" x14ac:dyDescent="0.25">
      <c r="C11" s="58" t="s">
        <v>396</v>
      </c>
    </row>
    <row r="12" spans="2:15" hidden="1" x14ac:dyDescent="0.25"/>
    <row r="13" spans="2:15" hidden="1" x14ac:dyDescent="0.25"/>
    <row r="14" spans="2:15" ht="39.75" hidden="1" customHeight="1" x14ac:dyDescent="0.25"/>
    <row r="15" spans="2:15" hidden="1" x14ac:dyDescent="0.25"/>
    <row r="16" spans="2:15" ht="18.75" customHeight="1" x14ac:dyDescent="0.25">
      <c r="C16" s="216"/>
      <c r="D16" s="215" t="s">
        <v>395</v>
      </c>
    </row>
    <row r="17" spans="2:16" ht="27" customHeight="1" thickBot="1" x14ac:dyDescent="0.3">
      <c r="C17" s="214"/>
      <c r="D17" s="213" t="s">
        <v>394</v>
      </c>
    </row>
    <row r="18" spans="2:16" ht="27" hidden="1" customHeight="1" x14ac:dyDescent="0.25"/>
    <row r="19" spans="2:16" ht="14.25" hidden="1" thickBot="1" x14ac:dyDescent="0.3">
      <c r="G19" s="125"/>
    </row>
    <row r="20" spans="2:16" ht="14.25" thickBot="1" x14ac:dyDescent="0.3">
      <c r="B20" s="190"/>
      <c r="C20" s="212" t="s">
        <v>393</v>
      </c>
      <c r="D20" s="211" t="s">
        <v>379</v>
      </c>
      <c r="E20" s="210"/>
      <c r="F20" s="53"/>
      <c r="H20" s="193"/>
      <c r="I20" s="193"/>
      <c r="J20" s="193"/>
      <c r="K20" s="193"/>
      <c r="L20" s="193"/>
      <c r="M20" s="193"/>
      <c r="N20" s="193"/>
    </row>
    <row r="21" spans="2:16" ht="27.75" thickBot="1" x14ac:dyDescent="0.3">
      <c r="B21" s="190"/>
      <c r="C21" s="206" t="s">
        <v>392</v>
      </c>
      <c r="D21" s="209" t="s">
        <v>391</v>
      </c>
      <c r="E21" s="208" t="e">
        <f>VLOOKUP($E$22,'[1]ЦА по городам'!$A$2:$B$16,2,FALSE)/1000</f>
        <v>#N/A</v>
      </c>
      <c r="F21" s="53"/>
      <c r="H21" s="193"/>
      <c r="I21" s="193"/>
      <c r="J21" s="193"/>
      <c r="K21" s="193"/>
      <c r="L21" s="193"/>
      <c r="M21" s="193"/>
      <c r="N21" s="207"/>
    </row>
    <row r="22" spans="2:16" x14ac:dyDescent="0.25">
      <c r="B22" s="55">
        <v>1</v>
      </c>
      <c r="C22" s="206" t="s">
        <v>390</v>
      </c>
      <c r="D22" s="205" t="s">
        <v>389</v>
      </c>
      <c r="E22" s="204"/>
      <c r="F22" s="53"/>
      <c r="H22" s="57"/>
      <c r="I22" s="57"/>
      <c r="J22" s="56"/>
      <c r="K22" s="56"/>
      <c r="L22" s="56"/>
      <c r="M22" s="56"/>
      <c r="N22" s="56"/>
    </row>
    <row r="23" spans="2:16" x14ac:dyDescent="0.25">
      <c r="C23" s="203" t="s">
        <v>388</v>
      </c>
      <c r="D23" s="202" t="s">
        <v>387</v>
      </c>
      <c r="E23" s="197"/>
      <c r="F23" s="53"/>
      <c r="H23" s="57"/>
      <c r="I23" s="57"/>
      <c r="J23" s="56"/>
      <c r="K23" s="56"/>
      <c r="L23" s="56"/>
      <c r="M23" s="56"/>
      <c r="N23" s="56"/>
    </row>
    <row r="24" spans="2:16" ht="15.75" thickBot="1" x14ac:dyDescent="0.3">
      <c r="C24" s="201"/>
      <c r="D24" s="200" t="s">
        <v>386</v>
      </c>
      <c r="E24" s="199"/>
      <c r="F24" s="53"/>
      <c r="H24" s="57"/>
      <c r="I24" s="57"/>
      <c r="J24" s="56"/>
      <c r="K24" s="56"/>
      <c r="L24" s="56"/>
      <c r="M24" s="56"/>
      <c r="N24" s="56"/>
    </row>
    <row r="25" spans="2:16" ht="28.7" customHeight="1" thickBot="1" x14ac:dyDescent="0.3">
      <c r="B25" s="55">
        <v>2</v>
      </c>
      <c r="C25" s="198" t="s">
        <v>385</v>
      </c>
      <c r="D25" s="125" t="s">
        <v>384</v>
      </c>
      <c r="E25" s="197"/>
      <c r="F25" s="193"/>
      <c r="G25" s="193"/>
      <c r="H25" s="57"/>
      <c r="I25" s="57"/>
      <c r="J25" s="56"/>
      <c r="K25" s="56"/>
      <c r="L25" s="56"/>
      <c r="M25" s="56"/>
      <c r="N25" s="56"/>
    </row>
    <row r="26" spans="2:16" ht="16.7" customHeight="1" x14ac:dyDescent="0.25">
      <c r="B26" s="55">
        <v>3</v>
      </c>
      <c r="C26" s="196" t="s">
        <v>383</v>
      </c>
      <c r="D26" s="195" t="s">
        <v>382</v>
      </c>
      <c r="E26" s="194"/>
      <c r="F26" s="193"/>
      <c r="G26" s="193"/>
      <c r="H26" s="57"/>
      <c r="I26" s="57"/>
      <c r="J26" s="56"/>
      <c r="K26" s="56"/>
      <c r="L26" s="56"/>
      <c r="M26" s="56"/>
      <c r="N26" s="56"/>
    </row>
    <row r="27" spans="2:16" ht="57.75" customHeight="1" x14ac:dyDescent="0.25">
      <c r="B27" s="190" t="s">
        <v>381</v>
      </c>
      <c r="C27" s="135" t="s">
        <v>380</v>
      </c>
      <c r="D27" s="135" t="s">
        <v>379</v>
      </c>
      <c r="E27" s="135" t="s">
        <v>378</v>
      </c>
      <c r="F27" s="129" t="s">
        <v>377</v>
      </c>
      <c r="G27" s="129" t="s">
        <v>376</v>
      </c>
      <c r="H27" s="129" t="s">
        <v>375</v>
      </c>
      <c r="I27" s="129" t="s">
        <v>374</v>
      </c>
      <c r="J27" s="192" t="s">
        <v>373</v>
      </c>
      <c r="K27" s="191" t="s">
        <v>372</v>
      </c>
      <c r="L27" s="191"/>
      <c r="M27" s="191" t="s">
        <v>371</v>
      </c>
      <c r="N27" s="191"/>
      <c r="O27" s="129" t="s">
        <v>370</v>
      </c>
    </row>
    <row r="28" spans="2:16" ht="26.45" customHeight="1" x14ac:dyDescent="0.25">
      <c r="B28" s="190">
        <v>4</v>
      </c>
      <c r="C28" s="153" t="s">
        <v>369</v>
      </c>
      <c r="D28" s="135" t="s">
        <v>1</v>
      </c>
      <c r="E28" s="135"/>
      <c r="F28" s="135"/>
      <c r="G28" s="129"/>
      <c r="H28" s="156"/>
      <c r="I28" s="129"/>
      <c r="J28" s="164">
        <f ca="1">SUM(J29:J30)</f>
        <v>0</v>
      </c>
      <c r="K28" s="129" t="s">
        <v>368</v>
      </c>
      <c r="L28" s="129" t="s">
        <v>2</v>
      </c>
      <c r="M28" s="129" t="s">
        <v>352</v>
      </c>
      <c r="N28" s="154" t="s">
        <v>360</v>
      </c>
      <c r="O28" s="126">
        <f ca="1">IFERROR(IF(J28&gt;0,J28/VLOOKUP(D28,'[1]Коэфы качество контакта'!$A$2:$G$22,7,FALSE),(1-(1-(O29/$E$21*0.5))*(1-(O30/$E$21*0.5)))*$E$21),0)</f>
        <v>0</v>
      </c>
    </row>
    <row r="29" spans="2:16" ht="20.25" customHeight="1" outlineLevel="1" x14ac:dyDescent="0.25">
      <c r="C29" s="153"/>
      <c r="D29" s="146" t="s">
        <v>1</v>
      </c>
      <c r="E29" s="177" t="s">
        <v>3</v>
      </c>
      <c r="F29" s="186"/>
      <c r="G29" s="176"/>
      <c r="H29" s="118"/>
      <c r="I29" s="117"/>
      <c r="J29" s="119" t="str" cm="1">
        <f t="array" aca="1" ref="J29" ca="1">IFERROR(IF(H29&gt;0,H29*G29,IF(K29&gt;0,SUM(OTSТВМосква)*G29*F29*(K29/200),IF(I29&gt;0,G29*I29*SUMPRODUCT(('[1]Коэфы качество контакта'!$A$2:$A$50=D29)*'[1]Коэфы качество контакта'!$G$2:$G$50),""))),"")</f>
        <v/>
      </c>
      <c r="K29" s="167">
        <f ca="1">IFERROR(SUM(МинутыТВМосква),0)</f>
        <v>0</v>
      </c>
      <c r="L29" s="166" t="s">
        <v>367</v>
      </c>
      <c r="M29" s="117"/>
      <c r="N29" s="116">
        <f>M29*VLOOKUP(D29,'[1]Коэфы качество контакта'!$A$2:$E$22,3,FALSE)*VLOOKUP(D29,'[1]Коэфы качество контакта'!$A$2:$E$22,5,FALSE)</f>
        <v>0</v>
      </c>
      <c r="O29" s="115" t="str">
        <f ca="1">IFERROR(IF(I29&gt;0,I29*G29,J29/VLOOKUP(D29,'[1]Коэфы качество контакта'!$A$2:$G$22,7,FALSE)),"")</f>
        <v/>
      </c>
      <c r="P29" s="189" t="str">
        <f>_xlfn.CONCAT($E$22,E29)</f>
        <v>Спонсорство</v>
      </c>
    </row>
    <row r="30" spans="2:16" ht="20.25" customHeight="1" outlineLevel="1" x14ac:dyDescent="0.25">
      <c r="C30" s="153"/>
      <c r="D30" s="146" t="s">
        <v>1</v>
      </c>
      <c r="E30" s="177" t="s">
        <v>4</v>
      </c>
      <c r="F30" s="186"/>
      <c r="G30" s="176"/>
      <c r="H30" s="118"/>
      <c r="I30" s="117"/>
      <c r="J30" s="119" t="str" cm="1">
        <f t="array" aca="1" ref="J30" ca="1">IFERROR(IF(H30&gt;0,H30*G30,IF(K30&gt;0,SUM(OTSТВМосква)*G30*F30*(K30/200),IF(I30&gt;0,G30*I30*SUMPRODUCT(('[1]Коэфы качество контакта'!$A$2:$A$50=D30)*'[1]Коэфы качество контакта'!$G$2:$G$50),""))),"")</f>
        <v/>
      </c>
      <c r="K30" s="167">
        <f ca="1">IFERROR(SUM(МинутыТВМосква),0)</f>
        <v>0</v>
      </c>
      <c r="L30" s="166" t="s">
        <v>367</v>
      </c>
      <c r="M30" s="117"/>
      <c r="N30" s="116">
        <f>M30*VLOOKUP(D30,'[1]Коэфы качество контакта'!$A$2:$E$22,3,FALSE)*VLOOKUP(D30,'[1]Коэфы качество контакта'!$A$2:$E$22,5,FALSE)</f>
        <v>0</v>
      </c>
      <c r="O30" s="115" t="str">
        <f ca="1">IFERROR(IF(I30&gt;0,I30*G30,J30/VLOOKUP(D30,'[1]Коэфы качество контакта'!$A$2:$G$22,7,FALSE)),"")</f>
        <v/>
      </c>
      <c r="P30" s="189" t="str">
        <f>_xlfn.CONCAT($E$22,E30)</f>
        <v>Прямая Реклама</v>
      </c>
    </row>
    <row r="31" spans="2:16" ht="24.75" customHeight="1" x14ac:dyDescent="0.25">
      <c r="C31" s="153"/>
      <c r="D31" s="135" t="s">
        <v>5</v>
      </c>
      <c r="E31" s="135"/>
      <c r="F31" s="188"/>
      <c r="G31" s="129"/>
      <c r="H31" s="156"/>
      <c r="I31" s="129"/>
      <c r="J31" s="164">
        <f>SUM(J32:J39)</f>
        <v>0</v>
      </c>
      <c r="K31" s="129" t="s">
        <v>366</v>
      </c>
      <c r="L31" s="129"/>
      <c r="M31" s="129" t="s">
        <v>352</v>
      </c>
      <c r="N31" s="154" t="s">
        <v>360</v>
      </c>
      <c r="O31" s="126" t="e">
        <f>IF(J31&gt;0,J31/VLOOKUP(D31,'[1]Коэфы качество контакта'!$A$2:$G$22,7,FALSE),(1-(1-(O32/$E$21*0.5))*(1-(O33/$E$21*0.5))*(1-(O34/$E$21*0.5))*(1-(O35/$E$21*0.5))*(1-(O36/$E$21*0.5))*(1-(O37/$E$21*0.5))*(1-(O38/$E$21*0.5))*(1-(O39/$E$21*0.5)))*$E$21)</f>
        <v>#VALUE!</v>
      </c>
    </row>
    <row r="32" spans="2:16" ht="20.25" customHeight="1" outlineLevel="1" x14ac:dyDescent="0.25">
      <c r="C32" s="153"/>
      <c r="D32" s="146" t="s">
        <v>5</v>
      </c>
      <c r="E32" s="145" t="s">
        <v>6</v>
      </c>
      <c r="F32" s="186"/>
      <c r="G32" s="151"/>
      <c r="H32" s="118"/>
      <c r="I32" s="117"/>
      <c r="J32" s="119" t="str" cm="1">
        <f t="array" ref="J32">IF(H32&gt;0,H32*G32,IF(K32&gt;0,SUMPRODUCT(([1]OOH!$A$2:$A$1000=TEMPLATE!$E$22)*([1]OOH!$B$2:$B$1000=TEMPLATE!$E32)*[1]OOH!$C$2:$C$1000)*F32*K32*G32,IF(I32&gt;0,G32*I32*SUMPRODUCT(('[1]Коэфы качество контакта'!$A$2:$A$50=D32)*'[1]Коэфы качество контакта'!$G$2:$G$50),"")))</f>
        <v/>
      </c>
      <c r="K32" s="171"/>
      <c r="L32" s="170" t="s">
        <v>7</v>
      </c>
      <c r="M32" s="117"/>
      <c r="N32" s="116">
        <f>M32*VLOOKUP(D32,'[1]Коэфы качество контакта'!$A$2:$E$22,3,FALSE)*VLOOKUP(D32,'[1]Коэфы качество контакта'!$A$2:$E$22,5,FALSE)</f>
        <v>0</v>
      </c>
      <c r="O32" s="115" t="str">
        <f>IFERROR(IF(I32&gt;0,I32*G32,J32/VLOOKUP(D32,'[1]Коэфы качество контакта'!$A$2:$G$22,7,FALSE)),"")</f>
        <v/>
      </c>
    </row>
    <row r="33" spans="3:15" ht="20.25" customHeight="1" outlineLevel="1" x14ac:dyDescent="0.25">
      <c r="C33" s="153"/>
      <c r="D33" s="146" t="s">
        <v>5</v>
      </c>
      <c r="E33" s="145" t="s">
        <v>8</v>
      </c>
      <c r="F33" s="186"/>
      <c r="G33" s="151"/>
      <c r="H33" s="118"/>
      <c r="I33" s="117"/>
      <c r="J33" s="119" t="str" cm="1">
        <f t="array" ref="J33">IF(H33&gt;0,H33*G33,IF(K33&gt;0,SUMPRODUCT(([1]OOH!$A$2:$A$1000=TEMPLATE!$E$22)*([1]OOH!$B$2:$B$1000=TEMPLATE!$E33)*[1]OOH!$C$2:$C$1000)*F33*K33*G33,IF(I33&gt;0,G33*I33*SUMPRODUCT(('[1]Коэфы качество контакта'!$A$2:$A$50=D33)*'[1]Коэфы качество контакта'!$G$2:$G$50),"")))</f>
        <v/>
      </c>
      <c r="K33" s="171"/>
      <c r="L33" s="170" t="s">
        <v>7</v>
      </c>
      <c r="M33" s="117"/>
      <c r="N33" s="116">
        <f>M33*VLOOKUP(D33,'[1]Коэфы качество контакта'!$A$2:$E$22,3,FALSE)*VLOOKUP(D33,'[1]Коэфы качество контакта'!$A$2:$E$22,5,FALSE)</f>
        <v>0</v>
      </c>
      <c r="O33" s="115" t="str">
        <f>IFERROR(IF(I33&gt;0,I33*G33,J33/VLOOKUP(D33,'[1]Коэфы качество контакта'!$A$2:$G$22,7,FALSE)),"")</f>
        <v/>
      </c>
    </row>
    <row r="34" spans="3:15" ht="20.25" customHeight="1" outlineLevel="1" x14ac:dyDescent="0.25">
      <c r="C34" s="153"/>
      <c r="D34" s="146" t="s">
        <v>5</v>
      </c>
      <c r="E34" s="145" t="s">
        <v>9</v>
      </c>
      <c r="F34" s="186"/>
      <c r="G34" s="151"/>
      <c r="H34" s="118"/>
      <c r="I34" s="117"/>
      <c r="J34" s="119" t="str" cm="1">
        <f t="array" ref="J34">IF(H34&gt;0,H34*G34,IF(K34&gt;0,SUMPRODUCT(([1]OOH!$A$2:$A$1000=TEMPLATE!$E$22)*([1]OOH!$B$2:$B$1000=TEMPLATE!$E34)*[1]OOH!$C$2:$C$1000)*F34*K34*G34,IF(I34&gt;0,G34*I34*SUMPRODUCT(('[1]Коэфы качество контакта'!$A$2:$A$50=D34)*'[1]Коэфы качество контакта'!$G$2:$G$50),"")))</f>
        <v/>
      </c>
      <c r="K34" s="171"/>
      <c r="L34" s="170" t="s">
        <v>7</v>
      </c>
      <c r="M34" s="117"/>
      <c r="N34" s="116">
        <f>M34*VLOOKUP(D34,'[1]Коэфы качество контакта'!$A$2:$E$22,3,FALSE)*VLOOKUP(D34,'[1]Коэфы качество контакта'!$A$2:$E$22,5,FALSE)</f>
        <v>0</v>
      </c>
      <c r="O34" s="115" t="str">
        <f>IFERROR(IF(I34&gt;0,I34*G34,J34/VLOOKUP(D34,'[1]Коэфы качество контакта'!$A$2:$G$22,7,FALSE)),"")</f>
        <v/>
      </c>
    </row>
    <row r="35" spans="3:15" ht="20.25" customHeight="1" outlineLevel="1" x14ac:dyDescent="0.25">
      <c r="C35" s="153"/>
      <c r="D35" s="146" t="s">
        <v>5</v>
      </c>
      <c r="E35" s="145" t="s">
        <v>10</v>
      </c>
      <c r="F35" s="186"/>
      <c r="G35" s="151"/>
      <c r="H35" s="118"/>
      <c r="I35" s="117"/>
      <c r="J35" s="119" t="str" cm="1">
        <f t="array" ref="J35">IF(H35&gt;0,H35*G35,IF(K35&gt;0,SUMPRODUCT(([1]OOH!$A$2:$A$1000=TEMPLATE!$E$22)*([1]OOH!$B$2:$B$1000=TEMPLATE!$E35)*[1]OOH!$C$2:$C$1000)*F35*K35*G35,IF(I35&gt;0,G35*I35*SUMPRODUCT(('[1]Коэфы качество контакта'!$A$2:$A$50=D35)*'[1]Коэфы качество контакта'!$G$2:$G$50),"")))</f>
        <v/>
      </c>
      <c r="K35" s="171"/>
      <c r="L35" s="170" t="s">
        <v>7</v>
      </c>
      <c r="M35" s="117"/>
      <c r="N35" s="116">
        <f>M35*VLOOKUP(D35,'[1]Коэфы качество контакта'!$A$2:$E$22,3,FALSE)*VLOOKUP(D35,'[1]Коэфы качество контакта'!$A$2:$E$22,5,FALSE)</f>
        <v>0</v>
      </c>
      <c r="O35" s="115" t="str">
        <f>IFERROR(IF(I35&gt;0,I35*G35,J35/VLOOKUP(D35,'[1]Коэфы качество контакта'!$A$2:$G$22,7,FALSE)),"")</f>
        <v/>
      </c>
    </row>
    <row r="36" spans="3:15" ht="20.25" customHeight="1" outlineLevel="1" x14ac:dyDescent="0.25">
      <c r="C36" s="153"/>
      <c r="D36" s="187" t="s">
        <v>5</v>
      </c>
      <c r="E36" s="145" t="s">
        <v>11</v>
      </c>
      <c r="F36" s="186"/>
      <c r="G36" s="151"/>
      <c r="H36" s="185"/>
      <c r="I36" s="184"/>
      <c r="J36" s="119" t="str" cm="1">
        <f t="array" ref="J36">IF(H36&gt;0,H36*G36,IF(K36&gt;0,SUMPRODUCT(([1]OOH!$A$2:$A$1000=TEMPLATE!$E$22)*([1]OOH!$B$2:$B$1000=TEMPLATE!$E36)*[1]OOH!$C$2:$C$1000)*F36*K36*G36,IF(I36&gt;0,G36*I36*SUMPRODUCT(('[1]Коэфы качество контакта'!$A$2:$A$50=D36)*'[1]Коэфы качество контакта'!$G$2:$G$50),"")))</f>
        <v/>
      </c>
      <c r="K36" s="171"/>
      <c r="L36" s="170" t="s">
        <v>7</v>
      </c>
      <c r="M36" s="117"/>
      <c r="N36" s="116">
        <f>M36*VLOOKUP(D36,'[1]Коэфы качество контакта'!$A$2:$E$22,3,FALSE)*VLOOKUP(D36,'[1]Коэфы качество контакта'!$A$2:$E$22,5,FALSE)</f>
        <v>0</v>
      </c>
      <c r="O36" s="115" t="str">
        <f>IFERROR(IF(I36&gt;0,I36*G36,J36/VLOOKUP(D36,'[1]Коэфы качество контакта'!$A$2:$G$22,7,FALSE)),"")</f>
        <v/>
      </c>
    </row>
    <row r="37" spans="3:15" ht="20.25" customHeight="1" outlineLevel="1" x14ac:dyDescent="0.25">
      <c r="C37" s="153"/>
      <c r="D37" s="146" t="s">
        <v>5</v>
      </c>
      <c r="E37" s="145"/>
      <c r="F37" s="141"/>
      <c r="G37" s="176"/>
      <c r="H37" s="118"/>
      <c r="I37" s="117"/>
      <c r="J37" s="119" t="str" cm="1">
        <f t="array" ref="J37">IF(H37&gt;0,H37*G37,IF(K37&gt;0,SUMPRODUCT(([1]OOH!$A$2:$A$1000=TEMPLATE!$E$22)*([1]OOH!$B$2:$B$1000=TEMPLATE!$E37)*[1]OOH!$C$2:$C$1000)*F37*K37*G37,IF(I37&gt;0,G37*I37*SUMPRODUCT(('[1]Коэфы качество контакта'!$A$2:$A$50=D37)*'[1]Коэфы качество контакта'!$G$2:$G$50),"")))</f>
        <v/>
      </c>
      <c r="K37" s="171"/>
      <c r="L37" s="170" t="s">
        <v>7</v>
      </c>
      <c r="M37" s="117"/>
      <c r="N37" s="116">
        <f>M37*VLOOKUP(D37,'[1]Коэфы качество контакта'!$A$2:$E$22,3,FALSE)*VLOOKUP(D37,'[1]Коэфы качество контакта'!$A$2:$E$22,5,FALSE)</f>
        <v>0</v>
      </c>
      <c r="O37" s="115" t="str">
        <f>IFERROR(IF(I37&gt;0,I37*G37,J37/VLOOKUP(D37,'[1]Коэфы качество контакта'!$A$2:$G$22,7,FALSE)),"")</f>
        <v/>
      </c>
    </row>
    <row r="38" spans="3:15" ht="20.25" customHeight="1" outlineLevel="1" x14ac:dyDescent="0.25">
      <c r="C38" s="153"/>
      <c r="D38" s="146" t="s">
        <v>5</v>
      </c>
      <c r="E38" s="145"/>
      <c r="F38" s="141"/>
      <c r="G38" s="176"/>
      <c r="H38" s="118"/>
      <c r="I38" s="117"/>
      <c r="J38" s="119" t="str" cm="1">
        <f t="array" ref="J38">IF(H38&gt;0,H38*G38,IF(K38&gt;0,SUMPRODUCT(([1]OOH!$A$2:$A$1000=TEMPLATE!$E$22)*([1]OOH!$B$2:$B$1000=TEMPLATE!$E38)*[1]OOH!$C$2:$C$1000)*F38*K38*G38,IF(I38&gt;0,G38*I38*SUMPRODUCT(('[1]Коэфы качество контакта'!$A$2:$A$50=D38)*'[1]Коэфы качество контакта'!$G$2:$G$50),"")))</f>
        <v/>
      </c>
      <c r="K38" s="171"/>
      <c r="L38" s="170"/>
      <c r="M38" s="117"/>
      <c r="N38" s="116">
        <f>M38*VLOOKUP(D38,'[1]Коэфы качество контакта'!$A$2:$E$22,3,FALSE)*VLOOKUP(D38,'[1]Коэфы качество контакта'!$A$2:$E$22,5,FALSE)</f>
        <v>0</v>
      </c>
      <c r="O38" s="115" t="str">
        <f>IFERROR(IF(I38&gt;0,I38*G38,J38/VLOOKUP(D38,'[1]Коэфы качество контакта'!$A$2:$G$22,7,FALSE)),"")</f>
        <v/>
      </c>
    </row>
    <row r="39" spans="3:15" ht="20.25" customHeight="1" outlineLevel="1" x14ac:dyDescent="0.25">
      <c r="C39" s="153"/>
      <c r="D39" s="146" t="s">
        <v>5</v>
      </c>
      <c r="E39" s="145"/>
      <c r="F39" s="141"/>
      <c r="G39" s="176"/>
      <c r="H39" s="118"/>
      <c r="I39" s="117"/>
      <c r="J39" s="119" t="str" cm="1">
        <f t="array" ref="J39">IF(H39&gt;0,H39*G39,IF(K39&gt;0,SUMPRODUCT(([1]OOH!$A$2:$A$1000=TEMPLATE!$E$22)*([1]OOH!$B$2:$B$1000=TEMPLATE!$E39)*[1]OOH!$C$2:$C$1000)*F39*K39*G39,IF(I39&gt;0,G39*I39*SUMPRODUCT(('[1]Коэфы качество контакта'!$A$2:$A$50=D39)*'[1]Коэфы качество контакта'!$G$2:$G$50),"")))</f>
        <v/>
      </c>
      <c r="K39" s="171"/>
      <c r="L39" s="170" t="s">
        <v>7</v>
      </c>
      <c r="M39" s="117"/>
      <c r="N39" s="116">
        <f>M39*VLOOKUP(D39,'[1]Коэфы качество контакта'!$A$2:$E$22,3,FALSE)*VLOOKUP(D39,'[1]Коэфы качество контакта'!$A$2:$E$22,5,FALSE)</f>
        <v>0</v>
      </c>
      <c r="O39" s="115" t="str">
        <f>IFERROR(IF(I39&gt;0,I39*G39,J39/VLOOKUP(D39,'[1]Коэфы качество контакта'!$A$2:$G$22,7,FALSE)),"")</f>
        <v/>
      </c>
    </row>
    <row r="40" spans="3:15" ht="24.75" customHeight="1" x14ac:dyDescent="0.25">
      <c r="C40" s="153"/>
      <c r="D40" s="183" t="s">
        <v>12</v>
      </c>
      <c r="E40" s="182"/>
      <c r="F40" s="181"/>
      <c r="G40" s="180"/>
      <c r="H40" s="131"/>
      <c r="I40" s="128"/>
      <c r="J40" s="130">
        <f>SUM(J41:J60)</f>
        <v>0</v>
      </c>
      <c r="K40" s="129"/>
      <c r="L40" s="179"/>
      <c r="M40" s="129" t="s">
        <v>352</v>
      </c>
      <c r="N40" s="154" t="s">
        <v>360</v>
      </c>
      <c r="O40" s="126" t="e">
        <f>IF(J40&gt;0,J40/VLOOKUP(D40,'[1]Коэфы качество контакта'!$A$2:$G$22,7,FALSE),(1-(1-(O41/$E$21*0.5))*(1-(O42/$E$21*0.5))*(1-(O43/$E$21*0.5))*(1-(O44/$E$21*0.5))*(1-(O45/$E$21*0.5))*(1-(O46/$E$21*0.5))*(1-(O47/$E$21*0.5))*(1-(O48/$E$21*0.5))*(1-(O49/$E$21*0.5))*(1-(O50/$E$21*0.5))*(1-(O51/$E$21*0.5))*(1-(O52/$E$21*0.5))*(1-(O53/$E$21*0.5))*(1-(O54/$E$21*0.5))*(1-(O55/$E$21*0.5))*(1-(O56/$E$21*0.5))*(1-(O57/$E$21*0.5))*(1-(O58/$E$21*0.5))*(1-(O59/$E$21*0.5))*(1-(O60/$E$21*0.5)))*$E$21)</f>
        <v>#N/A</v>
      </c>
    </row>
    <row r="41" spans="3:15" ht="19.7" customHeight="1" outlineLevel="1" x14ac:dyDescent="0.25">
      <c r="C41" s="153"/>
      <c r="D41" s="178" t="s">
        <v>12</v>
      </c>
      <c r="E41" s="177" t="s">
        <v>13</v>
      </c>
      <c r="F41" s="141"/>
      <c r="G41" s="176"/>
      <c r="H41" s="118"/>
      <c r="I41" s="117"/>
      <c r="J41" s="119" cm="1">
        <f t="array" ref="J41">IF(H41&gt;0,H41*G41,IF(I41&gt;0,G41*I41*SUMPRODUCT(('[1]Коэфы качество контакта'!$A$2:$A$50=D41)*'[1]Коэфы качество контакта'!$G$2:$G$50),SUMPRODUCT(([1]Indoor!$A$2:$A$996=TEMPLATE!$E$22)*([1]Indoor!$B$2:$B$996=TEMPLATE!$E41)*[1]Indoor!$F$2:$F$996)*F41*G41))</f>
        <v>0</v>
      </c>
      <c r="K41" s="171"/>
      <c r="L41" s="170"/>
      <c r="M41" s="117"/>
      <c r="N41" s="116">
        <f>M41*VLOOKUP(D41,'[1]Коэфы качество контакта'!$A$2:$E$22,3,FALSE)*VLOOKUP(D41,'[1]Коэфы качество контакта'!$A$2:$E$22,5,FALSE)</f>
        <v>0</v>
      </c>
      <c r="O41" s="115" cm="1">
        <f t="array" ref="O41">IFERROR(IF(I41&gt;0,I41*G41,J41/SUMPRODUCT(([1]Indoor!$A$2:$A$996=TEMPLATE!$E$22)*([1]Indoor!$B$2:$B$996=TEMPLATE!$E41)*[1]Indoor!$G$2:$G$996)),0)</f>
        <v>0</v>
      </c>
    </row>
    <row r="42" spans="3:15" ht="20.25" customHeight="1" outlineLevel="1" x14ac:dyDescent="0.25">
      <c r="C42" s="153"/>
      <c r="D42" s="178" t="s">
        <v>12</v>
      </c>
      <c r="E42" s="177" t="s">
        <v>14</v>
      </c>
      <c r="F42" s="141"/>
      <c r="G42" s="176"/>
      <c r="H42" s="118"/>
      <c r="I42" s="117"/>
      <c r="J42" s="119" cm="1">
        <f t="array" ref="J42">IF(H42&gt;0,H42*G42,IF(I42&gt;0,G42*I42*SUMPRODUCT(('[1]Коэфы качество контакта'!$A$2:$A$50=D42)*'[1]Коэфы качество контакта'!$G$2:$G$50),SUMPRODUCT(([1]Indoor!$A$2:$A$996=TEMPLATE!$E$22)*([1]Indoor!$B$2:$B$996=TEMPLATE!$E42)*[1]Indoor!$F$2:$F$996)*F42*G42))</f>
        <v>0</v>
      </c>
      <c r="K42" s="171"/>
      <c r="L42" s="170"/>
      <c r="M42" s="117"/>
      <c r="N42" s="116">
        <f>M42*VLOOKUP(D42,'[1]Коэфы качество контакта'!$A$2:$E$22,3,FALSE)*VLOOKUP(D42,'[1]Коэфы качество контакта'!$A$2:$E$22,5,FALSE)</f>
        <v>0</v>
      </c>
      <c r="O42" s="115" cm="1">
        <f t="array" ref="O42">IFERROR(IF(I42&gt;0,I42*G42,J42/SUMPRODUCT(([1]Indoor!$A$2:$A$996=TEMPLATE!$E$22)*([1]Indoor!$B$2:$B$996=TEMPLATE!$E42)*[1]Indoor!$G$2:$G$996)),0)</f>
        <v>0</v>
      </c>
    </row>
    <row r="43" spans="3:15" ht="20.25" customHeight="1" outlineLevel="1" x14ac:dyDescent="0.25">
      <c r="C43" s="153"/>
      <c r="D43" s="178" t="s">
        <v>12</v>
      </c>
      <c r="E43" s="177" t="s">
        <v>15</v>
      </c>
      <c r="F43" s="141"/>
      <c r="G43" s="176"/>
      <c r="H43" s="118"/>
      <c r="I43" s="117"/>
      <c r="J43" s="119" cm="1">
        <f t="array" ref="J43">IF(H43&gt;0,H43*G43,IF(I43&gt;0,G43*I43*SUMPRODUCT(('[1]Коэфы качество контакта'!$A$2:$A$50=D43)*'[1]Коэфы качество контакта'!$G$2:$G$50),SUMPRODUCT(([1]Indoor!$A$2:$A$996=TEMPLATE!$E$22)*([1]Indoor!$B$2:$B$996=TEMPLATE!$E43)*[1]Indoor!$F$2:$F$996)*F43*G43))</f>
        <v>0</v>
      </c>
      <c r="K43" s="171"/>
      <c r="L43" s="170"/>
      <c r="M43" s="117"/>
      <c r="N43" s="116">
        <f>M43*VLOOKUP(D43,'[1]Коэфы качество контакта'!$A$2:$E$22,3,FALSE)*VLOOKUP(D43,'[1]Коэфы качество контакта'!$A$2:$E$22,5,FALSE)</f>
        <v>0</v>
      </c>
      <c r="O43" s="115" cm="1">
        <f t="array" ref="O43">IFERROR(IF(I43&gt;0,I43*G43,J43/SUMPRODUCT(([1]Indoor!$A$2:$A$996=TEMPLATE!$E$22)*([1]Indoor!$B$2:$B$996=TEMPLATE!$E43)*[1]Indoor!$G$2:$G$996)),0)</f>
        <v>0</v>
      </c>
    </row>
    <row r="44" spans="3:15" ht="20.25" customHeight="1" outlineLevel="1" x14ac:dyDescent="0.25">
      <c r="C44" s="153"/>
      <c r="D44" s="178" t="s">
        <v>12</v>
      </c>
      <c r="E44" s="177" t="s">
        <v>16</v>
      </c>
      <c r="F44" s="141"/>
      <c r="G44" s="176"/>
      <c r="H44" s="118"/>
      <c r="I44" s="117"/>
      <c r="J44" s="119" cm="1">
        <f t="array" ref="J44">IF(H44&gt;0,H44*G44,IF(I44&gt;0,G44*I44*SUMPRODUCT(('[1]Коэфы качество контакта'!$A$2:$A$50=D44)*'[1]Коэфы качество контакта'!$G$2:$G$50),SUMPRODUCT(([1]Indoor!$A$2:$A$996=TEMPLATE!$E$22)*([1]Indoor!$B$2:$B$996=TEMPLATE!$E44)*[1]Indoor!$F$2:$F$996)*F44*G44))</f>
        <v>0</v>
      </c>
      <c r="K44" s="171"/>
      <c r="L44" s="170"/>
      <c r="M44" s="117"/>
      <c r="N44" s="116">
        <f>M44*VLOOKUP(D44,'[1]Коэфы качество контакта'!$A$2:$E$22,3,FALSE)*VLOOKUP(D44,'[1]Коэфы качество контакта'!$A$2:$E$22,5,FALSE)</f>
        <v>0</v>
      </c>
      <c r="O44" s="115" cm="1">
        <f t="array" ref="O44">IFERROR(IF(I44&gt;0,I44*G44,J44/SUMPRODUCT(([1]Indoor!$A$2:$A$996=TEMPLATE!$E$22)*([1]Indoor!$B$2:$B$996=TEMPLATE!$E44)*[1]Indoor!$G$2:$G$996)),0)</f>
        <v>0</v>
      </c>
    </row>
    <row r="45" spans="3:15" ht="20.25" customHeight="1" outlineLevel="1" x14ac:dyDescent="0.25">
      <c r="C45" s="153"/>
      <c r="D45" s="178" t="s">
        <v>12</v>
      </c>
      <c r="F45" s="141"/>
      <c r="G45" s="176"/>
      <c r="H45" s="118"/>
      <c r="I45" s="117"/>
      <c r="J45" s="119" cm="1">
        <f t="array" ref="J45">IF(H45&gt;0,H45*G45,IF(I45&gt;0,G45*I45*SUMPRODUCT(('[1]Коэфы качество контакта'!$A$2:$A$50=D45)*'[1]Коэфы качество контакта'!$G$2:$G$50),SUMPRODUCT(([1]Indoor!$A$2:$A$996=TEMPLATE!$E$22)*([1]Indoor!$B$2:$B$996=TEMPLATE!$E45)*[1]Indoor!$F$2:$F$996)*F45*G45))</f>
        <v>0</v>
      </c>
      <c r="K45" s="171"/>
      <c r="L45" s="170"/>
      <c r="M45" s="117"/>
      <c r="N45" s="116">
        <f>M45*VLOOKUP(D45,'[1]Коэфы качество контакта'!$A$2:$E$22,3,FALSE)*VLOOKUP(D45,'[1]Коэфы качество контакта'!$A$2:$E$22,5,FALSE)</f>
        <v>0</v>
      </c>
      <c r="O45" s="115" cm="1">
        <f t="array" ref="O45">IFERROR(IF(I45&gt;0,I45*G45,J45/SUMPRODUCT(([1]Indoor!$A$2:$A$996=TEMPLATE!$E$22)*([1]Indoor!$B$2:$B$996=TEMPLATE!$E45)*[1]Indoor!$G$2:$G$996)),0)</f>
        <v>0</v>
      </c>
    </row>
    <row r="46" spans="3:15" ht="19.7" customHeight="1" outlineLevel="1" x14ac:dyDescent="0.25">
      <c r="C46" s="153"/>
      <c r="D46" s="178" t="s">
        <v>12</v>
      </c>
      <c r="E46" s="177"/>
      <c r="F46" s="141"/>
      <c r="G46" s="176"/>
      <c r="H46" s="118"/>
      <c r="I46" s="117"/>
      <c r="J46" s="119" cm="1">
        <f t="array" ref="J46">IF(H46&gt;0,H46*G46,IF(I46&gt;0,G46*I46*SUMPRODUCT(('[1]Коэфы качество контакта'!$A$2:$A$50=D46)*'[1]Коэфы качество контакта'!$G$2:$G$50),SUMPRODUCT(([1]Indoor!$A$2:$A$996=TEMPLATE!$E$22)*([1]Indoor!$B$2:$B$996=TEMPLATE!$E46)*[1]Indoor!$F$2:$F$996)*F46*G46))</f>
        <v>0</v>
      </c>
      <c r="K46" s="171"/>
      <c r="L46" s="170"/>
      <c r="M46" s="117"/>
      <c r="N46" s="116">
        <f>M46*VLOOKUP(D46,'[1]Коэфы качество контакта'!$A$2:$E$22,3,FALSE)*VLOOKUP(D46,'[1]Коэфы качество контакта'!$A$2:$E$22,5,FALSE)</f>
        <v>0</v>
      </c>
      <c r="O46" s="115" cm="1">
        <f t="array" ref="O46">IFERROR(IF(I46&gt;0,I46*G46,J46/SUMPRODUCT(([1]Indoor!$A$2:$A$996=TEMPLATE!$E$22)*([1]Indoor!$B$2:$B$996=TEMPLATE!$E46)*[1]Indoor!$G$2:$G$996)),0)</f>
        <v>0</v>
      </c>
    </row>
    <row r="47" spans="3:15" ht="20.25" customHeight="1" outlineLevel="1" x14ac:dyDescent="0.25">
      <c r="C47" s="153"/>
      <c r="D47" s="178" t="s">
        <v>12</v>
      </c>
      <c r="E47" s="177"/>
      <c r="F47" s="141"/>
      <c r="G47" s="176"/>
      <c r="H47" s="118"/>
      <c r="I47" s="117"/>
      <c r="J47" s="119" cm="1">
        <f t="array" ref="J47">IF(H47&gt;0,H47*G47,IF(I47&gt;0,G47*I47*SUMPRODUCT(('[1]Коэфы качество контакта'!$A$2:$A$50=D47)*'[1]Коэфы качество контакта'!$G$2:$G$50),SUMPRODUCT(([1]Indoor!$A$2:$A$996=TEMPLATE!$E$22)*([1]Indoor!$B$2:$B$996=TEMPLATE!$E47)*[1]Indoor!$F$2:$F$996)*F47*G47))</f>
        <v>0</v>
      </c>
      <c r="K47" s="171"/>
      <c r="L47" s="170"/>
      <c r="M47" s="117"/>
      <c r="N47" s="116">
        <f>M47*VLOOKUP(D47,'[1]Коэфы качество контакта'!$A$2:$E$22,3,FALSE)*VLOOKUP(D47,'[1]Коэфы качество контакта'!$A$2:$E$22,5,FALSE)</f>
        <v>0</v>
      </c>
      <c r="O47" s="115" cm="1">
        <f t="array" ref="O47">IFERROR(IF(I47&gt;0,I47*G47,J47/SUMPRODUCT(([1]Indoor!$A$2:$A$996=TEMPLATE!$E$22)*([1]Indoor!$B$2:$B$996=TEMPLATE!$E47)*[1]Indoor!$G$2:$G$996)),0)</f>
        <v>0</v>
      </c>
    </row>
    <row r="48" spans="3:15" ht="20.25" customHeight="1" outlineLevel="1" x14ac:dyDescent="0.25">
      <c r="C48" s="153"/>
      <c r="D48" s="178" t="s">
        <v>12</v>
      </c>
      <c r="E48" s="177"/>
      <c r="F48" s="141"/>
      <c r="G48" s="176"/>
      <c r="H48" s="118"/>
      <c r="I48" s="117"/>
      <c r="J48" s="119" cm="1">
        <f t="array" ref="J48">IF(H48&gt;0,H48*G48,IF(I48&gt;0,G48*I48*SUMPRODUCT(('[1]Коэфы качество контакта'!$A$2:$A$50=D48)*'[1]Коэфы качество контакта'!$G$2:$G$50),SUMPRODUCT(([1]Indoor!$A$2:$A$996=TEMPLATE!$E$22)*([1]Indoor!$B$2:$B$996=TEMPLATE!$E48)*[1]Indoor!$F$2:$F$996)*F48*G48))</f>
        <v>0</v>
      </c>
      <c r="K48" s="171"/>
      <c r="L48" s="170"/>
      <c r="M48" s="117"/>
      <c r="N48" s="116">
        <f>M48*VLOOKUP(D48,'[1]Коэфы качество контакта'!$A$2:$E$22,3,FALSE)*VLOOKUP(D48,'[1]Коэфы качество контакта'!$A$2:$E$22,5,FALSE)</f>
        <v>0</v>
      </c>
      <c r="O48" s="115" cm="1">
        <f t="array" ref="O48">IFERROR(IF(I48&gt;0,I48*G48,J48/SUMPRODUCT(([1]Indoor!$A$2:$A$996=TEMPLATE!$E$22)*([1]Indoor!$B$2:$B$996=TEMPLATE!$E48)*[1]Indoor!$G$2:$G$996)),0)</f>
        <v>0</v>
      </c>
    </row>
    <row r="49" spans="3:16" ht="20.25" customHeight="1" outlineLevel="1" x14ac:dyDescent="0.25">
      <c r="C49" s="153"/>
      <c r="D49" s="178" t="s">
        <v>12</v>
      </c>
      <c r="E49" s="177"/>
      <c r="F49" s="141"/>
      <c r="G49" s="176"/>
      <c r="H49" s="118"/>
      <c r="I49" s="117"/>
      <c r="J49" s="119" cm="1">
        <f t="array" ref="J49">IF(H49&gt;0,H49*G49,IF(I49&gt;0,G49*I49*SUMPRODUCT(('[1]Коэфы качество контакта'!$A$2:$A$50=D49)*'[1]Коэфы качество контакта'!$G$2:$G$50),SUMPRODUCT(([1]Indoor!$A$2:$A$996=TEMPLATE!$E$22)*([1]Indoor!$B$2:$B$996=TEMPLATE!$E49)*[1]Indoor!$F$2:$F$996)*F49*G49))</f>
        <v>0</v>
      </c>
      <c r="K49" s="171"/>
      <c r="L49" s="170"/>
      <c r="M49" s="117"/>
      <c r="N49" s="116">
        <f>M49*VLOOKUP(D49,'[1]Коэфы качество контакта'!$A$2:$E$22,3,FALSE)*VLOOKUP(D49,'[1]Коэфы качество контакта'!$A$2:$E$22,5,FALSE)</f>
        <v>0</v>
      </c>
      <c r="O49" s="115" cm="1">
        <f t="array" ref="O49">IFERROR(IF(I49&gt;0,I49*G49,J49/SUMPRODUCT(([1]Indoor!$A$2:$A$996=TEMPLATE!$E$22)*([1]Indoor!$B$2:$B$996=TEMPLATE!$E49)*[1]Indoor!$G$2:$G$996)),0)</f>
        <v>0</v>
      </c>
    </row>
    <row r="50" spans="3:16" ht="20.25" customHeight="1" outlineLevel="1" x14ac:dyDescent="0.25">
      <c r="C50" s="153"/>
      <c r="D50" s="178" t="s">
        <v>12</v>
      </c>
      <c r="E50" s="177"/>
      <c r="F50" s="141"/>
      <c r="G50" s="176"/>
      <c r="H50" s="118"/>
      <c r="I50" s="117"/>
      <c r="J50" s="119" cm="1">
        <f t="array" ref="J50">IF(H50&gt;0,H50*G50,IF(I50&gt;0,G50*I50*SUMPRODUCT(('[1]Коэфы качество контакта'!$A$2:$A$50=D50)*'[1]Коэфы качество контакта'!$G$2:$G$50),SUMPRODUCT(([1]Indoor!$A$2:$A$996=TEMPLATE!$E$22)*([1]Indoor!$B$2:$B$996=TEMPLATE!$E50)*[1]Indoor!$F$2:$F$996)*F50*G50))</f>
        <v>0</v>
      </c>
      <c r="K50" s="171"/>
      <c r="L50" s="170"/>
      <c r="M50" s="117"/>
      <c r="N50" s="116">
        <f>M50*VLOOKUP(D50,'[1]Коэфы качество контакта'!$A$2:$E$22,3,FALSE)*VLOOKUP(D50,'[1]Коэфы качество контакта'!$A$2:$E$22,5,FALSE)</f>
        <v>0</v>
      </c>
      <c r="O50" s="115" cm="1">
        <f t="array" ref="O50">IFERROR(IF(I50&gt;0,I50*G50,J50/SUMPRODUCT(([1]Indoor!$A$2:$A$996=TEMPLATE!$E$22)*([1]Indoor!$B$2:$B$996=TEMPLATE!$E50)*[1]Indoor!$G$2:$G$996)),0)</f>
        <v>0</v>
      </c>
    </row>
    <row r="51" spans="3:16" ht="20.25" customHeight="1" outlineLevel="1" x14ac:dyDescent="0.25">
      <c r="C51" s="153"/>
      <c r="D51" s="178" t="s">
        <v>12</v>
      </c>
      <c r="E51" s="177"/>
      <c r="F51" s="141"/>
      <c r="G51" s="176"/>
      <c r="H51" s="118"/>
      <c r="I51" s="117"/>
      <c r="J51" s="119" cm="1">
        <f t="array" ref="J51">IF(H51&gt;0,H51*G51,IF(I51&gt;0,G51*I51*SUMPRODUCT(('[1]Коэфы качество контакта'!$A$2:$A$50=D51)*'[1]Коэфы качество контакта'!$G$2:$G$50),SUMPRODUCT(([1]Indoor!$A$2:$A$996=TEMPLATE!$E$22)*([1]Indoor!$B$2:$B$996=TEMPLATE!$E51)*[1]Indoor!$F$2:$F$996)*F51*G51))</f>
        <v>0</v>
      </c>
      <c r="K51" s="171"/>
      <c r="L51" s="170"/>
      <c r="M51" s="117"/>
      <c r="N51" s="116">
        <f>M51*VLOOKUP(D51,'[1]Коэфы качество контакта'!$A$2:$E$22,3,FALSE)*VLOOKUP(D51,'[1]Коэфы качество контакта'!$A$2:$E$22,5,FALSE)</f>
        <v>0</v>
      </c>
      <c r="O51" s="115" cm="1">
        <f t="array" ref="O51">IFERROR(IF(I51&gt;0,I51*G51,J51/SUMPRODUCT(([1]Indoor!$A$2:$A$996=TEMPLATE!$E$22)*([1]Indoor!$B$2:$B$996=TEMPLATE!$E51)*[1]Indoor!$G$2:$G$996)),0)</f>
        <v>0</v>
      </c>
    </row>
    <row r="52" spans="3:16" ht="20.25" customHeight="1" outlineLevel="1" x14ac:dyDescent="0.25">
      <c r="C52" s="153"/>
      <c r="D52" s="178" t="s">
        <v>12</v>
      </c>
      <c r="E52" s="177"/>
      <c r="F52" s="141"/>
      <c r="G52" s="176"/>
      <c r="H52" s="118"/>
      <c r="I52" s="117"/>
      <c r="J52" s="119" cm="1">
        <f t="array" ref="J52">IF(H52&gt;0,H52*G52,IF(I52&gt;0,G52*I52*SUMPRODUCT(('[1]Коэфы качество контакта'!$A$2:$A$50=D52)*'[1]Коэфы качество контакта'!$G$2:$G$50),SUMPRODUCT(([1]Indoor!$A$2:$A$996=TEMPLATE!$E$22)*([1]Indoor!$B$2:$B$996=TEMPLATE!$E52)*[1]Indoor!$F$2:$F$996)*F52*G52))</f>
        <v>0</v>
      </c>
      <c r="K52" s="171"/>
      <c r="L52" s="170"/>
      <c r="M52" s="117"/>
      <c r="N52" s="116">
        <f>M52*VLOOKUP(D52,'[1]Коэфы качество контакта'!$A$2:$E$22,3,FALSE)*VLOOKUP(D52,'[1]Коэфы качество контакта'!$A$2:$E$22,5,FALSE)</f>
        <v>0</v>
      </c>
      <c r="O52" s="115" cm="1">
        <f t="array" ref="O52">IFERROR(IF(I52&gt;0,I52*G52,J52/SUMPRODUCT(([1]Indoor!$A$2:$A$996=TEMPLATE!$E$22)*([1]Indoor!$B$2:$B$996=TEMPLATE!$E52)*[1]Indoor!$G$2:$G$996)),0)</f>
        <v>0</v>
      </c>
    </row>
    <row r="53" spans="3:16" ht="20.25" customHeight="1" outlineLevel="1" x14ac:dyDescent="0.25">
      <c r="C53" s="153"/>
      <c r="D53" s="178" t="s">
        <v>12</v>
      </c>
      <c r="E53" s="177"/>
      <c r="F53" s="141"/>
      <c r="G53" s="176"/>
      <c r="H53" s="118"/>
      <c r="I53" s="117"/>
      <c r="J53" s="119" cm="1">
        <f t="array" ref="J53">IF(H53&gt;0,H53*G53,IF(I53&gt;0,G53*I53*SUMPRODUCT(('[1]Коэфы качество контакта'!$A$2:$A$50=D53)*'[1]Коэфы качество контакта'!$G$2:$G$50),SUMPRODUCT(([1]Indoor!$A$2:$A$996=TEMPLATE!$E$22)*([1]Indoor!$B$2:$B$996=TEMPLATE!$E53)*[1]Indoor!$F$2:$F$996)*F53*G53))</f>
        <v>0</v>
      </c>
      <c r="K53" s="171"/>
      <c r="L53" s="170"/>
      <c r="M53" s="117"/>
      <c r="N53" s="116">
        <f>M53*VLOOKUP(D53,'[1]Коэфы качество контакта'!$A$2:$E$22,3,FALSE)*VLOOKUP(D53,'[1]Коэфы качество контакта'!$A$2:$E$22,5,FALSE)</f>
        <v>0</v>
      </c>
      <c r="O53" s="115" cm="1">
        <f t="array" ref="O53">IFERROR(IF(I53&gt;0,I53*G53,J53/SUMPRODUCT(([1]Indoor!$A$2:$A$996=TEMPLATE!$E$22)*([1]Indoor!$B$2:$B$996=TEMPLATE!$E53)*[1]Indoor!$G$2:$G$996)),0)</f>
        <v>0</v>
      </c>
    </row>
    <row r="54" spans="3:16" ht="20.25" customHeight="1" outlineLevel="1" x14ac:dyDescent="0.25">
      <c r="C54" s="153"/>
      <c r="D54" s="178" t="s">
        <v>12</v>
      </c>
      <c r="E54" s="177"/>
      <c r="F54" s="141"/>
      <c r="G54" s="176"/>
      <c r="H54" s="118"/>
      <c r="I54" s="117"/>
      <c r="J54" s="119" cm="1">
        <f t="array" ref="J54">IF(H54&gt;0,H54*G54,IF(I54&gt;0,G54*I54*SUMPRODUCT(('[1]Коэфы качество контакта'!$A$2:$A$50=D54)*'[1]Коэфы качество контакта'!$G$2:$G$50),SUMPRODUCT(([1]Indoor!$A$2:$A$996=TEMPLATE!$E$22)*([1]Indoor!$B$2:$B$996=TEMPLATE!$E54)*[1]Indoor!$F$2:$F$996)*F54*G54))</f>
        <v>0</v>
      </c>
      <c r="K54" s="171"/>
      <c r="L54" s="170"/>
      <c r="M54" s="117"/>
      <c r="N54" s="116">
        <f>M54*VLOOKUP(D54,'[1]Коэфы качество контакта'!$A$2:$E$22,3,FALSE)*VLOOKUP(D54,'[1]Коэфы качество контакта'!$A$2:$E$22,5,FALSE)</f>
        <v>0</v>
      </c>
      <c r="O54" s="115" cm="1">
        <f t="array" ref="O54">IFERROR(IF(I54&gt;0,I54*G54,J54/SUMPRODUCT(([1]Indoor!$A$2:$A$996=TEMPLATE!$E$22)*([1]Indoor!$B$2:$B$996=TEMPLATE!$E54)*[1]Indoor!$G$2:$G$996)),0)</f>
        <v>0</v>
      </c>
    </row>
    <row r="55" spans="3:16" ht="19.7" customHeight="1" outlineLevel="1" x14ac:dyDescent="0.25">
      <c r="C55" s="153"/>
      <c r="D55" s="178" t="s">
        <v>12</v>
      </c>
      <c r="E55" s="177"/>
      <c r="F55" s="141"/>
      <c r="G55" s="176"/>
      <c r="H55" s="118"/>
      <c r="I55" s="117"/>
      <c r="J55" s="119" cm="1">
        <f t="array" ref="J55">IF(H55&gt;0,H55*G55,IF(I55&gt;0,G55*I55*SUMPRODUCT(('[1]Коэфы качество контакта'!$A$2:$A$50=D55)*'[1]Коэфы качество контакта'!$G$2:$G$50),SUMPRODUCT(([1]Indoor!$A$2:$A$996=TEMPLATE!$E$22)*([1]Indoor!$B$2:$B$996=TEMPLATE!$E55)*[1]Indoor!$F$2:$F$996)*F55*G55))</f>
        <v>0</v>
      </c>
      <c r="K55" s="171"/>
      <c r="L55" s="170"/>
      <c r="M55" s="117"/>
      <c r="N55" s="116">
        <f>M55*VLOOKUP(D55,'[1]Коэфы качество контакта'!$A$2:$E$22,3,FALSE)*VLOOKUP(D55,'[1]Коэфы качество контакта'!$A$2:$E$22,5,FALSE)</f>
        <v>0</v>
      </c>
      <c r="O55" s="115" cm="1">
        <f t="array" ref="O55">IFERROR(IF(I55&gt;0,I55*G55,J55/SUMPRODUCT(([1]Indoor!$A$2:$A$996=TEMPLATE!$E$22)*([1]Indoor!$B$2:$B$996=TEMPLATE!$E55)*[1]Indoor!$G$2:$G$996)),0)</f>
        <v>0</v>
      </c>
    </row>
    <row r="56" spans="3:16" ht="20.25" customHeight="1" outlineLevel="1" x14ac:dyDescent="0.25">
      <c r="C56" s="153"/>
      <c r="D56" s="178" t="s">
        <v>12</v>
      </c>
      <c r="E56" s="177"/>
      <c r="F56" s="141"/>
      <c r="G56" s="176"/>
      <c r="H56" s="118"/>
      <c r="I56" s="117"/>
      <c r="J56" s="119" cm="1">
        <f t="array" ref="J56">IF(H56&gt;0,H56*G56,IF(I56&gt;0,G56*I56*SUMPRODUCT(('[1]Коэфы качество контакта'!$A$2:$A$50=D56)*'[1]Коэфы качество контакта'!$G$2:$G$50),SUMPRODUCT(([1]Indoor!$A$2:$A$996=TEMPLATE!$E$22)*([1]Indoor!$B$2:$B$996=TEMPLATE!$E56)*[1]Indoor!$F$2:$F$996)*F56*G56))</f>
        <v>0</v>
      </c>
      <c r="K56" s="171"/>
      <c r="L56" s="170"/>
      <c r="M56" s="117"/>
      <c r="N56" s="116">
        <f>M56*VLOOKUP(D56,'[1]Коэфы качество контакта'!$A$2:$E$22,3,FALSE)*VLOOKUP(D56,'[1]Коэфы качество контакта'!$A$2:$E$22,5,FALSE)</f>
        <v>0</v>
      </c>
      <c r="O56" s="115" cm="1">
        <f t="array" ref="O56">IFERROR(IF(I56&gt;0,I56*G56,J56/SUMPRODUCT(([1]Indoor!$A$2:$A$996=TEMPLATE!$E$22)*([1]Indoor!$B$2:$B$996=TEMPLATE!$E56)*[1]Indoor!$G$2:$G$996)),0)</f>
        <v>0</v>
      </c>
    </row>
    <row r="57" spans="3:16" ht="20.25" customHeight="1" outlineLevel="1" x14ac:dyDescent="0.25">
      <c r="C57" s="153"/>
      <c r="D57" s="178" t="s">
        <v>12</v>
      </c>
      <c r="E57" s="177"/>
      <c r="F57" s="141"/>
      <c r="G57" s="176"/>
      <c r="H57" s="118"/>
      <c r="I57" s="117"/>
      <c r="J57" s="119" cm="1">
        <f t="array" ref="J57">IF(H57&gt;0,H57*G57,IF(I57&gt;0,G57*I57*SUMPRODUCT(('[1]Коэфы качество контакта'!$A$2:$A$50=D57)*'[1]Коэфы качество контакта'!$G$2:$G$50),SUMPRODUCT(([1]Indoor!$A$2:$A$996=TEMPLATE!$E$22)*([1]Indoor!$B$2:$B$996=TEMPLATE!$E57)*[1]Indoor!$F$2:$F$996)*F57*G57))</f>
        <v>0</v>
      </c>
      <c r="K57" s="171"/>
      <c r="L57" s="170"/>
      <c r="M57" s="117"/>
      <c r="N57" s="116">
        <f>M57*VLOOKUP(D57,'[1]Коэфы качество контакта'!$A$2:$E$22,3,FALSE)*VLOOKUP(D57,'[1]Коэфы качество контакта'!$A$2:$E$22,5,FALSE)</f>
        <v>0</v>
      </c>
      <c r="O57" s="115" cm="1">
        <f t="array" ref="O57">IFERROR(IF(I57&gt;0,I57*G57,J57/SUMPRODUCT(([1]Indoor!$A$2:$A$996=TEMPLATE!$E$22)*([1]Indoor!$B$2:$B$996=TEMPLATE!$E57)*[1]Indoor!$G$2:$G$996)),0)</f>
        <v>0</v>
      </c>
    </row>
    <row r="58" spans="3:16" ht="20.25" customHeight="1" outlineLevel="1" x14ac:dyDescent="0.25">
      <c r="C58" s="153"/>
      <c r="D58" s="178" t="s">
        <v>12</v>
      </c>
      <c r="E58" s="177"/>
      <c r="F58" s="141"/>
      <c r="G58" s="176"/>
      <c r="H58" s="118"/>
      <c r="I58" s="117"/>
      <c r="J58" s="119" cm="1">
        <f t="array" ref="J58">IF(H58&gt;0,H58*G58,IF(I58&gt;0,G58*I58*SUMPRODUCT(('[1]Коэфы качество контакта'!$A$2:$A$50=D58)*'[1]Коэфы качество контакта'!$G$2:$G$50),SUMPRODUCT(([1]Indoor!$A$2:$A$996=TEMPLATE!$E$22)*([1]Indoor!$B$2:$B$996=TEMPLATE!$E58)*[1]Indoor!$F$2:$F$996)*F58*G58))</f>
        <v>0</v>
      </c>
      <c r="K58" s="171"/>
      <c r="L58" s="170"/>
      <c r="M58" s="117"/>
      <c r="N58" s="116">
        <f>M58*VLOOKUP(D58,'[1]Коэфы качество контакта'!$A$2:$E$22,3,FALSE)*VLOOKUP(D58,'[1]Коэфы качество контакта'!$A$2:$E$22,5,FALSE)</f>
        <v>0</v>
      </c>
      <c r="O58" s="115" cm="1">
        <f t="array" ref="O58">IFERROR(IF(I58&gt;0,I58*G58,J58/SUMPRODUCT(([1]Indoor!$A$2:$A$996=TEMPLATE!$E$22)*([1]Indoor!$B$2:$B$996=TEMPLATE!$E58)*[1]Indoor!$G$2:$G$996)),0)</f>
        <v>0</v>
      </c>
    </row>
    <row r="59" spans="3:16" ht="20.25" customHeight="1" outlineLevel="1" x14ac:dyDescent="0.25">
      <c r="C59" s="153"/>
      <c r="D59" s="178" t="s">
        <v>12</v>
      </c>
      <c r="E59" s="177"/>
      <c r="F59" s="141"/>
      <c r="G59" s="176"/>
      <c r="H59" s="118"/>
      <c r="I59" s="117"/>
      <c r="J59" s="119" cm="1">
        <f t="array" ref="J59">IF(H59&gt;0,H59*G59,IF(I59&gt;0,G59*I59*SUMPRODUCT(('[1]Коэфы качество контакта'!$A$2:$A$50=D59)*'[1]Коэфы качество контакта'!$G$2:$G$50),SUMPRODUCT(([1]Indoor!$A$2:$A$996=TEMPLATE!$E$22)*([1]Indoor!$B$2:$B$996=TEMPLATE!$E59)*[1]Indoor!$F$2:$F$996)*F59*G59))</f>
        <v>0</v>
      </c>
      <c r="K59" s="171"/>
      <c r="L59" s="170"/>
      <c r="M59" s="117"/>
      <c r="N59" s="116">
        <f>M59*VLOOKUP(D59,'[1]Коэфы качество контакта'!$A$2:$E$22,3,FALSE)*VLOOKUP(D59,'[1]Коэфы качество контакта'!$A$2:$E$22,5,FALSE)</f>
        <v>0</v>
      </c>
      <c r="O59" s="115" cm="1">
        <f t="array" ref="O59">IFERROR(IF(I59&gt;0,I59*G59,J59/SUMPRODUCT(([1]Indoor!$A$2:$A$996=TEMPLATE!$E$22)*([1]Indoor!$B$2:$B$996=TEMPLATE!$E59)*[1]Indoor!$G$2:$G$996)),0)</f>
        <v>0</v>
      </c>
    </row>
    <row r="60" spans="3:16" ht="20.25" customHeight="1" outlineLevel="1" x14ac:dyDescent="0.25">
      <c r="C60" s="153"/>
      <c r="D60" s="178" t="s">
        <v>12</v>
      </c>
      <c r="E60" s="177"/>
      <c r="F60" s="141"/>
      <c r="G60" s="176"/>
      <c r="H60" s="118"/>
      <c r="I60" s="117"/>
      <c r="J60" s="119" cm="1">
        <f t="array" ref="J60">IF(H60&gt;0,H60*G60,IF(I60&gt;0,G60*I60*SUMPRODUCT(('[1]Коэфы качество контакта'!$A$2:$A$50=D60)*'[1]Коэфы качество контакта'!$G$2:$G$50),SUMPRODUCT(([1]Indoor!$A$2:$A$996=TEMPLATE!$E$22)*([1]Indoor!$B$2:$B$996=TEMPLATE!$E60)*[1]Indoor!$F$2:$F$996)*F60*G60))</f>
        <v>0</v>
      </c>
      <c r="K60" s="171"/>
      <c r="L60" s="170"/>
      <c r="M60" s="117"/>
      <c r="N60" s="116">
        <f>M60*VLOOKUP(D60,'[1]Коэфы качество контакта'!$A$2:$E$22,3,FALSE)*VLOOKUP(D60,'[1]Коэфы качество контакта'!$A$2:$E$22,5,FALSE)</f>
        <v>0</v>
      </c>
      <c r="O60" s="115" cm="1">
        <f t="array" ref="O60">IFERROR(IF(I60&gt;0,I60*G60,J60/SUMPRODUCT(([1]Indoor!$A$2:$A$996=TEMPLATE!$E$22)*([1]Indoor!$B$2:$B$996=TEMPLATE!$E60)*[1]Indoor!$G$2:$G$996)),0)</f>
        <v>0</v>
      </c>
    </row>
    <row r="61" spans="3:16" ht="28.5" customHeight="1" x14ac:dyDescent="0.25">
      <c r="C61" s="153"/>
      <c r="D61" s="135" t="s">
        <v>17</v>
      </c>
      <c r="E61" s="158"/>
      <c r="F61" s="135"/>
      <c r="G61" s="157"/>
      <c r="H61" s="156"/>
      <c r="I61" s="129"/>
      <c r="J61" s="175">
        <f>SUM(J62:J66)</f>
        <v>0</v>
      </c>
      <c r="K61" s="129" t="s">
        <v>365</v>
      </c>
      <c r="L61" s="129" t="s">
        <v>18</v>
      </c>
      <c r="M61" s="129" t="s">
        <v>352</v>
      </c>
      <c r="N61" s="154" t="s">
        <v>360</v>
      </c>
      <c r="O61" s="126" t="e">
        <f>IF(J61&gt;0,J61/VLOOKUP(D61,'[1]Коэфы качество контакта'!$A$2:$G$22,7,FALSE),(1-(1-(O62/$E$21*0.5))*(1-(O63/$E$21*0.5))*(1-(O64/$E$21*0.5))*(1-(O65/$E$21*0.5))*(1-(O66/$E$21*0.5)))*$E$21)</f>
        <v>#N/A</v>
      </c>
      <c r="P61" s="125"/>
    </row>
    <row r="62" spans="3:16" ht="20.25" customHeight="1" outlineLevel="1" x14ac:dyDescent="0.25">
      <c r="C62" s="153"/>
      <c r="D62" s="146" t="s">
        <v>17</v>
      </c>
      <c r="E62" s="145" t="s">
        <v>19</v>
      </c>
      <c r="F62" s="141"/>
      <c r="G62" s="151"/>
      <c r="H62" s="118"/>
      <c r="I62" s="117"/>
      <c r="J62" s="119" t="str" cm="1">
        <f t="array" ref="J62">IF(H62&gt;0,H62*G62,IF(K62&gt;0,SUMPRODUCT((([1]Метро!$A$2:$A$1000=TEMPLATE!$E$22)*[1]Метро!$E$2:$E$1000)/1000)*L62*F62*G62*SUMPRODUCT(([1]Метро!$F$2:$F$6=TEMPLATE!$E62)*[1]Метро!$G$2:$G$6)*K62,IF(I62&gt;0,G62*I62*SUMPRODUCT(('[1]Коэфы качество контакта'!$A$2:$A$50=D62)*'[1]Коэфы качество контакта'!$G$2:$G$50),"")))</f>
        <v/>
      </c>
      <c r="K62" s="171"/>
      <c r="L62" s="170"/>
      <c r="M62" s="117"/>
      <c r="N62" s="116">
        <f>M62*VLOOKUP(D62,'[1]Коэфы качество контакта'!$A$2:$E$22,3,FALSE)*VLOOKUP(D62,'[1]Коэфы качество контакта'!$A$2:$E$22,5,FALSE)</f>
        <v>0</v>
      </c>
      <c r="O62" s="115">
        <f>IFERROR(IF(I62&gt;0,I62*G62,J62/VLOOKUP(D62,'[1]Коэфы качество контакта'!$A$2:$G$22,7,FALSE)),)</f>
        <v>0</v>
      </c>
    </row>
    <row r="63" spans="3:16" ht="20.25" customHeight="1" outlineLevel="1" x14ac:dyDescent="0.25">
      <c r="C63" s="153"/>
      <c r="D63" s="146" t="s">
        <v>17</v>
      </c>
      <c r="E63" s="145" t="s">
        <v>20</v>
      </c>
      <c r="F63" s="141"/>
      <c r="G63" s="151"/>
      <c r="H63" s="118"/>
      <c r="I63" s="117"/>
      <c r="J63" s="119" t="str" cm="1">
        <f t="array" ref="J63">IF(H63&gt;0,H63*G63,IF(K63&gt;0,SUMPRODUCT((([1]Метро!$A$2:$A$1000=TEMPLATE!$E$22)*[1]Метро!$E$2:$E$1000)/1000)*L63*F63*G63*SUMPRODUCT(([1]Метро!$F$2:$F$6=TEMPLATE!$E63)*[1]Метро!$G$2:$G$6)*K63,IF(I63&gt;0,G63*I63*SUMPRODUCT(('[1]Коэфы качество контакта'!$A$2:$A$50=D63)*'[1]Коэфы качество контакта'!$G$2:$G$50),"")))</f>
        <v/>
      </c>
      <c r="K63" s="171"/>
      <c r="L63" s="170"/>
      <c r="M63" s="117"/>
      <c r="N63" s="116">
        <f>M63*VLOOKUP(D63,'[1]Коэфы качество контакта'!$A$2:$E$22,3,FALSE)*VLOOKUP(D63,'[1]Коэфы качество контакта'!$A$2:$E$22,5,FALSE)</f>
        <v>0</v>
      </c>
      <c r="O63" s="115">
        <f>IFERROR(IF(I63&gt;0,I63*G63,J63/VLOOKUP(D63,'[1]Коэфы качество контакта'!$A$2:$G$22,7,FALSE)),)</f>
        <v>0</v>
      </c>
    </row>
    <row r="64" spans="3:16" ht="20.25" customHeight="1" outlineLevel="1" x14ac:dyDescent="0.25">
      <c r="C64" s="153"/>
      <c r="D64" s="146" t="s">
        <v>17</v>
      </c>
      <c r="E64" s="145" t="s">
        <v>21</v>
      </c>
      <c r="F64" s="141"/>
      <c r="G64" s="151"/>
      <c r="H64" s="118"/>
      <c r="I64" s="117"/>
      <c r="J64" s="119" t="str" cm="1">
        <f t="array" ref="J64">IF(H64&gt;0,H64*G64,IF(K64&gt;0,SUMPRODUCT((([1]Метро!$A$2:$A$1000=TEMPLATE!$E$22)*[1]Метро!$E$2:$E$1000)/1000)*L64*F64*G64*SUMPRODUCT(([1]Метро!$F$2:$F$6=TEMPLATE!$E64)*[1]Метро!$G$2:$G$6)*K64,IF(I64&gt;0,G64*I64*SUMPRODUCT(('[1]Коэфы качество контакта'!$A$2:$A$50=D64)*'[1]Коэфы качество контакта'!$G$2:$G$50),"")))</f>
        <v/>
      </c>
      <c r="K64" s="171"/>
      <c r="L64" s="170"/>
      <c r="M64" s="117"/>
      <c r="N64" s="116">
        <f>M64*VLOOKUP(D64,'[1]Коэфы качество контакта'!$A$2:$E$22,3,FALSE)*VLOOKUP(D64,'[1]Коэфы качество контакта'!$A$2:$E$22,5,FALSE)</f>
        <v>0</v>
      </c>
      <c r="O64" s="115">
        <f>IFERROR(IF(I64&gt;0,I64*G64,J64/VLOOKUP(D64,'[1]Коэфы качество контакта'!$A$2:$G$22,7,FALSE)),)</f>
        <v>0</v>
      </c>
    </row>
    <row r="65" spans="3:16" ht="20.25" customHeight="1" outlineLevel="1" x14ac:dyDescent="0.25">
      <c r="C65" s="153"/>
      <c r="D65" s="146" t="s">
        <v>17</v>
      </c>
      <c r="E65" s="145" t="s">
        <v>22</v>
      </c>
      <c r="F65" s="141"/>
      <c r="G65" s="151"/>
      <c r="H65" s="118"/>
      <c r="I65" s="117"/>
      <c r="J65" s="119" t="str" cm="1">
        <f t="array" ref="J65">IF(H65&gt;0,H65*G65,IF(K65&gt;0,SUMPRODUCT((([1]Метро!$A$2:$A$1000=TEMPLATE!$E$22)*[1]Метро!$E$2:$E$1000)/1000)*L65*F65*G65*SUMPRODUCT(([1]Метро!$F$2:$F$6=TEMPLATE!$E65)*[1]Метро!$G$2:$G$6)*K65,IF(I65&gt;0,G65*I65*SUMPRODUCT(('[1]Коэфы качество контакта'!$A$2:$A$50=D65)*'[1]Коэфы качество контакта'!$G$2:$G$50),"")))</f>
        <v/>
      </c>
      <c r="K65" s="171"/>
      <c r="L65" s="170"/>
      <c r="M65" s="117"/>
      <c r="N65" s="116">
        <f>M65*VLOOKUP(D65,'[1]Коэфы качество контакта'!$A$2:$E$22,3,FALSE)*VLOOKUP(D65,'[1]Коэфы качество контакта'!$A$2:$E$22,5,FALSE)</f>
        <v>0</v>
      </c>
      <c r="O65" s="115">
        <f>IFERROR(IF(I65&gt;0,I65*G65,J65/VLOOKUP(D65,'[1]Коэфы качество контакта'!$A$2:$G$22,7,FALSE)),)</f>
        <v>0</v>
      </c>
    </row>
    <row r="66" spans="3:16" ht="19.7" customHeight="1" outlineLevel="1" x14ac:dyDescent="0.25">
      <c r="C66" s="153"/>
      <c r="D66" s="174" t="s">
        <v>17</v>
      </c>
      <c r="E66" s="173" t="s">
        <v>23</v>
      </c>
      <c r="F66" s="141"/>
      <c r="G66" s="151"/>
      <c r="H66" s="118"/>
      <c r="I66" s="172"/>
      <c r="J66" s="119" t="str" cm="1">
        <f t="array" ref="J66">IF(H66&gt;0,H66*G66,IF(K66&gt;0,SUMPRODUCT((([1]Метро!$A$2:$A$1000=TEMPLATE!$E$22)*[1]Метро!$E$2:$E$1000)/1000)*L66*F66*G66*SUMPRODUCT(([1]Метро!$F$2:$F$6=TEMPLATE!$E66)*[1]Метро!$G$2:$G$6)*K66,IF(I66&gt;0,G66*I66*SUMPRODUCT(('[1]Коэфы качество контакта'!$A$2:$A$50=D66)*'[1]Коэфы качество контакта'!$G$2:$G$50),"")))</f>
        <v/>
      </c>
      <c r="K66" s="171"/>
      <c r="L66" s="170"/>
      <c r="M66" s="117"/>
      <c r="N66" s="116">
        <f>M66*VLOOKUP(D66,'[1]Коэфы качество контакта'!$A$2:$E$22,3,FALSE)*VLOOKUP(D66,'[1]Коэфы качество контакта'!$A$2:$E$22,5,FALSE)</f>
        <v>0</v>
      </c>
      <c r="O66" s="115">
        <f>IFERROR(IF(I66&gt;0,I66*G66,J66/VLOOKUP(D66,'[1]Коэфы качество контакта'!$A$2:$G$22,7,FALSE)),)</f>
        <v>0</v>
      </c>
    </row>
    <row r="67" spans="3:16" ht="28.5" customHeight="1" x14ac:dyDescent="0.25">
      <c r="C67" s="153"/>
      <c r="D67" s="135" t="s">
        <v>24</v>
      </c>
      <c r="E67" s="158"/>
      <c r="F67" s="135"/>
      <c r="G67" s="157"/>
      <c r="H67" s="156"/>
      <c r="I67" s="129"/>
      <c r="J67" s="155">
        <f ca="1">SUM(J68:J69)</f>
        <v>0</v>
      </c>
      <c r="K67" s="129" t="s">
        <v>25</v>
      </c>
      <c r="L67" s="129" t="s">
        <v>364</v>
      </c>
      <c r="M67" s="129" t="s">
        <v>352</v>
      </c>
      <c r="N67" s="154" t="s">
        <v>360</v>
      </c>
      <c r="O67" s="169">
        <f ca="1">IFERROR(IF(J67&gt;0,J67/(VLOOKUP(D67,'[1]Коэфы качество контакта'!$A$2:$G$22,7,FALSE)*(MAX(F68:F69)/30.4)),(1-(1-(O68/$E$21*0.5))*(1-(O69/$E$21*0.5)))*$E$21),0)</f>
        <v>0</v>
      </c>
    </row>
    <row r="68" spans="3:16" ht="20.25" customHeight="1" outlineLevel="1" x14ac:dyDescent="0.25">
      <c r="C68" s="153"/>
      <c r="D68" s="146" t="s">
        <v>24</v>
      </c>
      <c r="E68" s="145" t="s">
        <v>3</v>
      </c>
      <c r="F68" s="141"/>
      <c r="G68" s="151"/>
      <c r="H68" s="118"/>
      <c r="I68" s="117"/>
      <c r="J68" s="168" t="str" cm="1">
        <f t="array" aca="1" ref="J68" ca="1">IFERROR(IF(H68&gt;0,H68*G68,IF(K68&gt;0,SUM(OTSРадиоМосква)*G68*K68,IF(I68&gt;0,G68*I68*SUMPRODUCT(('[1]Коэфы качество контакта'!$A$2:$A$50=D68)*'[1]Коэфы качество контакта'!$G$2:$G$50),""))),"")</f>
        <v/>
      </c>
      <c r="K68" s="167">
        <f ca="1">IFERROR(SUM(МинутыРадиоМосква),0)</f>
        <v>0</v>
      </c>
      <c r="L68" s="166" t="s">
        <v>363</v>
      </c>
      <c r="M68" s="117"/>
      <c r="N68" s="150">
        <f>M68*VLOOKUP(D68,'[1]Коэфы качество контакта'!$A$2:$E$22,3,FALSE)*VLOOKUP(D68,'[1]Коэфы качество контакта'!$A$2:$E$22,5,FALSE)</f>
        <v>0</v>
      </c>
      <c r="O68" s="115" t="str">
        <f ca="1">IFERROR(IF(I68&gt;0,I68*G68,J68/(VLOOKUP(D68,'[1]Коэфы качество контакта'!$A$2:$G$22,7,FALSE)*F68/30.4)),"")</f>
        <v/>
      </c>
      <c r="P68" s="165" t="str">
        <f>_xlfn.CONCAT($E$22,E68)</f>
        <v>Спонсорство</v>
      </c>
    </row>
    <row r="69" spans="3:16" ht="20.25" customHeight="1" outlineLevel="1" x14ac:dyDescent="0.25">
      <c r="C69" s="153"/>
      <c r="D69" s="146" t="s">
        <v>24</v>
      </c>
      <c r="E69" s="145" t="s">
        <v>4</v>
      </c>
      <c r="F69" s="141"/>
      <c r="G69" s="151"/>
      <c r="H69" s="118"/>
      <c r="I69" s="117"/>
      <c r="J69" s="168" t="str" cm="1">
        <f t="array" aca="1" ref="J69" ca="1">IFERROR(IF(H69&gt;0,H69*G69,IF(K69&gt;0,SUM(OTSРадиоМосква)*G69*K69,IF(I69&gt;0,G69*I69*SUMPRODUCT(('[1]Коэфы качество контакта'!$A$2:$A$50=D69)*'[1]Коэфы качество контакта'!$G$2:$G$50),""))),"")</f>
        <v/>
      </c>
      <c r="K69" s="167">
        <f ca="1">IFERROR(SUM(МинутыРадиоМосква),0)</f>
        <v>0</v>
      </c>
      <c r="L69" s="166" t="s">
        <v>363</v>
      </c>
      <c r="M69" s="117"/>
      <c r="N69" s="150">
        <f>M69*VLOOKUP(D69,'[1]Коэфы качество контакта'!$A$2:$E$22,3,FALSE)*VLOOKUP(D69,'[1]Коэфы качество контакта'!$A$2:$E$22,5,FALSE)</f>
        <v>0</v>
      </c>
      <c r="O69" s="115" t="str">
        <f ca="1">IFERROR(IF(I69&gt;0,I69*G69,J69/(VLOOKUP(D69,'[1]Коэфы качество контакта'!$A$2:$G$22,7,FALSE)*F69/30.4)),"")</f>
        <v/>
      </c>
      <c r="P69" s="165" t="str">
        <f>_xlfn.CONCAT($E$22,E69)</f>
        <v>Прямая Реклама</v>
      </c>
    </row>
    <row r="70" spans="3:16" ht="26.45" customHeight="1" x14ac:dyDescent="0.25">
      <c r="C70" s="153"/>
      <c r="D70" s="135" t="s">
        <v>359</v>
      </c>
      <c r="E70" s="158"/>
      <c r="F70" s="135"/>
      <c r="G70" s="157"/>
      <c r="H70" s="156"/>
      <c r="I70" s="129"/>
      <c r="J70" s="164">
        <f>SUM(J71:J78)</f>
        <v>0</v>
      </c>
      <c r="K70" s="129" t="s">
        <v>362</v>
      </c>
      <c r="L70" s="129" t="s">
        <v>361</v>
      </c>
      <c r="M70" s="129" t="s">
        <v>352</v>
      </c>
      <c r="N70" s="154" t="s">
        <v>360</v>
      </c>
      <c r="O70" s="126">
        <f>IF((SUM(O71:O78)*0.6)&lt;MAX(O71:O78),MAX(O71:O78),(SUM(O71:O78)*0.6))</f>
        <v>0</v>
      </c>
    </row>
    <row r="71" spans="3:16" ht="20.25" customHeight="1" outlineLevel="1" x14ac:dyDescent="0.25">
      <c r="C71" s="153"/>
      <c r="D71" s="68" t="s">
        <v>359</v>
      </c>
      <c r="E71" s="142" t="s">
        <v>26</v>
      </c>
      <c r="F71" s="141"/>
      <c r="G71" s="151"/>
      <c r="H71" s="118"/>
      <c r="I71" s="117"/>
      <c r="J71" s="119" cm="1">
        <f t="array" ref="J71">IFERROR(IF(H71&gt;0,H71*G71,IF(K71&gt;0,G71*K71,IF(L71&gt;0,L71*G71*(1-SUMPRODUCT(([1]Списки!$F$2:$F$20=E71)*[1]Списки!$G$2:$G$20)),G71*I71*SUMPRODUCT(('[1]Коэфы качество контакта'!$A$2:$A$50=E71)*'[1]Коэфы качество контакта'!$G$2:$G$50)))),"")</f>
        <v>0</v>
      </c>
      <c r="K71" s="162"/>
      <c r="L71" s="161"/>
      <c r="M71" s="117"/>
      <c r="N71" s="150">
        <f>IFERROR(M71*VLOOKUP(E71,'[1]Коэфы качество контакта'!$A$2:$E$50,3,FALSE)*VLOOKUP(E71,'[1]Коэфы качество контакта'!$A$2:$E$50,5,FALSE),"")</f>
        <v>0</v>
      </c>
      <c r="O71" s="163">
        <f>IF(I70&gt;0,I71*G71,IFERROR(J71/VLOOKUP(E71,'[1]Коэфы качество контакта'!$A$2:$G$50,7,FALSE),""))</f>
        <v>0</v>
      </c>
    </row>
    <row r="72" spans="3:16" ht="20.25" customHeight="1" outlineLevel="1" x14ac:dyDescent="0.25">
      <c r="C72" s="153"/>
      <c r="D72" s="68" t="s">
        <v>359</v>
      </c>
      <c r="E72" s="142" t="s">
        <v>27</v>
      </c>
      <c r="F72" s="141"/>
      <c r="G72" s="151"/>
      <c r="H72" s="118"/>
      <c r="I72" s="117"/>
      <c r="J72" s="119" cm="1">
        <f t="array" ref="J72">IFERROR(IF(H72&gt;0,H72*G72,IF(K72&gt;0,G72*K72,IF(L72&gt;0,L72*G72*(1-SUMPRODUCT(([1]Списки!$F$2:$F$20=E72)*[1]Списки!$G$2:$G$20)),G72*I72*SUMPRODUCT(('[1]Коэфы качество контакта'!$A$2:$A$50=E72)*'[1]Коэфы качество контакта'!$G$2:$G$50)))),"")</f>
        <v>0</v>
      </c>
      <c r="K72" s="162"/>
      <c r="L72" s="161"/>
      <c r="M72" s="117"/>
      <c r="N72" s="150">
        <f>IFERROR(M72*VLOOKUP(E72,'[1]Коэфы качество контакта'!$A$2:$E$50,3,FALSE)*VLOOKUP(E72,'[1]Коэфы качество контакта'!$A$2:$E$50,5,FALSE),"")</f>
        <v>0</v>
      </c>
      <c r="O72" s="163">
        <f>IF(I72&gt;0,I72*G72,IFERROR(J72/VLOOKUP(E72,'[1]Коэфы качество контакта'!$A$2:$G$50,7,FALSE),""))</f>
        <v>0</v>
      </c>
    </row>
    <row r="73" spans="3:16" ht="20.25" customHeight="1" outlineLevel="1" x14ac:dyDescent="0.25">
      <c r="C73" s="153"/>
      <c r="D73" s="68" t="s">
        <v>359</v>
      </c>
      <c r="E73" s="142" t="s">
        <v>28</v>
      </c>
      <c r="F73" s="141"/>
      <c r="G73" s="151"/>
      <c r="H73" s="118"/>
      <c r="I73" s="117"/>
      <c r="J73" s="119" cm="1">
        <f t="array" ref="J73">IFERROR(IF(H73&gt;0,H73*G73,IF(K73&gt;0,G73*K73,IF(L73&gt;0,L73*G73*(1-SUMPRODUCT(([1]Списки!$F$2:$F$20=E73)*[1]Списки!$G$2:$G$20)),G73*I73*SUMPRODUCT(('[1]Коэфы качество контакта'!$A$2:$A$50=E73)*'[1]Коэфы качество контакта'!$G$2:$G$50)))),"")</f>
        <v>0</v>
      </c>
      <c r="K73" s="162"/>
      <c r="L73" s="161"/>
      <c r="M73" s="117"/>
      <c r="N73" s="150">
        <f>IFERROR(M73*VLOOKUP(E73,'[1]Коэфы качество контакта'!$A$2:$E$50,3,FALSE)*VLOOKUP(E73,'[1]Коэфы качество контакта'!$A$2:$E$50,5,FALSE),"")</f>
        <v>0</v>
      </c>
      <c r="O73" s="115">
        <f>IF(I73&gt;0,I73*G73,IFERROR(J73/VLOOKUP(E73,'[1]Коэфы качество контакта'!$A$2:$G$50,7,FALSE),""))</f>
        <v>0</v>
      </c>
    </row>
    <row r="74" spans="3:16" ht="20.25" customHeight="1" outlineLevel="1" x14ac:dyDescent="0.25">
      <c r="C74" s="153"/>
      <c r="D74" s="68" t="s">
        <v>359</v>
      </c>
      <c r="E74" s="142" t="s">
        <v>29</v>
      </c>
      <c r="F74" s="141"/>
      <c r="G74" s="151"/>
      <c r="H74" s="118"/>
      <c r="I74" s="117"/>
      <c r="J74" s="119" cm="1">
        <f t="array" ref="J74">IFERROR(IF(H74&gt;0,H74*G74,IF(K74&gt;0,G74*K74,IF(L74&gt;0,L74*G74*(1-SUMPRODUCT(([1]Списки!$F$2:$F$20=E74)*[1]Списки!$G$2:$G$20)),G74*I74*SUMPRODUCT(('[1]Коэфы качество контакта'!$A$2:$A$50=E74)*'[1]Коэфы качество контакта'!$G$2:$G$50)))),"")</f>
        <v>0</v>
      </c>
      <c r="K74" s="162"/>
      <c r="L74" s="161"/>
      <c r="M74" s="117"/>
      <c r="N74" s="150">
        <f>IFERROR(M74*VLOOKUP(E74,'[1]Коэфы качество контакта'!$A$2:$E$50,3,FALSE)*VLOOKUP(E74,'[1]Коэфы качество контакта'!$A$2:$E$50,5,FALSE),"")</f>
        <v>0</v>
      </c>
      <c r="O74" s="115">
        <f>IF(I74&gt;0,I74*G74,IFERROR(J74/VLOOKUP(E74,'[1]Коэфы качество контакта'!$A$2:$G$50,7,FALSE),""))</f>
        <v>0</v>
      </c>
    </row>
    <row r="75" spans="3:16" ht="19.7" customHeight="1" outlineLevel="1" x14ac:dyDescent="0.25">
      <c r="C75" s="153"/>
      <c r="D75" s="68" t="s">
        <v>359</v>
      </c>
      <c r="E75" s="142"/>
      <c r="F75" s="141"/>
      <c r="G75" s="151"/>
      <c r="H75" s="118"/>
      <c r="I75" s="117"/>
      <c r="J75" s="119" cm="1">
        <f t="array" ref="J75">IFERROR(IF(H75&gt;0,H75*G75,IF(K75&gt;0,G75*K75,IF(L75&gt;0,L75*G75*(1-SUMPRODUCT(([1]Списки!$F$2:$F$20=E75)*[1]Списки!$G$2:$G$20)),G75*I75*SUMPRODUCT(('[1]Коэфы качество контакта'!$A$2:$A$50=E75)*'[1]Коэфы качество контакта'!$G$2:$G$50)))),"")</f>
        <v>0</v>
      </c>
      <c r="K75" s="162"/>
      <c r="L75" s="161"/>
      <c r="M75" s="117"/>
      <c r="N75" s="150" t="str">
        <f>IFERROR(M75*VLOOKUP(E75,'[1]Коэфы качество контакта'!$A$2:$E$50,3,FALSE)*VLOOKUP(E75,'[1]Коэфы качество контакта'!$A$2:$E$50,5,FALSE),"")</f>
        <v/>
      </c>
      <c r="O75" s="115" t="str">
        <f>IF(I75&gt;0,I75*G75,IFERROR(J75/VLOOKUP(E75,'[1]Коэфы качество контакта'!$A$2:$G$50,7,FALSE),""))</f>
        <v/>
      </c>
    </row>
    <row r="76" spans="3:16" ht="19.7" customHeight="1" outlineLevel="1" x14ac:dyDescent="0.25">
      <c r="C76" s="153"/>
      <c r="D76" s="68" t="s">
        <v>359</v>
      </c>
      <c r="E76" s="142"/>
      <c r="F76" s="141"/>
      <c r="G76" s="151"/>
      <c r="H76" s="118"/>
      <c r="I76" s="117"/>
      <c r="J76" s="119" cm="1">
        <f t="array" ref="J76">IFERROR(IF(H76&gt;0,H76*G76,IF(K76&gt;0,G76*K76,IF(L76&gt;0,L76*G76*(1-SUMPRODUCT(([1]Списки!$F$2:$F$20=E76)*[1]Списки!$G$2:$G$20)),G76*I76*SUMPRODUCT(('[1]Коэфы качество контакта'!$A$2:$A$50=E76)*'[1]Коэфы качество контакта'!$G$2:$G$50)))),"")</f>
        <v>0</v>
      </c>
      <c r="K76" s="162"/>
      <c r="L76" s="161"/>
      <c r="M76" s="117"/>
      <c r="N76" s="150" t="str">
        <f>IFERROR(M76*VLOOKUP(E76,'[1]Коэфы качество контакта'!$A$2:$E$50,3,FALSE)*VLOOKUP(E76,'[1]Коэфы качество контакта'!$A$2:$E$50,5,FALSE),"")</f>
        <v/>
      </c>
      <c r="O76" s="115" t="str">
        <f>IF(I76&gt;0,I76*G76,IFERROR(J76/VLOOKUP(E76,'[1]Коэфы качество контакта'!$A$2:$G$50,7,FALSE),""))</f>
        <v/>
      </c>
    </row>
    <row r="77" spans="3:16" ht="19.7" customHeight="1" outlineLevel="1" x14ac:dyDescent="0.25">
      <c r="C77" s="153"/>
      <c r="D77" s="68" t="s">
        <v>359</v>
      </c>
      <c r="E77" s="142"/>
      <c r="F77" s="141"/>
      <c r="G77" s="151"/>
      <c r="H77" s="118"/>
      <c r="I77" s="117"/>
      <c r="J77" s="119" cm="1">
        <f t="array" ref="J77">IFERROR(IF(H77&gt;0,H77*G77,IF(K77&gt;0,G77*K77,IF(L77&gt;0,L77*G77*(1-SUMPRODUCT(([1]Списки!$F$2:$F$20=E77)*[1]Списки!$G$2:$G$20)),G77*I77*SUMPRODUCT(('[1]Коэфы качество контакта'!$A$2:$A$50=E77)*'[1]Коэфы качество контакта'!$G$2:$G$50)))),"")</f>
        <v>0</v>
      </c>
      <c r="K77" s="162"/>
      <c r="L77" s="161"/>
      <c r="M77" s="117"/>
      <c r="N77" s="150" t="str">
        <f>IFERROR(M77*VLOOKUP(E77,'[1]Коэфы качество контакта'!$A$2:$E$50,3,FALSE)*VLOOKUP(E77,'[1]Коэфы качество контакта'!$A$2:$E$50,5,FALSE),"")</f>
        <v/>
      </c>
      <c r="O77" s="115" t="str">
        <f>IF(I77&gt;0,I77*G77,IFERROR(J77/VLOOKUP(E77,'[1]Коэфы качество контакта'!$A$2:$G$50,7,FALSE),""))</f>
        <v/>
      </c>
    </row>
    <row r="78" spans="3:16" ht="19.7" customHeight="1" outlineLevel="1" x14ac:dyDescent="0.25">
      <c r="C78" s="153"/>
      <c r="D78" s="68" t="s">
        <v>359</v>
      </c>
      <c r="E78" s="142"/>
      <c r="F78" s="141"/>
      <c r="G78" s="151"/>
      <c r="H78" s="118"/>
      <c r="I78" s="117"/>
      <c r="J78" s="119" cm="1">
        <f t="array" ref="J78">IFERROR(IF(H78&gt;0,H78*G78,IF(K78&gt;0,G78*K78,IF(L78&gt;0,L78*G78*(1-SUMPRODUCT(([1]Списки!$F$2:$F$20=E78)*[1]Списки!$G$2:$G$20)),G78*I78*SUMPRODUCT(('[1]Коэфы качество контакта'!$A$2:$A$50=E78)*'[1]Коэфы качество контакта'!$G$2:$G$50)))),"")</f>
        <v>0</v>
      </c>
      <c r="K78" s="162"/>
      <c r="L78" s="161"/>
      <c r="M78" s="117"/>
      <c r="N78" s="150" t="str">
        <f>IFERROR(M78*VLOOKUP(E78,'[1]Коэфы качество контакта'!$A$2:$E$50,3,FALSE)*VLOOKUP(E78,'[1]Коэфы качество контакта'!$A$2:$E$50,5,FALSE),"")</f>
        <v/>
      </c>
      <c r="O78" s="115" t="str">
        <f>IF(I78&gt;0,I78*G78,IFERROR(J78/VLOOKUP(E78,'[1]Коэфы качество контакта'!$A$2:$G$50,7,FALSE),""))</f>
        <v/>
      </c>
    </row>
    <row r="79" spans="3:16" ht="44.25" customHeight="1" x14ac:dyDescent="0.25">
      <c r="C79" s="153"/>
      <c r="D79" s="135" t="s">
        <v>354</v>
      </c>
      <c r="E79" s="158"/>
      <c r="F79" s="135"/>
      <c r="G79" s="157"/>
      <c r="H79" s="156"/>
      <c r="I79" s="129"/>
      <c r="J79" s="155">
        <f>SUM(J80:J85)</f>
        <v>0</v>
      </c>
      <c r="K79" s="129" t="s">
        <v>358</v>
      </c>
      <c r="L79" s="129" t="s">
        <v>341</v>
      </c>
      <c r="M79" s="129" t="s">
        <v>352</v>
      </c>
      <c r="N79" s="154"/>
      <c r="O79" s="160">
        <f>IF(J79&gt;0,J79/1,IF((SUM(O80:O85)*0.6)&gt;MAX(O80:O85),MAX(O80:O85),(SUM(O80:O85)*0.6)))</f>
        <v>0</v>
      </c>
    </row>
    <row r="80" spans="3:16" ht="20.25" customHeight="1" outlineLevel="1" x14ac:dyDescent="0.25">
      <c r="C80" s="153"/>
      <c r="D80" s="66" t="s">
        <v>354</v>
      </c>
      <c r="E80" s="142" t="s">
        <v>357</v>
      </c>
      <c r="F80" s="141"/>
      <c r="G80" s="151"/>
      <c r="H80" s="118"/>
      <c r="I80" s="117"/>
      <c r="J80" s="119" cm="1">
        <f t="array" ref="J80">IF(I80&gt;0,I80,IF(H80&gt;0,H80*G80,IF(K80&lt;&gt;"",K80*G80,G80*SUMPRODUCT(([1]Списки!$S$2:$S$17=TEMPLATE!L80)*[1]Списки!$T$2:$T$17)/1000)))</f>
        <v>0</v>
      </c>
      <c r="K80" s="118"/>
      <c r="L80" s="117"/>
      <c r="M80" s="159"/>
      <c r="N80" s="150"/>
      <c r="O80" s="115">
        <f>IF(I80&gt;0,I80*G80,J80/1)</f>
        <v>0</v>
      </c>
    </row>
    <row r="81" spans="2:16" ht="20.25" customHeight="1" outlineLevel="1" x14ac:dyDescent="0.25">
      <c r="C81" s="153"/>
      <c r="D81" s="66" t="s">
        <v>354</v>
      </c>
      <c r="E81" s="142" t="s">
        <v>356</v>
      </c>
      <c r="F81" s="141"/>
      <c r="G81" s="151"/>
      <c r="H81" s="118"/>
      <c r="I81" s="117"/>
      <c r="J81" s="119" cm="1">
        <f t="array" ref="J81">IF(I81&gt;0,I81,IF(H81&gt;0,H81*G81,IF(K81&lt;&gt;"",K81*G81,G81*SUMPRODUCT(([1]Списки!$S$2:$S$17=TEMPLATE!L81)*[1]Списки!$T$2:$T$17)/1000)))</f>
        <v>0</v>
      </c>
      <c r="K81" s="118"/>
      <c r="L81" s="117"/>
      <c r="M81" s="159"/>
      <c r="N81" s="150"/>
      <c r="O81" s="115">
        <f>IF(I81&gt;0,I81*G81,J81/1)</f>
        <v>0</v>
      </c>
    </row>
    <row r="82" spans="2:16" ht="20.25" customHeight="1" outlineLevel="1" x14ac:dyDescent="0.25">
      <c r="C82" s="153"/>
      <c r="D82" s="66" t="s">
        <v>354</v>
      </c>
      <c r="E82" s="142" t="s">
        <v>355</v>
      </c>
      <c r="F82" s="141"/>
      <c r="G82" s="151"/>
      <c r="H82" s="118"/>
      <c r="I82" s="117"/>
      <c r="J82" s="119" cm="1">
        <f t="array" ref="J82">IF(I82&gt;0,I82,IF(H82&gt;0,H82*G82,IF(K82&lt;&gt;"",K82*G82,G82*SUMPRODUCT(([1]Списки!$S$2:$S$17=TEMPLATE!L82)*[1]Списки!$T$2:$T$17)/1000)))</f>
        <v>0</v>
      </c>
      <c r="K82" s="118"/>
      <c r="L82" s="117"/>
      <c r="M82" s="159"/>
      <c r="N82" s="150"/>
      <c r="O82" s="115">
        <f>IF(I82&gt;0,I82*G82,J82/1)</f>
        <v>0</v>
      </c>
    </row>
    <row r="83" spans="2:16" ht="20.25" customHeight="1" outlineLevel="1" x14ac:dyDescent="0.25">
      <c r="C83" s="153"/>
      <c r="D83" s="66" t="s">
        <v>354</v>
      </c>
      <c r="E83" s="142"/>
      <c r="F83" s="141"/>
      <c r="G83" s="151"/>
      <c r="H83" s="118"/>
      <c r="I83" s="117"/>
      <c r="J83" s="119" cm="1">
        <f t="array" ref="J83">IF(I83&gt;0,I83,IF(H83&gt;0,H83*G83,IF(K83&lt;&gt;"",K83*G83,G83*SUMPRODUCT(([1]Списки!$S$2:$S$17=TEMPLATE!L83)*[1]Списки!$T$2:$T$17)/1000)))</f>
        <v>0</v>
      </c>
      <c r="K83" s="118"/>
      <c r="L83" s="117"/>
      <c r="M83" s="159"/>
      <c r="N83" s="150"/>
      <c r="O83" s="115">
        <f>IF(I83&gt;0,I83*G83,J83/1)</f>
        <v>0</v>
      </c>
    </row>
    <row r="84" spans="2:16" ht="20.25" customHeight="1" outlineLevel="1" x14ac:dyDescent="0.25">
      <c r="C84" s="153"/>
      <c r="D84" s="66" t="s">
        <v>354</v>
      </c>
      <c r="E84" s="142"/>
      <c r="F84" s="141"/>
      <c r="G84" s="151"/>
      <c r="H84" s="118"/>
      <c r="I84" s="117"/>
      <c r="J84" s="119" cm="1">
        <f t="array" ref="J84">IF(I84&gt;0,I84,IF(H84&gt;0,H84*G84,IF(K84&lt;&gt;"",K84*G84,G84*SUMPRODUCT(([1]Списки!$S$2:$S$17=TEMPLATE!L84)*[1]Списки!$T$2:$T$17)/1000)))</f>
        <v>0</v>
      </c>
      <c r="K84" s="118"/>
      <c r="L84" s="117"/>
      <c r="M84" s="159"/>
      <c r="N84" s="150"/>
      <c r="O84" s="115">
        <f>IF(I84&gt;0,I84*G84,J84/1)</f>
        <v>0</v>
      </c>
    </row>
    <row r="85" spans="2:16" ht="20.25" customHeight="1" outlineLevel="1" x14ac:dyDescent="0.25">
      <c r="C85" s="153"/>
      <c r="D85" s="66" t="s">
        <v>354</v>
      </c>
      <c r="E85" s="142"/>
      <c r="F85" s="141"/>
      <c r="G85" s="151"/>
      <c r="H85" s="118"/>
      <c r="I85" s="117"/>
      <c r="J85" s="119" cm="1">
        <f t="array" ref="J85">IF(I85&gt;0,I85,IF(H85&gt;0,H85*G85,IF(K85&lt;&gt;"",K85*G85,G85*SUMPRODUCT(([1]Списки!$S$2:$S$17=TEMPLATE!L85)*[1]Списки!$T$2:$T$17)/1000)))</f>
        <v>0</v>
      </c>
      <c r="K85" s="118"/>
      <c r="L85" s="117"/>
      <c r="M85" s="159"/>
      <c r="N85" s="150"/>
      <c r="O85" s="115">
        <f>IF(I85&gt;0,I85*G85,J85/1)</f>
        <v>0</v>
      </c>
    </row>
    <row r="86" spans="2:16" ht="28.7" customHeight="1" x14ac:dyDescent="0.25">
      <c r="C86" s="153"/>
      <c r="D86" s="135" t="s">
        <v>346</v>
      </c>
      <c r="E86" s="158"/>
      <c r="F86" s="135"/>
      <c r="G86" s="157"/>
      <c r="H86" s="156"/>
      <c r="I86" s="129"/>
      <c r="J86" s="155">
        <f>SUM(J87:J92)</f>
        <v>0</v>
      </c>
      <c r="K86" s="129" t="s">
        <v>353</v>
      </c>
      <c r="L86" s="129" t="s">
        <v>341</v>
      </c>
      <c r="M86" s="129" t="s">
        <v>352</v>
      </c>
      <c r="N86" s="154"/>
      <c r="O86" s="126" t="e">
        <f>IF(J86&gt;0,J86/1.5,(1-(1-(O87/$E$21*0.5))*(1-(O88/$E$21*0.5))*(1-(O89/$E$21*0.5))*(1-(O90/$E$21*0.5))*(1-(O91/$E$21*0.5))*(1-(O92/$E$21*0.5)))*$E$21)</f>
        <v>#N/A</v>
      </c>
      <c r="P86" s="125"/>
    </row>
    <row r="87" spans="2:16" ht="20.25" customHeight="1" outlineLevel="1" x14ac:dyDescent="0.25">
      <c r="C87" s="153"/>
      <c r="D87" s="152" t="s">
        <v>346</v>
      </c>
      <c r="E87" s="142" t="s">
        <v>351</v>
      </c>
      <c r="F87" s="141"/>
      <c r="G87" s="151"/>
      <c r="H87" s="118"/>
      <c r="I87" s="117"/>
      <c r="J87" s="119" cm="1">
        <f t="array" ref="J87">IF(I87&gt;0,I87*1.5,IF(H87&gt;0,H87*G87,IF(K87&lt;&gt;"",K87*G87,G87*SUMPRODUCT(([1]Списки!$S$2:$S$17=TEMPLATE!L87)*[1]Списки!$T$2:$T$17)/1000)*(1-SUMPRODUCT(([1]Списки!$I$2:$I$7=TEMPLATE!E87)*[1]Списки!$J$2:$J$7))))</f>
        <v>0</v>
      </c>
      <c r="K87" s="117"/>
      <c r="L87" s="117"/>
      <c r="M87" s="117"/>
      <c r="N87" s="150"/>
      <c r="O87" s="115">
        <f>IF(I87&gt;0,I87*G87,J87/1.5)</f>
        <v>0</v>
      </c>
    </row>
    <row r="88" spans="2:16" ht="20.25" customHeight="1" outlineLevel="1" x14ac:dyDescent="0.25">
      <c r="C88" s="153"/>
      <c r="D88" s="152" t="s">
        <v>346</v>
      </c>
      <c r="E88" s="142" t="s">
        <v>350</v>
      </c>
      <c r="F88" s="141"/>
      <c r="G88" s="151"/>
      <c r="H88" s="118"/>
      <c r="I88" s="117"/>
      <c r="J88" s="119" cm="1">
        <f t="array" ref="J88">IF(I88&gt;0,I88*1.5,IF(H88&gt;0,H88*G88,IF(K88&lt;&gt;"",K88*G88,G88*SUMPRODUCT(([1]Списки!$S$2:$S$17=TEMPLATE!L88)*[1]Списки!$T$2:$T$17)/1000)*(1-SUMPRODUCT(([1]Списки!$I$2:$I$7=TEMPLATE!E88)*[1]Списки!$J$2:$J$7))))</f>
        <v>0</v>
      </c>
      <c r="K88" s="117"/>
      <c r="L88" s="117"/>
      <c r="M88" s="117"/>
      <c r="N88" s="150"/>
      <c r="O88" s="115">
        <f>IF(I88&gt;0,I88*G88,J88/1.5)</f>
        <v>0</v>
      </c>
    </row>
    <row r="89" spans="2:16" ht="20.25" customHeight="1" outlineLevel="1" x14ac:dyDescent="0.25">
      <c r="C89" s="153"/>
      <c r="D89" s="152" t="s">
        <v>346</v>
      </c>
      <c r="E89" s="142" t="s">
        <v>349</v>
      </c>
      <c r="F89" s="141"/>
      <c r="G89" s="151"/>
      <c r="H89" s="118"/>
      <c r="I89" s="117"/>
      <c r="J89" s="119" cm="1">
        <f t="array" ref="J89">IF(I89&gt;0,I89*1.5,IF(H89&gt;0,H89*G89,IF(K89&lt;&gt;"",K89*G89,G89*SUMPRODUCT(([1]Списки!$S$2:$S$17=TEMPLATE!L89)*[1]Списки!$T$2:$T$17)/1000)*(1-SUMPRODUCT(([1]Списки!$I$2:$I$7=TEMPLATE!E89)*[1]Списки!$J$2:$J$7))))</f>
        <v>0</v>
      </c>
      <c r="K89" s="117"/>
      <c r="L89" s="117"/>
      <c r="M89" s="117"/>
      <c r="N89" s="150"/>
      <c r="O89" s="115">
        <f>IF(I89&gt;0,I89*G89,J89/1.5)</f>
        <v>0</v>
      </c>
    </row>
    <row r="90" spans="2:16" ht="20.25" customHeight="1" outlineLevel="1" x14ac:dyDescent="0.25">
      <c r="C90" s="153"/>
      <c r="D90" s="152" t="s">
        <v>346</v>
      </c>
      <c r="E90" s="142" t="s">
        <v>348</v>
      </c>
      <c r="F90" s="141"/>
      <c r="G90" s="151"/>
      <c r="H90" s="118"/>
      <c r="I90" s="117"/>
      <c r="J90" s="119" cm="1">
        <f t="array" ref="J90">IF(I90&gt;0,I90*1.5,IF(H90&gt;0,H90*G90,IF(K90&lt;&gt;"",K90*G90,G90*SUMPRODUCT(([1]Списки!$S$2:$S$17=TEMPLATE!L90)*[1]Списки!$T$2:$T$17)/1000)*(1-SUMPRODUCT(([1]Списки!$I$2:$I$7=TEMPLATE!E90)*[1]Списки!$J$2:$J$7))))</f>
        <v>0</v>
      </c>
      <c r="K90" s="117"/>
      <c r="L90" s="117"/>
      <c r="M90" s="117"/>
      <c r="N90" s="150"/>
      <c r="O90" s="115">
        <f>IF(I90&gt;0,I90*G90,J90/1.5)</f>
        <v>0</v>
      </c>
    </row>
    <row r="91" spans="2:16" ht="20.25" customHeight="1" outlineLevel="1" x14ac:dyDescent="0.25">
      <c r="C91" s="153"/>
      <c r="D91" s="152" t="s">
        <v>346</v>
      </c>
      <c r="E91" s="142" t="s">
        <v>347</v>
      </c>
      <c r="F91" s="141"/>
      <c r="G91" s="151"/>
      <c r="H91" s="118"/>
      <c r="I91" s="117"/>
      <c r="J91" s="119" cm="1">
        <f t="array" ref="J91">IF(I91&gt;0,I91*1.5,IF(H91&gt;0,H91*G91,IF(K91&lt;&gt;"",K91*G91,G91*SUMPRODUCT(([1]Списки!$S$2:$S$17=TEMPLATE!L91)*[1]Списки!$T$2:$T$17)/1000)*(1-SUMPRODUCT(([1]Списки!$I$2:$I$7=TEMPLATE!E91)*[1]Списки!$J$2:$J$7))))</f>
        <v>0</v>
      </c>
      <c r="K91" s="117"/>
      <c r="L91" s="117"/>
      <c r="M91" s="117"/>
      <c r="N91" s="150"/>
      <c r="O91" s="115">
        <f>IF(I91&gt;0,I91*G91,J91/1.5)</f>
        <v>0</v>
      </c>
    </row>
    <row r="92" spans="2:16" ht="20.25" customHeight="1" outlineLevel="1" x14ac:dyDescent="0.25">
      <c r="C92" s="153"/>
      <c r="D92" s="152" t="s">
        <v>346</v>
      </c>
      <c r="E92" s="142" t="s">
        <v>345</v>
      </c>
      <c r="F92" s="141"/>
      <c r="G92" s="151"/>
      <c r="H92" s="118"/>
      <c r="I92" s="117"/>
      <c r="J92" s="119" cm="1">
        <f t="array" ref="J92">IF(I92&gt;0,I92*1.5,IF(H92&gt;0,H92*G92,IF(K92&lt;&gt;"",K92*G92,G92*SUMPRODUCT(([1]Списки!$S$2:$S$17=TEMPLATE!L92)*[1]Списки!$T$2:$T$17)/1000)*(1-SUMPRODUCT(([1]Списки!$I$2:$I$7=TEMPLATE!E92)*[1]Списки!$J$2:$J$7))))</f>
        <v>0</v>
      </c>
      <c r="K92" s="117"/>
      <c r="L92" s="117"/>
      <c r="M92" s="117"/>
      <c r="N92" s="150"/>
      <c r="O92" s="115">
        <f>IF(I92&gt;0,I92*G92,J92/1.5)</f>
        <v>0</v>
      </c>
    </row>
    <row r="93" spans="2:16" ht="20.25" customHeight="1" x14ac:dyDescent="0.25">
      <c r="B93" s="55">
        <v>5</v>
      </c>
      <c r="C93" s="136" t="s">
        <v>344</v>
      </c>
      <c r="D93" s="135" t="s">
        <v>30</v>
      </c>
      <c r="E93" s="134"/>
      <c r="F93" s="133"/>
      <c r="G93" s="132"/>
      <c r="H93" s="131"/>
      <c r="I93" s="128"/>
      <c r="J93" s="143">
        <f>SUM(J94:J97)</f>
        <v>0</v>
      </c>
      <c r="K93" s="128"/>
      <c r="L93" s="128"/>
      <c r="M93" s="128"/>
      <c r="N93" s="127"/>
      <c r="O93" s="126">
        <f>IF(IF(COUNTIF($O$94:$O$97,"&gt;0")&gt;1,(1-(1-($O$94/$E$26))*(1-($O$95/$E$26))*(1-($O$96/$E$26))*(1-($O$97/$E$26)))*$E$26,SUM($O$94:$O$97))&gt;$E$26,E26,IF(COUNTIF($O$94:$O$97,"&gt;0")&gt;1,(1-(1-($O$94/$E$26))*(1-($O$95/$E$26))*(1-($O$96/$E$26))*(1-($O$97/$E$26)))*$E$26,SUM($O$94:$O$97)))</f>
        <v>0</v>
      </c>
    </row>
    <row r="94" spans="2:16" ht="19.7" customHeight="1" outlineLevel="1" x14ac:dyDescent="0.25">
      <c r="C94" s="124"/>
      <c r="D94" s="68" t="s">
        <v>30</v>
      </c>
      <c r="E94" s="142" t="s">
        <v>31</v>
      </c>
      <c r="F94" s="141"/>
      <c r="G94" s="120"/>
      <c r="H94" s="118"/>
      <c r="I94" s="117"/>
      <c r="J94" s="139" cm="1">
        <f t="array" ref="J94">IF(H94&gt;0,H94*G94,G94*SUMPRODUCT(('[1]Коэфы брендирование'!$P$2:$P$5=TEMPLATE!E94)*'[1]Коэфы брендирование'!$Q$2:$Q$5)*$E$26)</f>
        <v>0</v>
      </c>
      <c r="K94" s="117"/>
      <c r="L94" s="149"/>
      <c r="M94" s="117"/>
      <c r="N94" s="116"/>
      <c r="O94" s="115" cm="1">
        <f t="array" ref="O94">IFERROR(IF(I94&gt;0,I94*G94,J94/SUMPRODUCT(('[1]Коэфы брендирование'!$P$2:$P$996=TEMPLATE!$E94)*'[1]Коэфы брендирование'!$R$2:$R$996)),"-")</f>
        <v>0</v>
      </c>
    </row>
    <row r="95" spans="2:16" ht="20.25" customHeight="1" outlineLevel="1" x14ac:dyDescent="0.25">
      <c r="C95" s="124"/>
      <c r="D95" s="68" t="s">
        <v>30</v>
      </c>
      <c r="E95" s="142" t="s">
        <v>32</v>
      </c>
      <c r="F95" s="141"/>
      <c r="G95" s="120"/>
      <c r="H95" s="118"/>
      <c r="I95" s="117"/>
      <c r="J95" s="139" cm="1">
        <f t="array" ref="J95">IF(H95&gt;0,H95*G95,G95*SUMPRODUCT(('[1]Коэфы брендирование'!$P$2:$P$5=TEMPLATE!E95)*'[1]Коэфы брендирование'!$Q$2:$Q$5)*$E$26)</f>
        <v>0</v>
      </c>
      <c r="K95" s="117"/>
      <c r="L95" s="149"/>
      <c r="M95" s="117"/>
      <c r="N95" s="116"/>
      <c r="O95" s="115" cm="1">
        <f t="array" ref="O95">IFERROR(IF(I95&gt;0,I95*G95,J95/SUMPRODUCT(('[1]Коэфы брендирование'!$P$2:$P$996=TEMPLATE!$E95)*'[1]Коэфы брендирование'!$R$2:$R$996)),"-")</f>
        <v>0</v>
      </c>
    </row>
    <row r="96" spans="2:16" ht="28.35" customHeight="1" outlineLevel="1" x14ac:dyDescent="0.25">
      <c r="C96" s="124"/>
      <c r="D96" s="68" t="s">
        <v>30</v>
      </c>
      <c r="E96" s="142" t="s">
        <v>33</v>
      </c>
      <c r="F96" s="141"/>
      <c r="G96" s="120"/>
      <c r="H96" s="118"/>
      <c r="I96" s="117"/>
      <c r="J96" s="139" cm="1">
        <f t="array" ref="J96">IF(H96&gt;0,H96*G96,G96*SUMPRODUCT(('[1]Коэфы брендирование'!$P$2:$P$5=TEMPLATE!E96)*'[1]Коэфы брендирование'!$Q$2:$Q$5)*$E$26)</f>
        <v>0</v>
      </c>
      <c r="K96" s="117"/>
      <c r="L96" s="149"/>
      <c r="M96" s="117"/>
      <c r="N96" s="116"/>
      <c r="O96" s="115" cm="1">
        <f t="array" ref="O96">IFERROR(IF(I96&gt;0,I96*G96,J96/SUMPRODUCT(('[1]Коэфы брендирование'!$P$2:$P$996=TEMPLATE!$E96)*'[1]Коэфы брендирование'!$R$2:$R$996)),"-")</f>
        <v>0</v>
      </c>
    </row>
    <row r="97" spans="3:15" ht="20.25" customHeight="1" outlineLevel="1" x14ac:dyDescent="0.25">
      <c r="C97" s="124"/>
      <c r="D97" s="68" t="s">
        <v>30</v>
      </c>
      <c r="E97" s="142" t="s">
        <v>34</v>
      </c>
      <c r="F97" s="141"/>
      <c r="G97" s="120"/>
      <c r="H97" s="118"/>
      <c r="I97" s="117"/>
      <c r="J97" s="139" cm="1">
        <f t="array" ref="J97">IF(H97&gt;0,H97*G97,G97*SUMPRODUCT(('[1]Коэфы брендирование'!$P$2:$P$5=TEMPLATE!E97)*'[1]Коэфы брендирование'!$Q$2:$Q$5)*$E$26)</f>
        <v>0</v>
      </c>
      <c r="K97" s="117"/>
      <c r="L97" s="149"/>
      <c r="M97" s="117"/>
      <c r="N97" s="116"/>
      <c r="O97" s="115" cm="1">
        <f t="array" ref="O97">IFERROR(IF(I97&gt;0,I97*G97,J97/SUMPRODUCT(('[1]Коэфы брендирование'!$P$2:$P$996=TEMPLATE!$E97)*'[1]Коэфы брендирование'!$R$2:$R$996)),"-")</f>
        <v>0</v>
      </c>
    </row>
    <row r="98" spans="3:15" ht="20.25" customHeight="1" x14ac:dyDescent="0.25">
      <c r="C98" s="124"/>
      <c r="D98" s="135" t="s">
        <v>28</v>
      </c>
      <c r="E98" s="134"/>
      <c r="F98" s="133"/>
      <c r="G98" s="132"/>
      <c r="H98" s="131"/>
      <c r="I98" s="128"/>
      <c r="J98" s="143">
        <f>SUM(J99:J100)</f>
        <v>0</v>
      </c>
      <c r="K98" s="128"/>
      <c r="L98" s="128"/>
      <c r="M98" s="128"/>
      <c r="N98" s="127"/>
      <c r="O98" s="126">
        <f>IF(IF(COUNTIF($O$99:$O$100,"&gt;0")&gt;1,(1-(1-($O$99/$E$26))*(1-($O$100/$E$26)))*$E$26,SUM($O$99:$O$100))&gt;$E$26,E26,IF(COUNTIF($O$99:$O$100,"&gt;0")&gt;1,(1-(1-($O$99/$E$26))*(1-($O$100/$E$26))*(1-($O$99/$E$26))*(1-($O$100/$E$26)))*$E$26,SUM($O$99:$O$100)))</f>
        <v>0</v>
      </c>
    </row>
    <row r="99" spans="3:15" ht="20.45" customHeight="1" outlineLevel="1" x14ac:dyDescent="0.25">
      <c r="C99" s="124"/>
      <c r="D99" s="68" t="s">
        <v>28</v>
      </c>
      <c r="E99" s="142" t="s">
        <v>35</v>
      </c>
      <c r="F99" s="141"/>
      <c r="G99" s="120"/>
      <c r="H99" s="118"/>
      <c r="I99" s="117"/>
      <c r="J99" s="139" cm="1">
        <f t="array" ref="J99">IF(H99&gt;0,H99*G99,G99*SUMPRODUCT(('[1]Коэфы брендирование'!$A$2:$A$3=TEMPLATE!E99)*'[1]Коэфы брендирование'!$B$2:$B$3)*$E$26)</f>
        <v>0</v>
      </c>
      <c r="K99" s="117"/>
      <c r="L99" s="149"/>
      <c r="M99" s="117"/>
      <c r="N99" s="116"/>
      <c r="O99" s="115" cm="1">
        <f t="array" ref="O99">IFERROR(IF(I99&gt;0,I99*G99,J99/SUMPRODUCT(('[1]Коэфы брендирование'!$A$2:$A$996=TEMPLATE!$E99)*'[1]Коэфы брендирование'!$C$2:$C$996)),"-")</f>
        <v>0</v>
      </c>
    </row>
    <row r="100" spans="3:15" ht="20.25" customHeight="1" outlineLevel="1" x14ac:dyDescent="0.25">
      <c r="C100" s="124"/>
      <c r="D100" s="68" t="s">
        <v>28</v>
      </c>
      <c r="E100" s="142" t="s">
        <v>36</v>
      </c>
      <c r="F100" s="141"/>
      <c r="G100" s="120"/>
      <c r="H100" s="118"/>
      <c r="I100" s="117"/>
      <c r="J100" s="139" cm="1">
        <f t="array" ref="J100">IF(H100&gt;0,H100*G100,G100*SUMPRODUCT(('[1]Коэфы брендирование'!$A$2:$A$3=TEMPLATE!E100)*'[1]Коэфы брендирование'!$B$2:$B$3)*$E$26)</f>
        <v>0</v>
      </c>
      <c r="K100" s="117"/>
      <c r="L100" s="149"/>
      <c r="M100" s="117"/>
      <c r="N100" s="116"/>
      <c r="O100" s="115" cm="1">
        <f t="array" ref="O100">IFERROR(IF(I100&gt;0,I100*G100,J100/SUMPRODUCT(('[1]Коэфы брендирование'!$A$2:$A$996=TEMPLATE!$E100)*'[1]Коэфы брендирование'!$C$2:$C$996)),"-")</f>
        <v>0</v>
      </c>
    </row>
    <row r="101" spans="3:15" ht="20.25" customHeight="1" x14ac:dyDescent="0.25">
      <c r="C101" s="124"/>
      <c r="D101" s="135" t="s">
        <v>37</v>
      </c>
      <c r="E101" s="134"/>
      <c r="F101" s="133"/>
      <c r="G101" s="132"/>
      <c r="H101" s="131"/>
      <c r="I101" s="128"/>
      <c r="J101" s="143">
        <f>SUM(J102:J123)</f>
        <v>0</v>
      </c>
      <c r="K101" s="128"/>
      <c r="L101" s="128"/>
      <c r="M101" s="128"/>
      <c r="N101" s="127"/>
      <c r="O101" s="126">
        <f>IF(IF(COUNTIF($O$102:$O$123,"&gt;0")&gt;1,(1-(1-($O$102/$E$26))*(1-($O$103/$E$26))*(1-($O$104/$E$26))*(1-($O$105/$E$26))*(1-($O$106/$E$26))*(1-($O$107/$E$26))*(1-($O$108/$E$26))*(1-($O$109/$E$26))*(1-($O$110/$E$26))*(1-($O$111/$E$26))*(1-($O$112/$E$26))*(1-($O$113/$E$26))*(1-($O$114/$E$26))*(1-($O$115/$E$26))*(1-($O$116/$E$26))*(1-($O$117/$E$26))*(1-($O$118/$E$26))*(1-($O$119/$E$26))*(1-($O$120/$E$26))*(1-($O$121/$E$26))*(1-($O$122/$E$26))*(1-($O$123/$E$26)))*$E$26,SUM($O$102:$O$123))&gt;$E$26,E26,IF(COUNTIF($O$102:$O$123,"&gt;0")&gt;1,(1-(1-($O$102/$E$26))*(1-($O$103/$E$26))*(1-($O$104/$E$26))*(1-($O$105/$E$26))*(1-($O$106/$E$26))*(1-($O$107/$E$26))*(1-($O$108/$E$26))*(1-($O$109/$E$26))*(1-($O$110/$E$26))*(1-($O$111/$E$26))*(1-($O$112/$E$26))*(1-($O$113/$E$26))*(1-($O$114/$E$26))*(1-($O$115/$E$26))*(1-($O$116/$E$26))*(1-($O$117/$E$26))*(1-($O$118/$E$26))*(1-($O$119/$E$26))*(1-($O$120/$E$26))*(1-($O$121/$E$26))*(1-($O$122/$E$26))*(1-($O$123/$E$26)))*$E$26,SUM($O$102:$O$123)))</f>
        <v>0</v>
      </c>
    </row>
    <row r="102" spans="3:15" ht="20.25" customHeight="1" outlineLevel="1" x14ac:dyDescent="0.25">
      <c r="C102" s="124"/>
      <c r="D102" s="68" t="s">
        <v>37</v>
      </c>
      <c r="E102" s="142" t="s">
        <v>38</v>
      </c>
      <c r="F102" s="141"/>
      <c r="G102" s="120"/>
      <c r="H102" s="118"/>
      <c r="I102" s="117"/>
      <c r="J102" s="139" cm="1">
        <f t="array" ref="J102">IF(H102&gt;0,H102*G102,G102*SUMPRODUCT(('[1]Коэфы брендирование'!$D$2:$D$23=TEMPLATE!E102)*'[1]Коэфы брендирование'!$E$2:$E$23)*$E$26*(1-SUMPRODUCT(([1]Списки!$W$2:$W$5=TEMPLATE!$E$23)*[1]Списки!$X$2:$X$5)))</f>
        <v>0</v>
      </c>
      <c r="K102" s="117"/>
      <c r="L102" s="149"/>
      <c r="M102" s="117"/>
      <c r="N102" s="116"/>
      <c r="O102" s="148" cm="1">
        <f t="array" ref="O102">IFERROR(IF(I102&gt;0,I102*G102,J102/SUMPRODUCT(('[1]Коэфы брендирование'!$D$2:$D$993=TEMPLATE!$E102)*'[1]Коэфы брендирование'!$F$2:$F$993)),0)</f>
        <v>0</v>
      </c>
    </row>
    <row r="103" spans="3:15" ht="20.25" customHeight="1" outlineLevel="1" x14ac:dyDescent="0.25">
      <c r="C103" s="124"/>
      <c r="D103" s="68" t="s">
        <v>37</v>
      </c>
      <c r="E103" s="142" t="s">
        <v>39</v>
      </c>
      <c r="F103" s="141"/>
      <c r="G103" s="120"/>
      <c r="H103" s="118"/>
      <c r="I103" s="117"/>
      <c r="J103" s="139" cm="1">
        <f t="array" ref="J103">IF(H103&gt;0,H103*G103,G103*SUMPRODUCT(('[1]Коэфы брендирование'!$D$2:$D$23=TEMPLATE!E103)*'[1]Коэфы брендирование'!$E$2:$E$23)*$E$26*(1-SUMPRODUCT(([1]Списки!$W$2:$W$5=TEMPLATE!$E$23)*[1]Списки!$X$2:$X$5)))</f>
        <v>0</v>
      </c>
      <c r="K103" s="117"/>
      <c r="L103" s="149"/>
      <c r="M103" s="117"/>
      <c r="N103" s="116"/>
      <c r="O103" s="148" cm="1">
        <f t="array" ref="O103">IFERROR(IF(I103&gt;0,I103*G103,J103/SUMPRODUCT(('[1]Коэфы брендирование'!$D$2:$D$993=TEMPLATE!$E103)*'[1]Коэфы брендирование'!$F$2:$F$993)),0)</f>
        <v>0</v>
      </c>
    </row>
    <row r="104" spans="3:15" ht="20.25" customHeight="1" outlineLevel="1" x14ac:dyDescent="0.25">
      <c r="C104" s="124"/>
      <c r="D104" s="68" t="s">
        <v>37</v>
      </c>
      <c r="E104" s="142" t="s">
        <v>40</v>
      </c>
      <c r="F104" s="141"/>
      <c r="G104" s="120"/>
      <c r="H104" s="118"/>
      <c r="I104" s="117"/>
      <c r="J104" s="139" cm="1">
        <f t="array" ref="J104">IF(H104&gt;0,H104*G104,G104*SUMPRODUCT(('[1]Коэфы брендирование'!$D$2:$D$23=TEMPLATE!E104)*'[1]Коэфы брендирование'!$E$2:$E$23)*$E$26*(1-SUMPRODUCT(([1]Списки!$W$2:$W$5=TEMPLATE!$E$23)*[1]Списки!$X$2:$X$5)))</f>
        <v>0</v>
      </c>
      <c r="K104" s="117"/>
      <c r="L104" s="149"/>
      <c r="M104" s="117"/>
      <c r="N104" s="116"/>
      <c r="O104" s="148" cm="1">
        <f t="array" ref="O104">IFERROR(IF(I104&gt;0,I104*G104,J104/SUMPRODUCT(('[1]Коэфы брендирование'!$D$2:$D$993=TEMPLATE!$E104)*'[1]Коэфы брендирование'!$F$2:$F$993)),0)</f>
        <v>0</v>
      </c>
    </row>
    <row r="105" spans="3:15" ht="20.25" customHeight="1" outlineLevel="1" x14ac:dyDescent="0.25">
      <c r="C105" s="124"/>
      <c r="D105" s="68" t="s">
        <v>37</v>
      </c>
      <c r="E105" s="142" t="s">
        <v>41</v>
      </c>
      <c r="F105" s="141"/>
      <c r="G105" s="120"/>
      <c r="H105" s="118"/>
      <c r="I105" s="117"/>
      <c r="J105" s="139" cm="1">
        <f t="array" ref="J105">IF(H105&gt;0,H105*G105,G105*SUMPRODUCT(('[1]Коэфы брендирование'!$D$2:$D$23=TEMPLATE!E105)*'[1]Коэфы брендирование'!$E$2:$E$23)*$E$26*(1-SUMPRODUCT(([1]Списки!$W$2:$W$5=TEMPLATE!$E$23)*[1]Списки!$X$2:$X$5)))</f>
        <v>0</v>
      </c>
      <c r="K105" s="117"/>
      <c r="L105" s="149"/>
      <c r="M105" s="117"/>
      <c r="N105" s="116"/>
      <c r="O105" s="148" cm="1">
        <f t="array" ref="O105">IFERROR(IF(I105&gt;0,I105*G105,J105/SUMPRODUCT(('[1]Коэфы брендирование'!$D$2:$D$993=TEMPLATE!$E105)*'[1]Коэфы брендирование'!$F$2:$F$993)),0)</f>
        <v>0</v>
      </c>
    </row>
    <row r="106" spans="3:15" ht="20.25" customHeight="1" outlineLevel="1" x14ac:dyDescent="0.25">
      <c r="C106" s="124"/>
      <c r="D106" s="68" t="s">
        <v>37</v>
      </c>
      <c r="E106" s="142" t="s">
        <v>42</v>
      </c>
      <c r="F106" s="141"/>
      <c r="G106" s="120"/>
      <c r="H106" s="118"/>
      <c r="I106" s="117"/>
      <c r="J106" s="139" cm="1">
        <f t="array" ref="J106">IF(H106&gt;0,H106*G106,G106*SUMPRODUCT(('[1]Коэфы брендирование'!$D$2:$D$23=TEMPLATE!E106)*'[1]Коэфы брендирование'!$E$2:$E$23)*$E$26*(1-SUMPRODUCT(([1]Списки!$W$2:$W$5=TEMPLATE!$E$23)*[1]Списки!$X$2:$X$5)))</f>
        <v>0</v>
      </c>
      <c r="K106" s="117"/>
      <c r="L106" s="149"/>
      <c r="M106" s="117"/>
      <c r="N106" s="116"/>
      <c r="O106" s="148" cm="1">
        <f t="array" ref="O106">IFERROR(IF(I106&gt;0,I106*G106,J106/SUMPRODUCT(('[1]Коэфы брендирование'!$D$2:$D$993=TEMPLATE!$E106)*'[1]Коэфы брендирование'!$F$2:$F$993)),0)</f>
        <v>0</v>
      </c>
    </row>
    <row r="107" spans="3:15" ht="20.25" customHeight="1" outlineLevel="1" x14ac:dyDescent="0.25">
      <c r="C107" s="124"/>
      <c r="D107" s="68" t="s">
        <v>37</v>
      </c>
      <c r="E107" s="142" t="s">
        <v>43</v>
      </c>
      <c r="F107" s="141"/>
      <c r="G107" s="120"/>
      <c r="H107" s="118"/>
      <c r="I107" s="117"/>
      <c r="J107" s="139" cm="1">
        <f t="array" ref="J107">IF(H107&gt;0,H107*G107,G107*SUMPRODUCT(('[1]Коэфы брендирование'!$D$2:$D$23=TEMPLATE!E107)*'[1]Коэфы брендирование'!$E$2:$E$23)*$E$26*(1-SUMPRODUCT(([1]Списки!$W$2:$W$5=TEMPLATE!$E$23)*[1]Списки!$X$2:$X$5)))</f>
        <v>0</v>
      </c>
      <c r="K107" s="117"/>
      <c r="L107" s="149"/>
      <c r="M107" s="117"/>
      <c r="N107" s="116"/>
      <c r="O107" s="148" cm="1">
        <f t="array" ref="O107">IFERROR(IF(I107&gt;0,I107*G107,J107/SUMPRODUCT(('[1]Коэфы брендирование'!$D$2:$D$993=TEMPLATE!$E107)*'[1]Коэфы брендирование'!$F$2:$F$993)),0)</f>
        <v>0</v>
      </c>
    </row>
    <row r="108" spans="3:15" ht="20.25" customHeight="1" outlineLevel="1" x14ac:dyDescent="0.25">
      <c r="C108" s="124"/>
      <c r="D108" s="68" t="s">
        <v>37</v>
      </c>
      <c r="E108" s="142" t="s">
        <v>44</v>
      </c>
      <c r="F108" s="141"/>
      <c r="G108" s="120"/>
      <c r="H108" s="118"/>
      <c r="I108" s="117"/>
      <c r="J108" s="139" cm="1">
        <f t="array" ref="J108">IF(H108&gt;0,H108*G108,G108*SUMPRODUCT(('[1]Коэфы брендирование'!$D$2:$D$23=TEMPLATE!E108)*'[1]Коэфы брендирование'!$E$2:$E$23)*$E$26*(1-SUMPRODUCT(([1]Списки!$W$2:$W$5=TEMPLATE!$E$23)*[1]Списки!$X$2:$X$5)))</f>
        <v>0</v>
      </c>
      <c r="K108" s="117"/>
      <c r="L108" s="149"/>
      <c r="M108" s="117"/>
      <c r="N108" s="116"/>
      <c r="O108" s="148" cm="1">
        <f t="array" ref="O108">IFERROR(IF(I108&gt;0,I108*G108,J108/SUMPRODUCT(('[1]Коэфы брендирование'!$D$2:$D$993=TEMPLATE!$E108)*'[1]Коэфы брендирование'!$F$2:$F$993)),0)</f>
        <v>0</v>
      </c>
    </row>
    <row r="109" spans="3:15" ht="20.25" customHeight="1" outlineLevel="1" x14ac:dyDescent="0.25">
      <c r="C109" s="124"/>
      <c r="D109" s="68" t="s">
        <v>37</v>
      </c>
      <c r="E109" s="142"/>
      <c r="F109" s="141"/>
      <c r="G109" s="120"/>
      <c r="H109" s="118"/>
      <c r="I109" s="117"/>
      <c r="J109" s="139" cm="1">
        <f t="array" ref="J109">IF(H109&gt;0,H109*G109,G109*SUMPRODUCT(('[1]Коэфы брендирование'!$D$2:$D$23=TEMPLATE!E109)*'[1]Коэфы брендирование'!$E$2:$E$23)*$E$26*(1-SUMPRODUCT(([1]Списки!$W$2:$W$5=TEMPLATE!$E$23)*[1]Списки!$X$2:$X$5)))</f>
        <v>0</v>
      </c>
      <c r="K109" s="117"/>
      <c r="L109" s="149"/>
      <c r="M109" s="117"/>
      <c r="N109" s="116"/>
      <c r="O109" s="148" cm="1">
        <f t="array" ref="O109">IFERROR(IF(I109&gt;0,I109*G109,J109/SUMPRODUCT(('[1]Коэфы брендирование'!$D$2:$D$993=TEMPLATE!$E109)*'[1]Коэфы брендирование'!$F$2:$F$993)),0)</f>
        <v>0</v>
      </c>
    </row>
    <row r="110" spans="3:15" ht="20.25" customHeight="1" outlineLevel="1" x14ac:dyDescent="0.25">
      <c r="C110" s="124"/>
      <c r="D110" s="68" t="s">
        <v>37</v>
      </c>
      <c r="E110" s="142"/>
      <c r="F110" s="141"/>
      <c r="G110" s="120"/>
      <c r="H110" s="118"/>
      <c r="I110" s="117"/>
      <c r="J110" s="139" cm="1">
        <f t="array" ref="J110">IF(H110&gt;0,H110*G110,G110*SUMPRODUCT(('[1]Коэфы брендирование'!$D$2:$D$23=TEMPLATE!E110)*'[1]Коэфы брендирование'!$E$2:$E$23)*$E$26*(1-SUMPRODUCT(([1]Списки!$W$2:$W$5=TEMPLATE!$E$23)*[1]Списки!$X$2:$X$5)))</f>
        <v>0</v>
      </c>
      <c r="K110" s="117"/>
      <c r="L110" s="149"/>
      <c r="M110" s="117"/>
      <c r="N110" s="116"/>
      <c r="O110" s="148" cm="1">
        <f t="array" ref="O110">IFERROR(IF(I110&gt;0,I110*G110,J110/SUMPRODUCT(('[1]Коэфы брендирование'!$D$2:$D$993=TEMPLATE!$E110)*'[1]Коэфы брендирование'!$F$2:$F$993)),0)</f>
        <v>0</v>
      </c>
    </row>
    <row r="111" spans="3:15" ht="20.25" customHeight="1" outlineLevel="1" x14ac:dyDescent="0.25">
      <c r="C111" s="124"/>
      <c r="D111" s="68" t="s">
        <v>37</v>
      </c>
      <c r="E111" s="142"/>
      <c r="F111" s="141"/>
      <c r="G111" s="120"/>
      <c r="H111" s="118"/>
      <c r="I111" s="117"/>
      <c r="J111" s="139" cm="1">
        <f t="array" ref="J111">IF(H111&gt;0,H111*G111,G111*SUMPRODUCT(('[1]Коэфы брендирование'!$D$2:$D$23=TEMPLATE!E111)*'[1]Коэфы брендирование'!$E$2:$E$23)*$E$26*(1-SUMPRODUCT(([1]Списки!$W$2:$W$5=TEMPLATE!$E$23)*[1]Списки!$X$2:$X$5)))</f>
        <v>0</v>
      </c>
      <c r="K111" s="117"/>
      <c r="L111" s="149"/>
      <c r="M111" s="117"/>
      <c r="N111" s="116"/>
      <c r="O111" s="148" cm="1">
        <f t="array" ref="O111">IFERROR(IF(I111&gt;0,I111*G111,J111/SUMPRODUCT(('[1]Коэфы брендирование'!$D$2:$D$993=TEMPLATE!$E111)*'[1]Коэфы брендирование'!$F$2:$F$993)),0)</f>
        <v>0</v>
      </c>
    </row>
    <row r="112" spans="3:15" ht="20.25" customHeight="1" outlineLevel="1" x14ac:dyDescent="0.25">
      <c r="C112" s="124"/>
      <c r="D112" s="68" t="s">
        <v>37</v>
      </c>
      <c r="E112" s="142"/>
      <c r="F112" s="141"/>
      <c r="G112" s="120"/>
      <c r="H112" s="118"/>
      <c r="I112" s="117"/>
      <c r="J112" s="139" cm="1">
        <f t="array" ref="J112">IF(H112&gt;0,H112*G112,G112*SUMPRODUCT(('[1]Коэфы брендирование'!$D$2:$D$23=TEMPLATE!E112)*'[1]Коэфы брендирование'!$E$2:$E$23)*$E$26*(1-SUMPRODUCT(([1]Списки!$W$2:$W$5=TEMPLATE!$E$23)*[1]Списки!$X$2:$X$5)))</f>
        <v>0</v>
      </c>
      <c r="K112" s="117"/>
      <c r="L112" s="149"/>
      <c r="M112" s="117"/>
      <c r="N112" s="116"/>
      <c r="O112" s="148" cm="1">
        <f t="array" ref="O112">IFERROR(IF(I112&gt;0,I112*G112,J112/SUMPRODUCT(('[1]Коэфы брендирование'!$D$2:$D$993=TEMPLATE!$E112)*'[1]Коэфы брендирование'!$F$2:$F$993)),0)</f>
        <v>0</v>
      </c>
    </row>
    <row r="113" spans="3:15" ht="20.25" customHeight="1" outlineLevel="1" x14ac:dyDescent="0.25">
      <c r="C113" s="124"/>
      <c r="D113" s="68" t="s">
        <v>37</v>
      </c>
      <c r="E113" s="142"/>
      <c r="F113" s="141"/>
      <c r="G113" s="120"/>
      <c r="H113" s="118"/>
      <c r="I113" s="117"/>
      <c r="J113" s="139" cm="1">
        <f t="array" ref="J113">IF(H113&gt;0,H113*G113,G113*SUMPRODUCT(('[1]Коэфы брендирование'!$D$2:$D$23=TEMPLATE!E113)*'[1]Коэфы брендирование'!$E$2:$E$23)*$E$26*(1-SUMPRODUCT(([1]Списки!$W$2:$W$5=TEMPLATE!$E$23)*[1]Списки!$X$2:$X$5)))</f>
        <v>0</v>
      </c>
      <c r="K113" s="117"/>
      <c r="L113" s="149"/>
      <c r="M113" s="117"/>
      <c r="N113" s="116"/>
      <c r="O113" s="148" cm="1">
        <f t="array" ref="O113">IFERROR(IF(I113&gt;0,I113*G113,J113/SUMPRODUCT(('[1]Коэфы брендирование'!$D$2:$D$993=TEMPLATE!$E113)*'[1]Коэфы брендирование'!$F$2:$F$993)),0)</f>
        <v>0</v>
      </c>
    </row>
    <row r="114" spans="3:15" ht="20.25" customHeight="1" outlineLevel="1" x14ac:dyDescent="0.25">
      <c r="C114" s="124"/>
      <c r="D114" s="68" t="s">
        <v>37</v>
      </c>
      <c r="E114" s="142"/>
      <c r="F114" s="141"/>
      <c r="G114" s="120"/>
      <c r="H114" s="118"/>
      <c r="I114" s="117"/>
      <c r="J114" s="139" cm="1">
        <f t="array" ref="J114">IF(H114&gt;0,H114*G114,G114*SUMPRODUCT(('[1]Коэфы брендирование'!$D$2:$D$23=TEMPLATE!E114)*'[1]Коэфы брендирование'!$E$2:$E$23)*$E$26*(1-SUMPRODUCT(([1]Списки!$W$2:$W$5=TEMPLATE!$E$23)*[1]Списки!$X$2:$X$5)))</f>
        <v>0</v>
      </c>
      <c r="K114" s="117"/>
      <c r="L114" s="149"/>
      <c r="M114" s="117"/>
      <c r="N114" s="116"/>
      <c r="O114" s="148" cm="1">
        <f t="array" ref="O114">IFERROR(IF(I114&gt;0,I114*G114,J114/SUMPRODUCT(('[1]Коэфы брендирование'!$D$2:$D$993=TEMPLATE!$E114)*'[1]Коэфы брендирование'!$F$2:$F$993)),0)</f>
        <v>0</v>
      </c>
    </row>
    <row r="115" spans="3:15" ht="20.25" customHeight="1" outlineLevel="1" x14ac:dyDescent="0.25">
      <c r="C115" s="124"/>
      <c r="D115" s="68" t="s">
        <v>37</v>
      </c>
      <c r="E115" s="142"/>
      <c r="F115" s="141"/>
      <c r="G115" s="120"/>
      <c r="H115" s="118"/>
      <c r="I115" s="117"/>
      <c r="J115" s="139" cm="1">
        <f t="array" ref="J115">IF(H115&gt;0,H115*G115,G115*SUMPRODUCT(('[1]Коэфы брендирование'!$D$2:$D$23=TEMPLATE!E115)*'[1]Коэфы брендирование'!$E$2:$E$23)*$E$26*(1-SUMPRODUCT(([1]Списки!$W$2:$W$5=TEMPLATE!$E$23)*[1]Списки!$X$2:$X$5)))</f>
        <v>0</v>
      </c>
      <c r="K115" s="117"/>
      <c r="L115" s="149"/>
      <c r="M115" s="117"/>
      <c r="N115" s="116"/>
      <c r="O115" s="148" cm="1">
        <f t="array" ref="O115">IFERROR(IF(I115&gt;0,I115*G115,J115/SUMPRODUCT(('[1]Коэфы брендирование'!$D$2:$D$993=TEMPLATE!$E115)*'[1]Коэфы брендирование'!$F$2:$F$993)),0)</f>
        <v>0</v>
      </c>
    </row>
    <row r="116" spans="3:15" ht="20.25" customHeight="1" outlineLevel="1" x14ac:dyDescent="0.25">
      <c r="C116" s="124"/>
      <c r="D116" s="68" t="s">
        <v>37</v>
      </c>
      <c r="E116" s="142"/>
      <c r="F116" s="141"/>
      <c r="G116" s="120"/>
      <c r="H116" s="118"/>
      <c r="I116" s="117"/>
      <c r="J116" s="139" cm="1">
        <f t="array" ref="J116">IF(H116&gt;0,H116*G116,G116*SUMPRODUCT(('[1]Коэфы брендирование'!$D$2:$D$23=TEMPLATE!E116)*'[1]Коэфы брендирование'!$E$2:$E$23)*$E$26*(1-SUMPRODUCT(([1]Списки!$W$2:$W$5=TEMPLATE!$E$23)*[1]Списки!$X$2:$X$5)))</f>
        <v>0</v>
      </c>
      <c r="K116" s="117"/>
      <c r="L116" s="149"/>
      <c r="M116" s="117"/>
      <c r="N116" s="116"/>
      <c r="O116" s="148" cm="1">
        <f t="array" ref="O116">IFERROR(IF(I116&gt;0,I116*G116,J116/SUMPRODUCT(('[1]Коэфы брендирование'!$D$2:$D$993=TEMPLATE!$E116)*'[1]Коэфы брендирование'!$F$2:$F$993)),0)</f>
        <v>0</v>
      </c>
    </row>
    <row r="117" spans="3:15" ht="20.25" customHeight="1" outlineLevel="1" x14ac:dyDescent="0.25">
      <c r="C117" s="124"/>
      <c r="D117" s="68" t="s">
        <v>37</v>
      </c>
      <c r="E117" s="142"/>
      <c r="F117" s="141"/>
      <c r="G117" s="120"/>
      <c r="H117" s="118"/>
      <c r="I117" s="117"/>
      <c r="J117" s="139" cm="1">
        <f t="array" ref="J117">IF(H117&gt;0,H117*G117,G117*SUMPRODUCT(('[1]Коэфы брендирование'!$D$2:$D$23=TEMPLATE!E117)*'[1]Коэфы брендирование'!$E$2:$E$23)*$E$26*(1-SUMPRODUCT(([1]Списки!$W$2:$W$5=TEMPLATE!$E$23)*[1]Списки!$X$2:$X$5)))</f>
        <v>0</v>
      </c>
      <c r="K117" s="117"/>
      <c r="L117" s="149"/>
      <c r="M117" s="117"/>
      <c r="N117" s="116"/>
      <c r="O117" s="148" cm="1">
        <f t="array" ref="O117">IFERROR(IF(I117&gt;0,I117*G117,J117/SUMPRODUCT(('[1]Коэфы брендирование'!$D$2:$D$993=TEMPLATE!$E117)*'[1]Коэфы брендирование'!$F$2:$F$993)),0)</f>
        <v>0</v>
      </c>
    </row>
    <row r="118" spans="3:15" ht="20.25" customHeight="1" outlineLevel="1" x14ac:dyDescent="0.25">
      <c r="C118" s="124"/>
      <c r="D118" s="68" t="s">
        <v>37</v>
      </c>
      <c r="E118" s="142"/>
      <c r="F118" s="141"/>
      <c r="G118" s="120"/>
      <c r="H118" s="118"/>
      <c r="I118" s="117"/>
      <c r="J118" s="139" cm="1">
        <f t="array" ref="J118">IF(H118&gt;0,H118*G118,G118*SUMPRODUCT(('[1]Коэфы брендирование'!$D$2:$D$23=TEMPLATE!E118)*'[1]Коэфы брендирование'!$E$2:$E$23)*$E$26*(1-SUMPRODUCT(([1]Списки!$W$2:$W$5=TEMPLATE!$E$23)*[1]Списки!$X$2:$X$5)))</f>
        <v>0</v>
      </c>
      <c r="K118" s="117"/>
      <c r="L118" s="149"/>
      <c r="M118" s="117"/>
      <c r="N118" s="116"/>
      <c r="O118" s="148" cm="1">
        <f t="array" ref="O118">IFERROR(IF(I118&gt;0,I118*G118,J118/SUMPRODUCT(('[1]Коэфы брендирование'!$D$2:$D$993=TEMPLATE!$E118)*'[1]Коэфы брендирование'!$F$2:$F$993)),0)</f>
        <v>0</v>
      </c>
    </row>
    <row r="119" spans="3:15" ht="20.25" customHeight="1" outlineLevel="1" x14ac:dyDescent="0.25">
      <c r="C119" s="124"/>
      <c r="D119" s="68" t="s">
        <v>37</v>
      </c>
      <c r="E119" s="142"/>
      <c r="F119" s="141"/>
      <c r="G119" s="120"/>
      <c r="H119" s="118"/>
      <c r="I119" s="117"/>
      <c r="J119" s="139" cm="1">
        <f t="array" ref="J119">IF(H119&gt;0,H119*G119,G119*SUMPRODUCT(('[1]Коэфы брендирование'!$D$2:$D$23=TEMPLATE!E119)*'[1]Коэфы брендирование'!$E$2:$E$23)*$E$26*(1-SUMPRODUCT(([1]Списки!$W$2:$W$5=TEMPLATE!$E$23)*[1]Списки!$X$2:$X$5)))</f>
        <v>0</v>
      </c>
      <c r="K119" s="117"/>
      <c r="L119" s="149"/>
      <c r="M119" s="117"/>
      <c r="N119" s="116"/>
      <c r="O119" s="148" cm="1">
        <f t="array" ref="O119">IFERROR(IF(I119&gt;0,I119*G119,J119/SUMPRODUCT(('[1]Коэфы брендирование'!$D$2:$D$993=TEMPLATE!$E119)*'[1]Коэфы брендирование'!$F$2:$F$993)),0)</f>
        <v>0</v>
      </c>
    </row>
    <row r="120" spans="3:15" ht="20.25" customHeight="1" outlineLevel="1" x14ac:dyDescent="0.25">
      <c r="C120" s="124"/>
      <c r="D120" s="68" t="s">
        <v>37</v>
      </c>
      <c r="E120" s="142"/>
      <c r="F120" s="141"/>
      <c r="G120" s="120"/>
      <c r="H120" s="118"/>
      <c r="I120" s="117"/>
      <c r="J120" s="139" cm="1">
        <f t="array" ref="J120">IF(H120&gt;0,H120*G120,G120*SUMPRODUCT(('[1]Коэфы брендирование'!$D$2:$D$23=TEMPLATE!E120)*'[1]Коэфы брендирование'!$E$2:$E$23)*$E$26*(1-SUMPRODUCT(([1]Списки!$W$2:$W$5=TEMPLATE!$E$23)*[1]Списки!$X$2:$X$5)))</f>
        <v>0</v>
      </c>
      <c r="K120" s="117"/>
      <c r="L120" s="149"/>
      <c r="M120" s="117"/>
      <c r="N120" s="116"/>
      <c r="O120" s="148" cm="1">
        <f t="array" ref="O120">IFERROR(IF(I120&gt;0,I120*G120,J120/SUMPRODUCT(('[1]Коэфы брендирование'!$D$2:$D$993=TEMPLATE!$E120)*'[1]Коэфы брендирование'!$F$2:$F$993)),0)</f>
        <v>0</v>
      </c>
    </row>
    <row r="121" spans="3:15" ht="20.25" customHeight="1" outlineLevel="1" x14ac:dyDescent="0.25">
      <c r="C121" s="124"/>
      <c r="D121" s="68" t="s">
        <v>37</v>
      </c>
      <c r="E121" s="142"/>
      <c r="F121" s="141"/>
      <c r="G121" s="120"/>
      <c r="H121" s="118"/>
      <c r="I121" s="117"/>
      <c r="J121" s="139" cm="1">
        <f t="array" ref="J121">IF(H121&gt;0,H121*G121,G121*SUMPRODUCT(('[1]Коэфы брендирование'!$D$2:$D$23=TEMPLATE!E121)*'[1]Коэфы брендирование'!$E$2:$E$23)*$E$26*(1-SUMPRODUCT(([1]Списки!$W$2:$W$5=TEMPLATE!$E$23)*[1]Списки!$X$2:$X$5)))</f>
        <v>0</v>
      </c>
      <c r="K121" s="117"/>
      <c r="L121" s="149"/>
      <c r="M121" s="117"/>
      <c r="N121" s="116"/>
      <c r="O121" s="148" cm="1">
        <f t="array" ref="O121">IFERROR(IF(I121&gt;0,I121*G121,J121/SUMPRODUCT(('[1]Коэфы брендирование'!$D$2:$D$993=TEMPLATE!$E121)*'[1]Коэфы брендирование'!$F$2:$F$993)),0)</f>
        <v>0</v>
      </c>
    </row>
    <row r="122" spans="3:15" ht="20.25" customHeight="1" outlineLevel="1" x14ac:dyDescent="0.25">
      <c r="C122" s="124"/>
      <c r="D122" s="68" t="s">
        <v>37</v>
      </c>
      <c r="E122" s="142"/>
      <c r="F122" s="141"/>
      <c r="G122" s="120"/>
      <c r="H122" s="118"/>
      <c r="I122" s="117"/>
      <c r="J122" s="139" cm="1">
        <f t="array" ref="J122">IF(H122&gt;0,H122*G122,G122*SUMPRODUCT(('[1]Коэфы брендирование'!$D$2:$D$23=TEMPLATE!E122)*'[1]Коэфы брендирование'!$E$2:$E$23)*$E$26*(1-SUMPRODUCT(([1]Списки!$W$2:$W$5=TEMPLATE!$E$23)*[1]Списки!$X$2:$X$5)))</f>
        <v>0</v>
      </c>
      <c r="K122" s="117"/>
      <c r="L122" s="149"/>
      <c r="M122" s="117"/>
      <c r="N122" s="116"/>
      <c r="O122" s="148" cm="1">
        <f t="array" ref="O122">IFERROR(IF(I122&gt;0,I122*G122,J122/SUMPRODUCT(('[1]Коэфы брендирование'!$D$2:$D$993=TEMPLATE!$E122)*'[1]Коэфы брендирование'!$F$2:$F$993)),0)</f>
        <v>0</v>
      </c>
    </row>
    <row r="123" spans="3:15" ht="20.25" customHeight="1" outlineLevel="1" x14ac:dyDescent="0.25">
      <c r="C123" s="124"/>
      <c r="D123" s="68" t="s">
        <v>37</v>
      </c>
      <c r="E123" s="142"/>
      <c r="F123" s="141"/>
      <c r="G123" s="120"/>
      <c r="H123" s="118"/>
      <c r="I123" s="117"/>
      <c r="J123" s="139" cm="1">
        <f t="array" ref="J123">IF(H123&gt;0,H123*G123,G123*SUMPRODUCT(('[1]Коэфы брендирование'!$D$2:$D$23=TEMPLATE!E123)*'[1]Коэфы брендирование'!$E$2:$E$23)*$E$26*(1-SUMPRODUCT(([1]Списки!$W$2:$W$5=TEMPLATE!$E$23)*[1]Списки!$X$2:$X$5)))</f>
        <v>0</v>
      </c>
      <c r="K123" s="117"/>
      <c r="L123" s="149"/>
      <c r="M123" s="117"/>
      <c r="N123" s="116"/>
      <c r="O123" s="148" cm="1">
        <f t="array" ref="O123">IFERROR(IF(I123&gt;0,I123*G123,J123/SUMPRODUCT(('[1]Коэфы брендирование'!$D$2:$D$993=TEMPLATE!$E123)*'[1]Коэфы брендирование'!$F$2:$F$993)),0)</f>
        <v>0</v>
      </c>
    </row>
    <row r="124" spans="3:15" ht="20.25" customHeight="1" x14ac:dyDescent="0.25">
      <c r="C124" s="124"/>
      <c r="D124" s="135" t="s">
        <v>45</v>
      </c>
      <c r="E124" s="134"/>
      <c r="F124" s="133"/>
      <c r="G124" s="132"/>
      <c r="H124" s="131"/>
      <c r="I124" s="128"/>
      <c r="J124" s="143">
        <f>SUM(J125)</f>
        <v>0</v>
      </c>
      <c r="K124" s="128"/>
      <c r="L124" s="128"/>
      <c r="M124" s="128"/>
      <c r="N124" s="127"/>
      <c r="O124" s="147" cm="1">
        <f t="array" ref="O124">IFERROR(IF(I125&lt;&gt;"",I125*G125,J125/SUMPRODUCT(('[1]Коэфы брендирование'!$G$2:$G$996=TEMPLATE!$E125)*'[1]Коэфы брендирование'!$I$2:$I$996)),"-")</f>
        <v>0</v>
      </c>
    </row>
    <row r="125" spans="3:15" ht="20.25" customHeight="1" outlineLevel="1" x14ac:dyDescent="0.25">
      <c r="C125" s="124"/>
      <c r="D125" s="146" t="s">
        <v>45</v>
      </c>
      <c r="E125" s="145" t="s">
        <v>46</v>
      </c>
      <c r="F125" s="141"/>
      <c r="G125" s="120"/>
      <c r="H125" s="140"/>
      <c r="I125" s="138"/>
      <c r="J125" s="139" cm="1">
        <f t="array" ref="J125">IF(H125&gt;0,H125*G125,G125*SUMPRODUCT(('[1]Коэфы брендирование'!$G$2:$G$2=TEMPLATE!E125)*'[1]Коэфы брендирование'!$H$2:$H$2)*$E$26)</f>
        <v>0</v>
      </c>
      <c r="K125" s="138"/>
      <c r="L125" s="137"/>
      <c r="M125" s="117"/>
      <c r="N125" s="116"/>
      <c r="O125" s="144" cm="1">
        <f t="array" ref="O125">IFERROR(IF(I125&gt;0,I125*G125,J125/SUMPRODUCT(('[1]Коэфы брендирование'!$G$2:$G$996=TEMPLATE!$E125)*'[1]Коэфы брендирование'!$I$2:$I$996)),"-")</f>
        <v>0</v>
      </c>
    </row>
    <row r="126" spans="3:15" ht="20.25" customHeight="1" x14ac:dyDescent="0.25">
      <c r="C126" s="124"/>
      <c r="D126" s="135" t="s">
        <v>47</v>
      </c>
      <c r="E126" s="134"/>
      <c r="F126" s="133"/>
      <c r="G126" s="132"/>
      <c r="H126" s="131"/>
      <c r="I126" s="128"/>
      <c r="J126" s="143">
        <f>SUM(J127)</f>
        <v>0</v>
      </c>
      <c r="K126" s="128"/>
      <c r="L126" s="128"/>
      <c r="M126" s="128"/>
      <c r="N126" s="127"/>
      <c r="O126" s="126" cm="1">
        <f t="array" ref="O126">IFERROR(IF(I127&lt;&gt;"",I127*G127,J127/SUMPRODUCT(('[1]Коэфы брендирование'!$J$2:$J$996=TEMPLATE!$E127)*'[1]Коэфы брендирование'!$L$2:$L$996)),"-")</f>
        <v>0</v>
      </c>
    </row>
    <row r="127" spans="3:15" ht="20.25" customHeight="1" outlineLevel="1" x14ac:dyDescent="0.25">
      <c r="C127" s="124"/>
      <c r="D127" s="66" t="s">
        <v>47</v>
      </c>
      <c r="E127" s="142" t="s">
        <v>48</v>
      </c>
      <c r="F127" s="141"/>
      <c r="G127" s="120"/>
      <c r="H127" s="140"/>
      <c r="I127" s="138"/>
      <c r="J127" s="139" cm="1">
        <f t="array" ref="J127">IF(H127&gt;0,H127*G127,G127*SUMPRODUCT(('[1]Коэфы брендирование'!$J$2:$J$2=TEMPLATE!E127)*'[1]Коэфы брендирование'!$K$2:$K$2)*$E$26)</f>
        <v>0</v>
      </c>
      <c r="K127" s="138"/>
      <c r="L127" s="137"/>
      <c r="M127" s="117"/>
      <c r="N127" s="116"/>
      <c r="O127" s="115" cm="1">
        <f t="array" ref="O127">IFERROR(IF(I127&gt;0,I127*G127,J127/SUMPRODUCT(('[1]Коэфы брендирование'!$J$2:$J$996=TEMPLATE!$E127)*'[1]Коэфы брендирование'!$L$2:$L$996)),"-")</f>
        <v>0</v>
      </c>
    </row>
    <row r="128" spans="3:15" ht="20.25" customHeight="1" x14ac:dyDescent="0.25">
      <c r="C128" s="124"/>
      <c r="D128" s="135" t="s">
        <v>49</v>
      </c>
      <c r="E128" s="134"/>
      <c r="F128" s="133"/>
      <c r="G128" s="132"/>
      <c r="H128" s="131"/>
      <c r="I128" s="128"/>
      <c r="J128" s="143">
        <f>SUM(J129:J129)</f>
        <v>0</v>
      </c>
      <c r="K128" s="128"/>
      <c r="L128" s="128"/>
      <c r="M128" s="128"/>
      <c r="N128" s="127"/>
      <c r="O128" s="126">
        <f>IF(IF(COUNTIF($O$129:$O$129,"&gt;0")&gt;1,(1-(1-($O$129/$E$26))*(1-(#REF!/$E$26))*(1-(#REF!/$E$26)))*$E$26,SUM($O$129:$O$129))&gt;$E$26,E26,IF(COUNTIF($O$129:$O$129,"&gt;0")&gt;1,(1-(1-($O$129/$E$26))*(1-(#REF!/$E$26))*(1-(#REF!/$E$26)))*$E$26,SUM($O$129:$O$129)))</f>
        <v>0</v>
      </c>
    </row>
    <row r="129" spans="2:16" ht="28.7" customHeight="1" outlineLevel="1" x14ac:dyDescent="0.25">
      <c r="C129" s="124"/>
      <c r="D129" s="68" t="s">
        <v>49</v>
      </c>
      <c r="E129" s="142" t="s">
        <v>50</v>
      </c>
      <c r="F129" s="141"/>
      <c r="G129" s="120"/>
      <c r="H129" s="140"/>
      <c r="I129" s="138"/>
      <c r="J129" s="139" cm="1">
        <f t="array" ref="J129">IF(H129&gt;0,H129*G129,G129*SUMPRODUCT(('[1]Коэфы брендирование'!$M$2:$M$4=TEMPLATE!E129)*'[1]Коэфы брендирование'!$N$2:$N$4)*$E$26)</f>
        <v>0</v>
      </c>
      <c r="K129" s="138"/>
      <c r="L129" s="137"/>
      <c r="M129" s="117"/>
      <c r="N129" s="116"/>
      <c r="O129" s="115" cm="1">
        <f t="array" ref="O129">IFERROR(IF(I129&gt;0,I129*G129,J129/SUMPRODUCT(('[1]Коэфы брендирование'!$M$2:$M$996=TEMPLATE!$E129)*'[1]Коэфы брендирование'!$O$2:$O$996)),"-")</f>
        <v>0</v>
      </c>
    </row>
    <row r="130" spans="2:16" ht="42" customHeight="1" x14ac:dyDescent="0.25">
      <c r="B130" s="55">
        <v>6</v>
      </c>
      <c r="C130" s="136" t="s">
        <v>343</v>
      </c>
      <c r="D130" s="135" t="s">
        <v>51</v>
      </c>
      <c r="E130" s="134"/>
      <c r="F130" s="133"/>
      <c r="G130" s="132"/>
      <c r="H130" s="131"/>
      <c r="I130" s="128"/>
      <c r="J130" s="130">
        <f>SUM(J131:J133)</f>
        <v>0</v>
      </c>
      <c r="K130" s="129" t="s">
        <v>342</v>
      </c>
      <c r="L130" s="129" t="s">
        <v>341</v>
      </c>
      <c r="M130" s="128"/>
      <c r="N130" s="127"/>
      <c r="O130" s="126" t="e">
        <f>IF(J130&gt;0,J130/1.5,(1-(1-(O131/$E$21*0.5))*(1-(O132/$E$21*0.5))*(1-(O133/$E$21*0.5)))*$E$21)</f>
        <v>#N/A</v>
      </c>
      <c r="P130" s="125"/>
    </row>
    <row r="131" spans="2:16" ht="22.7" customHeight="1" outlineLevel="1" x14ac:dyDescent="0.25">
      <c r="C131" s="124"/>
      <c r="D131" s="68" t="s">
        <v>51</v>
      </c>
      <c r="E131" s="122" t="s">
        <v>52</v>
      </c>
      <c r="F131" s="121"/>
      <c r="G131" s="120"/>
      <c r="H131" s="118"/>
      <c r="I131" s="117"/>
      <c r="J131" s="119" cm="1">
        <f t="array" ref="J131">IF(H131&gt;0,H131*G131,IF(K131&lt;&gt;"",K131*G131,G131*SUMPRODUCT(([1]Списки!$S$2:$S$17=TEMPLATE!L131)*[1]Списки!$T$2:$T$17)/1000))</f>
        <v>0</v>
      </c>
      <c r="K131" s="118"/>
      <c r="L131" s="117"/>
      <c r="M131" s="117"/>
      <c r="N131" s="116"/>
      <c r="O131" s="115" cm="1">
        <f t="array" ref="O131">IFERROR(IF(I131&gt;0,I131*G131,J131/SUMPRODUCT(('[1]Коэфы брендирование'!$S$2:$S$996=TEMPLATE!$E131)*'[1]Коэфы брендирование'!$U$2:$U$996)),"-")</f>
        <v>0</v>
      </c>
    </row>
    <row r="132" spans="2:16" ht="23.45" customHeight="1" outlineLevel="1" x14ac:dyDescent="0.25">
      <c r="C132" s="124"/>
      <c r="D132" s="68" t="s">
        <v>51</v>
      </c>
      <c r="E132" s="122" t="s">
        <v>53</v>
      </c>
      <c r="F132" s="121"/>
      <c r="G132" s="120"/>
      <c r="H132" s="118"/>
      <c r="I132" s="117"/>
      <c r="J132" s="119" cm="1">
        <f t="array" ref="J132">IF(H132&gt;0,H132*G132,IF(K132&lt;&gt;"",K132*G132,G132*SUMPRODUCT(([1]Списки!$S$2:$S$17=TEMPLATE!L132)*[1]Списки!$T$2:$T$17)/1000))</f>
        <v>0</v>
      </c>
      <c r="K132" s="118"/>
      <c r="L132" s="117"/>
      <c r="M132" s="117"/>
      <c r="N132" s="116"/>
      <c r="O132" s="115" cm="1">
        <f t="array" ref="O132">IFERROR(IF(I132&gt;0,I132*G132,J132/SUMPRODUCT(('[1]Коэфы брендирование'!$S$2:$S$996=TEMPLATE!$E132)*'[1]Коэфы брендирование'!$U$2:$U$996)),"-")</f>
        <v>0</v>
      </c>
    </row>
    <row r="133" spans="2:16" ht="21" customHeight="1" outlineLevel="1" x14ac:dyDescent="0.25">
      <c r="C133" s="123"/>
      <c r="D133" s="68" t="s">
        <v>51</v>
      </c>
      <c r="E133" s="122" t="s">
        <v>54</v>
      </c>
      <c r="F133" s="121"/>
      <c r="G133" s="120"/>
      <c r="H133" s="118"/>
      <c r="I133" s="117"/>
      <c r="J133" s="119" cm="1">
        <f t="array" ref="J133">IF(H133&gt;0,H133*G133,IF(K133&lt;&gt;"",K133*G133,G133*SUMPRODUCT(([1]Списки!$S$2:$S$17=TEMPLATE!L133)*[1]Списки!$T$2:$T$17)/1000))</f>
        <v>0</v>
      </c>
      <c r="K133" s="118"/>
      <c r="L133" s="117"/>
      <c r="M133" s="117"/>
      <c r="N133" s="116"/>
      <c r="O133" s="115" cm="1">
        <f t="array" ref="O133">IFERROR(IF(I133&gt;0,I133*G133,J133/SUMPRODUCT(('[1]Коэфы брендирование'!$S$2:$S$996=TEMPLATE!$E133)*'[1]Коэфы брендирование'!$U$2:$U$996)),"-")</f>
        <v>0</v>
      </c>
    </row>
    <row r="134" spans="2:16" s="102" customFormat="1" ht="29.25" customHeight="1" x14ac:dyDescent="0.25">
      <c r="B134" s="114"/>
      <c r="C134" s="113" t="s">
        <v>340</v>
      </c>
      <c r="D134" s="112"/>
      <c r="E134" s="111"/>
      <c r="F134" s="110"/>
      <c r="G134" s="109"/>
      <c r="H134" s="108"/>
      <c r="I134" s="107"/>
      <c r="J134" s="106">
        <f ca="1">SUM(J28,J31,J40,J61,J67,J70,J79,J86,J93,J98,J101,J124,J126,J128,J130)</f>
        <v>0</v>
      </c>
      <c r="K134" s="105"/>
      <c r="L134" s="105"/>
      <c r="M134" s="105"/>
      <c r="N134" s="104"/>
      <c r="O134" s="103" t="e">
        <f ca="1">(1-(1-(O28/E21*0.5))*(1-(O31/E21*0.5))*(1-(O40/E21*0.5))*(1-(O61/E21*0.5))*(1-(O67/E21*0.5))*(1-(O70/E21*0.5))*(1-(O79/E21*0.5))*(1-(O86/E21*0.5))*(1-(O93/E21*0.5))*(1-(O98/E21*0.5))*(1-(O101/E21*0.5))*(1-(O124/E21*0.5))*(1-(O126/E21*0.5))*(1-(O128/E21*0.5))*(1-(O130/E21*0.5)))*E21</f>
        <v>#N/A</v>
      </c>
    </row>
    <row r="135" spans="2:16" ht="13.35" customHeight="1" x14ac:dyDescent="0.25">
      <c r="C135" s="101" t="s">
        <v>339</v>
      </c>
      <c r="D135" s="100"/>
      <c r="E135" s="66" t="s">
        <v>338</v>
      </c>
      <c r="F135" s="76"/>
      <c r="G135" s="66"/>
      <c r="H135" s="99">
        <f>E26</f>
        <v>0</v>
      </c>
      <c r="I135" s="99"/>
      <c r="J135" s="99"/>
      <c r="K135" s="99"/>
      <c r="L135" s="78"/>
      <c r="M135" s="77"/>
      <c r="N135" s="77"/>
      <c r="O135" s="65"/>
    </row>
    <row r="136" spans="2:16" ht="20.25" customHeight="1" x14ac:dyDescent="0.25">
      <c r="C136" s="95"/>
      <c r="D136" s="97"/>
      <c r="E136" s="68" t="s">
        <v>337</v>
      </c>
      <c r="F136" s="69"/>
      <c r="G136" s="68"/>
      <c r="H136" s="96"/>
      <c r="I136" s="96"/>
      <c r="J136" s="96"/>
      <c r="K136" s="96"/>
      <c r="L136" s="78"/>
      <c r="M136" s="77"/>
      <c r="N136" s="77"/>
      <c r="O136" s="65"/>
    </row>
    <row r="137" spans="2:16" ht="20.25" customHeight="1" x14ac:dyDescent="0.25">
      <c r="C137" s="95"/>
      <c r="D137" s="97"/>
      <c r="E137" s="68" t="s">
        <v>336</v>
      </c>
      <c r="F137" s="69"/>
      <c r="G137" s="68"/>
      <c r="H137" s="98"/>
      <c r="I137" s="98"/>
      <c r="J137" s="98"/>
      <c r="K137" s="98"/>
      <c r="L137" s="78"/>
      <c r="M137" s="77"/>
      <c r="N137" s="77"/>
      <c r="O137" s="65"/>
    </row>
    <row r="138" spans="2:16" ht="20.25" customHeight="1" x14ac:dyDescent="0.25">
      <c r="C138" s="95"/>
      <c r="D138" s="97"/>
      <c r="E138" s="68" t="s">
        <v>335</v>
      </c>
      <c r="F138" s="69"/>
      <c r="G138" s="68"/>
      <c r="H138" s="96"/>
      <c r="I138" s="96"/>
      <c r="J138" s="96"/>
      <c r="K138" s="96"/>
      <c r="L138" s="78"/>
      <c r="M138" s="77"/>
      <c r="N138" s="77"/>
      <c r="O138" s="65"/>
    </row>
    <row r="139" spans="2:16" ht="20.25" customHeight="1" x14ac:dyDescent="0.25">
      <c r="C139" s="95"/>
      <c r="D139" s="94"/>
      <c r="E139" s="68" t="s">
        <v>334</v>
      </c>
      <c r="F139" s="69"/>
      <c r="G139" s="68"/>
      <c r="H139" s="93"/>
      <c r="I139" s="92"/>
      <c r="J139" s="92"/>
      <c r="K139" s="91"/>
      <c r="L139" s="78"/>
      <c r="M139" s="77"/>
      <c r="N139" s="77"/>
      <c r="O139" s="65"/>
    </row>
    <row r="140" spans="2:16" ht="20.25" customHeight="1" x14ac:dyDescent="0.25">
      <c r="C140" s="90" t="s">
        <v>333</v>
      </c>
      <c r="D140" s="89"/>
      <c r="E140" s="88" t="s">
        <v>332</v>
      </c>
      <c r="F140" s="69"/>
      <c r="G140" s="68"/>
      <c r="H140" s="87"/>
      <c r="I140" s="87"/>
      <c r="J140" s="87"/>
      <c r="K140" s="87"/>
      <c r="L140" s="78"/>
      <c r="M140" s="77"/>
      <c r="N140" s="77"/>
      <c r="O140" s="65"/>
    </row>
    <row r="141" spans="2:16" ht="44.45" customHeight="1" x14ac:dyDescent="0.25">
      <c r="C141" s="75"/>
      <c r="D141" s="74"/>
      <c r="E141" s="85" t="s">
        <v>331</v>
      </c>
      <c r="F141" s="76"/>
      <c r="G141" s="66"/>
      <c r="H141" s="86"/>
      <c r="I141" s="86"/>
      <c r="J141" s="86"/>
      <c r="K141" s="86"/>
      <c r="L141" s="78"/>
      <c r="M141" s="77"/>
      <c r="N141" s="77"/>
      <c r="O141" s="65"/>
    </row>
    <row r="142" spans="2:16" ht="44.45" customHeight="1" x14ac:dyDescent="0.25">
      <c r="C142" s="71"/>
      <c r="D142" s="70"/>
      <c r="E142" s="85" t="s">
        <v>330</v>
      </c>
      <c r="F142" s="76"/>
      <c r="G142" s="66"/>
      <c r="H142" s="84">
        <f>SUM(H140:K141)</f>
        <v>0</v>
      </c>
      <c r="I142" s="83"/>
      <c r="J142" s="83"/>
      <c r="K142" s="82"/>
      <c r="L142" s="78"/>
      <c r="M142" s="77"/>
      <c r="N142" s="77"/>
      <c r="O142" s="65"/>
    </row>
    <row r="143" spans="2:16" ht="44.45" customHeight="1" x14ac:dyDescent="0.25">
      <c r="C143" s="75" t="s">
        <v>329</v>
      </c>
      <c r="D143" s="74"/>
      <c r="E143" s="66" t="s">
        <v>328</v>
      </c>
      <c r="F143" s="76"/>
      <c r="G143" s="66"/>
      <c r="H143" s="81" t="str">
        <f>IFERROR(SUM(H140:K141)/H139,"")</f>
        <v/>
      </c>
      <c r="I143" s="80"/>
      <c r="J143" s="80"/>
      <c r="K143" s="79"/>
      <c r="L143" s="78"/>
      <c r="M143" s="77"/>
      <c r="N143" s="77"/>
      <c r="O143" s="65"/>
    </row>
    <row r="144" spans="2:16" ht="20.25" customHeight="1" x14ac:dyDescent="0.25">
      <c r="C144" s="75"/>
      <c r="D144" s="74"/>
      <c r="E144" s="66" t="s">
        <v>327</v>
      </c>
      <c r="F144" s="76"/>
      <c r="G144" s="66"/>
      <c r="H144" s="73" t="e">
        <f ca="1">SUM(H140:K141)/(J134*1000)</f>
        <v>#DIV/0!</v>
      </c>
      <c r="I144" s="73"/>
      <c r="J144" s="73"/>
      <c r="K144" s="73"/>
      <c r="L144" s="66"/>
      <c r="M144" s="66"/>
      <c r="N144" s="66"/>
      <c r="O144" s="65"/>
    </row>
    <row r="145" spans="3:15" ht="20.25" customHeight="1" x14ac:dyDescent="0.25">
      <c r="C145" s="75"/>
      <c r="D145" s="74"/>
      <c r="E145" s="68" t="s">
        <v>326</v>
      </c>
      <c r="F145" s="69"/>
      <c r="G145" s="68"/>
      <c r="H145" s="73" t="e">
        <f ca="1">SUM(H140:K141)/(O134*1000)</f>
        <v>#N/A</v>
      </c>
      <c r="I145" s="73"/>
      <c r="J145" s="73"/>
      <c r="K145" s="73"/>
      <c r="L145" s="72"/>
      <c r="M145" s="66"/>
      <c r="N145" s="66"/>
      <c r="O145" s="65"/>
    </row>
    <row r="146" spans="3:15" ht="20.25" customHeight="1" x14ac:dyDescent="0.25">
      <c r="C146" s="71"/>
      <c r="D146" s="70"/>
      <c r="E146" s="68" t="s">
        <v>325</v>
      </c>
      <c r="F146" s="69"/>
      <c r="G146" s="68"/>
      <c r="H146" s="67" t="e">
        <f>SUM(H140:K141)/(H135*1000)</f>
        <v>#DIV/0!</v>
      </c>
      <c r="I146" s="67"/>
      <c r="J146" s="67"/>
      <c r="K146" s="67"/>
      <c r="L146" s="66"/>
      <c r="M146" s="66"/>
      <c r="N146" s="66"/>
      <c r="O146" s="65"/>
    </row>
    <row r="147" spans="3:15" x14ac:dyDescent="0.25">
      <c r="C147" s="64"/>
      <c r="D147" s="58"/>
      <c r="E147" s="56"/>
      <c r="F147" s="57"/>
      <c r="G147" s="56"/>
      <c r="H147" s="58"/>
      <c r="I147" s="58"/>
      <c r="J147" s="58"/>
      <c r="K147" s="58"/>
      <c r="L147" s="58"/>
      <c r="M147" s="58"/>
      <c r="N147" s="58"/>
    </row>
    <row r="148" spans="3:15" x14ac:dyDescent="0.25">
      <c r="C148" s="64"/>
      <c r="E148" s="62"/>
      <c r="F148" s="63"/>
      <c r="G148" s="62"/>
      <c r="H148" s="56"/>
      <c r="I148" s="56"/>
      <c r="J148" s="56"/>
      <c r="K148" s="56"/>
      <c r="L148" s="56"/>
      <c r="M148" s="56"/>
      <c r="N148" s="56"/>
    </row>
    <row r="149" spans="3:15" x14ac:dyDescent="0.25">
      <c r="C149" s="64"/>
      <c r="D149" s="58"/>
      <c r="E149" s="56"/>
      <c r="F149" s="57"/>
      <c r="G149" s="56"/>
      <c r="H149" s="56"/>
      <c r="I149" s="56"/>
      <c r="J149" s="56"/>
      <c r="K149" s="56"/>
      <c r="L149" s="56"/>
      <c r="M149" s="56"/>
      <c r="N149" s="56"/>
    </row>
    <row r="150" spans="3:15" x14ac:dyDescent="0.25">
      <c r="C150" s="64"/>
      <c r="D150" s="58"/>
      <c r="E150" s="56"/>
      <c r="F150" s="57"/>
      <c r="G150" s="56"/>
      <c r="H150" s="56"/>
      <c r="I150" s="56"/>
      <c r="J150" s="56"/>
      <c r="K150" s="56"/>
      <c r="L150" s="56"/>
      <c r="M150" s="56"/>
      <c r="N150" s="56"/>
    </row>
    <row r="151" spans="3:15" x14ac:dyDescent="0.25">
      <c r="C151" s="64"/>
      <c r="D151" s="58"/>
      <c r="E151" s="56"/>
      <c r="F151" s="57"/>
      <c r="G151" s="56"/>
      <c r="H151" s="58"/>
      <c r="I151" s="58"/>
      <c r="J151" s="58"/>
      <c r="K151" s="58"/>
      <c r="L151" s="58"/>
      <c r="M151" s="58"/>
      <c r="N151" s="58"/>
    </row>
    <row r="152" spans="3:15" x14ac:dyDescent="0.25">
      <c r="C152" s="61"/>
      <c r="D152" s="58"/>
      <c r="E152" s="56"/>
      <c r="F152" s="57"/>
      <c r="G152" s="56"/>
      <c r="H152" s="56"/>
      <c r="I152" s="56"/>
      <c r="J152" s="56"/>
      <c r="K152" s="56"/>
      <c r="L152" s="56"/>
      <c r="M152" s="56"/>
      <c r="N152" s="56"/>
    </row>
    <row r="153" spans="3:15" x14ac:dyDescent="0.25">
      <c r="C153" s="61"/>
      <c r="D153" s="58"/>
      <c r="E153" s="56"/>
      <c r="F153" s="57"/>
      <c r="G153" s="56"/>
      <c r="H153" s="56"/>
      <c r="I153" s="56"/>
      <c r="J153" s="56"/>
      <c r="K153" s="56"/>
      <c r="L153" s="56"/>
      <c r="M153" s="56"/>
      <c r="N153" s="56"/>
    </row>
    <row r="154" spans="3:15" x14ac:dyDescent="0.25">
      <c r="C154" s="61"/>
      <c r="D154" s="58"/>
      <c r="E154" s="56"/>
      <c r="F154" s="57"/>
      <c r="G154" s="56"/>
      <c r="H154" s="56"/>
      <c r="I154" s="56"/>
      <c r="J154" s="56"/>
      <c r="K154" s="56"/>
      <c r="L154" s="56"/>
      <c r="M154" s="56"/>
      <c r="N154" s="56"/>
    </row>
    <row r="155" spans="3:15" x14ac:dyDescent="0.25">
      <c r="C155" s="61"/>
      <c r="D155" s="58"/>
      <c r="E155" s="62"/>
      <c r="F155" s="63"/>
      <c r="G155" s="62"/>
      <c r="H155" s="58"/>
      <c r="I155" s="58"/>
      <c r="J155" s="58"/>
      <c r="K155" s="58"/>
      <c r="L155" s="58"/>
      <c r="M155" s="58"/>
      <c r="N155" s="58"/>
    </row>
    <row r="156" spans="3:15" x14ac:dyDescent="0.25">
      <c r="C156" s="61"/>
      <c r="D156" s="58"/>
      <c r="E156" s="62"/>
      <c r="F156" s="63"/>
      <c r="G156" s="62"/>
      <c r="H156" s="58"/>
      <c r="I156" s="58"/>
      <c r="J156" s="58"/>
      <c r="K156" s="58"/>
      <c r="L156" s="58"/>
      <c r="M156" s="58"/>
      <c r="N156" s="58"/>
    </row>
    <row r="157" spans="3:15" x14ac:dyDescent="0.25">
      <c r="C157" s="61"/>
      <c r="D157" s="58"/>
      <c r="E157" s="56"/>
      <c r="F157" s="57"/>
      <c r="G157" s="56"/>
      <c r="H157" s="56"/>
      <c r="I157" s="56"/>
      <c r="J157" s="56"/>
      <c r="K157" s="56"/>
      <c r="L157" s="56"/>
      <c r="M157" s="56"/>
      <c r="N157" s="56"/>
    </row>
    <row r="158" spans="3:15" x14ac:dyDescent="0.25">
      <c r="C158" s="60"/>
      <c r="D158" s="58"/>
      <c r="E158" s="56"/>
      <c r="F158" s="57"/>
      <c r="G158" s="56"/>
      <c r="H158" s="56"/>
      <c r="I158" s="56"/>
      <c r="J158" s="56"/>
      <c r="K158" s="56"/>
      <c r="L158" s="56"/>
      <c r="M158" s="56"/>
      <c r="N158" s="56"/>
    </row>
    <row r="159" spans="3:15" x14ac:dyDescent="0.25">
      <c r="C159" s="56"/>
      <c r="D159" s="58"/>
      <c r="E159" s="56"/>
      <c r="F159" s="57"/>
      <c r="G159" s="56"/>
      <c r="H159" s="56"/>
      <c r="I159" s="56"/>
      <c r="J159" s="56"/>
      <c r="K159" s="56"/>
      <c r="L159" s="56"/>
      <c r="M159" s="56"/>
      <c r="N159" s="56"/>
    </row>
    <row r="160" spans="3:15" x14ac:dyDescent="0.25">
      <c r="C160" s="58"/>
      <c r="E160" s="58"/>
      <c r="F160" s="59"/>
      <c r="G160" s="58"/>
      <c r="H160" s="58"/>
      <c r="I160" s="58"/>
      <c r="J160" s="58"/>
      <c r="K160" s="58"/>
      <c r="L160" s="58"/>
      <c r="M160" s="58"/>
      <c r="N160" s="58"/>
    </row>
    <row r="161" spans="3:14" x14ac:dyDescent="0.25">
      <c r="C161" s="56"/>
      <c r="D161" s="58"/>
      <c r="E161" s="56"/>
      <c r="F161" s="57"/>
      <c r="G161" s="56"/>
      <c r="H161" s="56"/>
      <c r="I161" s="56"/>
      <c r="J161" s="56"/>
      <c r="K161" s="56"/>
      <c r="L161" s="56"/>
      <c r="M161" s="56"/>
      <c r="N161" s="56"/>
    </row>
    <row r="162" spans="3:14" x14ac:dyDescent="0.25">
      <c r="C162" s="56"/>
      <c r="D162" s="58"/>
      <c r="E162" s="56"/>
      <c r="F162" s="57"/>
      <c r="G162" s="56"/>
      <c r="H162" s="56"/>
      <c r="I162" s="56"/>
      <c r="J162" s="56"/>
      <c r="K162" s="56"/>
      <c r="L162" s="56"/>
      <c r="M162" s="56"/>
      <c r="N162" s="56"/>
    </row>
    <row r="163" spans="3:14" x14ac:dyDescent="0.25">
      <c r="C163" s="56"/>
      <c r="D163" s="58"/>
      <c r="E163" s="56"/>
      <c r="F163" s="57"/>
      <c r="G163" s="56"/>
      <c r="H163" s="56"/>
      <c r="I163" s="56"/>
      <c r="J163" s="56"/>
      <c r="K163" s="56"/>
      <c r="L163" s="56"/>
      <c r="M163" s="56"/>
      <c r="N163" s="56"/>
    </row>
    <row r="164" spans="3:14" x14ac:dyDescent="0.25">
      <c r="C164" s="58"/>
      <c r="E164" s="58"/>
      <c r="F164" s="59"/>
      <c r="G164" s="58"/>
      <c r="H164" s="58"/>
      <c r="I164" s="58"/>
      <c r="J164" s="58"/>
      <c r="K164" s="58"/>
      <c r="L164" s="58"/>
      <c r="M164" s="58"/>
      <c r="N164" s="58"/>
    </row>
    <row r="165" spans="3:14" x14ac:dyDescent="0.25">
      <c r="C165" s="56"/>
      <c r="D165" s="58"/>
      <c r="E165" s="56"/>
      <c r="F165" s="57"/>
      <c r="G165" s="56"/>
      <c r="H165" s="56"/>
      <c r="I165" s="56"/>
      <c r="J165" s="56"/>
      <c r="K165" s="56"/>
      <c r="L165" s="56"/>
      <c r="M165" s="56"/>
      <c r="N165" s="56"/>
    </row>
    <row r="166" spans="3:14" x14ac:dyDescent="0.25">
      <c r="C166" s="56"/>
      <c r="D166" s="58"/>
      <c r="E166" s="56"/>
      <c r="F166" s="57"/>
      <c r="G166" s="56"/>
      <c r="H166" s="56"/>
      <c r="I166" s="56"/>
      <c r="J166" s="56"/>
      <c r="K166" s="56"/>
      <c r="L166" s="56"/>
      <c r="M166" s="56"/>
      <c r="N166" s="56"/>
    </row>
    <row r="167" spans="3:14" x14ac:dyDescent="0.25">
      <c r="C167" s="56"/>
      <c r="D167" s="58"/>
      <c r="E167" s="56"/>
      <c r="F167" s="57"/>
      <c r="G167" s="56"/>
      <c r="H167" s="56"/>
      <c r="I167" s="56"/>
      <c r="J167" s="56"/>
      <c r="K167" s="56"/>
      <c r="L167" s="56"/>
      <c r="M167" s="56"/>
      <c r="N167" s="56"/>
    </row>
  </sheetData>
  <sheetProtection formatCells="0" formatColumns="0" formatRows="0"/>
  <mergeCells count="20">
    <mergeCell ref="H135:K135"/>
    <mergeCell ref="H136:K136"/>
    <mergeCell ref="M27:N27"/>
    <mergeCell ref="C28:C92"/>
    <mergeCell ref="K27:L27"/>
    <mergeCell ref="C93:C129"/>
    <mergeCell ref="C130:C133"/>
    <mergeCell ref="H138:K138"/>
    <mergeCell ref="D135:D139"/>
    <mergeCell ref="C135:C139"/>
    <mergeCell ref="H139:K139"/>
    <mergeCell ref="H137:K137"/>
    <mergeCell ref="C152:C157"/>
    <mergeCell ref="H140:K140"/>
    <mergeCell ref="H141:K141"/>
    <mergeCell ref="H146:K146"/>
    <mergeCell ref="H144:K144"/>
    <mergeCell ref="H145:K145"/>
    <mergeCell ref="H143:K143"/>
    <mergeCell ref="H142:K142"/>
  </mergeCells>
  <dataValidations count="1">
    <dataValidation type="list" allowBlank="1" showInputMessage="1" showErrorMessage="1" sqref="E41:E44 E46:E60" xr:uid="{1651E30E-CF6E-4C74-A444-EEB311587E7F}">
      <formula1>Indoor</formula1>
    </dataValidation>
  </dataValidations>
  <hyperlinks>
    <hyperlink ref="L29" location="'ТВ Каналы'!A1" display="каналы из списка" xr:uid="{CD212A78-C1D5-444D-99E4-329D70AFB65D}"/>
    <hyperlink ref="L30" location="'ТВ Каналы'!A1" display="каналы из списка" xr:uid="{E65660A9-8084-4D4A-BC0C-8E6BCE1AFA32}"/>
    <hyperlink ref="L68" location="Радиостанции!A1" display="Радиостанции из списка" xr:uid="{F1E50E86-BF91-47D6-9F67-1093B3BA43B1}"/>
    <hyperlink ref="L69" location="Радиостанции!A1" display="Радиостанции из списка" xr:uid="{EC8B0EFC-CD55-421A-BE3B-2047BCF1D62D}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0]!ShowUFO">
                <anchor moveWithCells="1" sizeWithCells="1">
                  <from>
                    <xdr:col>4</xdr:col>
                    <xdr:colOff>9525</xdr:colOff>
                    <xdr:row>15</xdr:row>
                    <xdr:rowOff>47625</xdr:rowOff>
                  </from>
                  <to>
                    <xdr:col>4</xdr:col>
                    <xdr:colOff>2552700</xdr:colOff>
                    <xdr:row>16</xdr:row>
                    <xdr:rowOff>266700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2C73B-6D7C-40F0-8480-A976A83B8669}">
  <sheetPr codeName="Лист7">
    <tabColor rgb="FF92D050"/>
  </sheetPr>
  <dimension ref="A1:M995"/>
  <sheetViews>
    <sheetView zoomScale="125" workbookViewId="0"/>
  </sheetViews>
  <sheetFormatPr defaultColWidth="8.85546875" defaultRowHeight="15" x14ac:dyDescent="0.25"/>
  <cols>
    <col min="1" max="2" width="16.140625" style="25" customWidth="1"/>
    <col min="3" max="3" width="30.5703125" style="25" hidden="1" customWidth="1"/>
    <col min="4" max="4" width="18.85546875" style="25" customWidth="1"/>
    <col min="5" max="5" width="12.42578125" style="25" customWidth="1"/>
    <col min="6" max="6" width="10.85546875" style="27" bestFit="1" customWidth="1"/>
  </cols>
  <sheetData>
    <row r="1" spans="1:13" x14ac:dyDescent="0.25">
      <c r="A1" s="26" t="s">
        <v>69</v>
      </c>
      <c r="B1" s="26" t="s">
        <v>70</v>
      </c>
      <c r="C1" s="26" t="s">
        <v>71</v>
      </c>
      <c r="D1" s="26" t="s">
        <v>72</v>
      </c>
      <c r="E1" s="26" t="s">
        <v>73</v>
      </c>
      <c r="F1" s="26" t="s">
        <v>74</v>
      </c>
      <c r="M1" t="s">
        <v>75</v>
      </c>
    </row>
    <row r="2" spans="1:13" x14ac:dyDescent="0.25">
      <c r="A2" s="25" t="s">
        <v>68</v>
      </c>
      <c r="B2" s="25" t="s">
        <v>4</v>
      </c>
      <c r="C2" s="25" t="str">
        <f>_xlfn.CONCAT(A2,B2)</f>
        <v>МоскваПрямая Реклама</v>
      </c>
      <c r="D2" s="25" t="s">
        <v>76</v>
      </c>
      <c r="F2" s="29" cm="1">
        <f t="array" ref="F2">SUMPRODUCT((ТВ!$A$2:$A$1000='ТВ Каналы'!A2)*(ТВ!$B$2:$B$1000='ТВ Каналы'!D2)*ТВ!$C$2:$C$1000)</f>
        <v>2395</v>
      </c>
    </row>
    <row r="3" spans="1:13" x14ac:dyDescent="0.25">
      <c r="A3" s="25" t="s">
        <v>68</v>
      </c>
      <c r="B3" s="25" t="s">
        <v>4</v>
      </c>
      <c r="C3" s="25" t="str">
        <f t="shared" ref="C3:C7" si="0">_xlfn.CONCAT(A3,B3)</f>
        <v>МоскваПрямая Реклама</v>
      </c>
      <c r="D3" s="25" t="s">
        <v>77</v>
      </c>
      <c r="F3" s="29" cm="1">
        <f t="array" ref="F3">SUMPRODUCT((ТВ!$A$2:$A$1000='ТВ Каналы'!A3)*(ТВ!$B$2:$B$1000='ТВ Каналы'!D3)*ТВ!$C$2:$C$1000)</f>
        <v>33455</v>
      </c>
    </row>
    <row r="4" spans="1:13" x14ac:dyDescent="0.25">
      <c r="A4" s="25" t="s">
        <v>68</v>
      </c>
      <c r="B4" s="25" t="s">
        <v>3</v>
      </c>
      <c r="C4" s="25" t="str">
        <f t="shared" si="0"/>
        <v>МоскваСпонсорство</v>
      </c>
      <c r="D4" s="25" t="s">
        <v>78</v>
      </c>
      <c r="F4" s="29" cm="1">
        <f t="array" ref="F4">SUMPRODUCT((ТВ!$A$2:$A$1000='ТВ Каналы'!A4)*(ТВ!$B$2:$B$1000='ТВ Каналы'!D4)*ТВ!$C$2:$C$1000)</f>
        <v>6309</v>
      </c>
    </row>
    <row r="5" spans="1:13" x14ac:dyDescent="0.25">
      <c r="A5" s="25" t="s">
        <v>68</v>
      </c>
      <c r="B5" s="25" t="s">
        <v>3</v>
      </c>
      <c r="C5" s="25" t="str">
        <f t="shared" si="0"/>
        <v>МоскваСпонсорство</v>
      </c>
      <c r="D5" s="25" t="s">
        <v>79</v>
      </c>
      <c r="F5" s="29" cm="1">
        <f t="array" ref="F5">SUMPRODUCT((ТВ!$A$2:$A$1000='ТВ Каналы'!A5)*(ТВ!$B$2:$B$1000='ТВ Каналы'!D5)*ТВ!$C$2:$C$1000)</f>
        <v>8526</v>
      </c>
    </row>
    <row r="6" spans="1:13" x14ac:dyDescent="0.25">
      <c r="A6" s="25" t="s">
        <v>67</v>
      </c>
      <c r="B6" s="25" t="s">
        <v>3</v>
      </c>
      <c r="C6" s="25" t="str">
        <f t="shared" si="0"/>
        <v>Санкт-ПетербургСпонсорство</v>
      </c>
      <c r="D6" s="25" t="s">
        <v>80</v>
      </c>
      <c r="F6" s="29" cm="1">
        <f t="array" ref="F6">SUMPRODUCT((ТВ!$A$2:$A$1000='ТВ Каналы'!A6)*(ТВ!$B$2:$B$1000='ТВ Каналы'!D6)*ТВ!$C$2:$C$1000)</f>
        <v>9044</v>
      </c>
    </row>
    <row r="7" spans="1:13" x14ac:dyDescent="0.25">
      <c r="A7" s="25" t="s">
        <v>67</v>
      </c>
      <c r="B7" s="25" t="s">
        <v>3</v>
      </c>
      <c r="C7" s="25" t="str">
        <f t="shared" si="0"/>
        <v>Санкт-ПетербургСпонсорство</v>
      </c>
      <c r="D7" s="25" t="s">
        <v>81</v>
      </c>
      <c r="F7" s="29" cm="1">
        <f t="array" ref="F7">SUMPRODUCT((ТВ!$A$2:$A$1000='ТВ Каналы'!A7)*(ТВ!$B$2:$B$1000='ТВ Каналы'!D7)*ТВ!$C$2:$C$1000)</f>
        <v>9146</v>
      </c>
    </row>
    <row r="8" spans="1:13" x14ac:dyDescent="0.25">
      <c r="A8" s="25" t="s">
        <v>67</v>
      </c>
      <c r="B8" s="25" t="s">
        <v>4</v>
      </c>
      <c r="C8" s="25" t="str">
        <f t="shared" ref="C8:C66" si="1">_xlfn.CONCAT(A8,B8)</f>
        <v>Санкт-ПетербургПрямая Реклама</v>
      </c>
      <c r="D8" s="25" t="s">
        <v>80</v>
      </c>
      <c r="F8" s="29" cm="1">
        <f t="array" ref="F8">SUMPRODUCT((ТВ!$A$2:$A$1000='ТВ Каналы'!A8)*(ТВ!$B$2:$B$1000='ТВ Каналы'!D8)*ТВ!$C$2:$C$1000)</f>
        <v>9044</v>
      </c>
    </row>
    <row r="9" spans="1:13" x14ac:dyDescent="0.25">
      <c r="A9" s="25" t="s">
        <v>67</v>
      </c>
      <c r="B9" s="25" t="s">
        <v>4</v>
      </c>
      <c r="C9" s="25" t="str">
        <f t="shared" si="1"/>
        <v>Санкт-ПетербургПрямая Реклама</v>
      </c>
      <c r="D9" s="25" t="s">
        <v>82</v>
      </c>
      <c r="F9" s="29" cm="1">
        <f t="array" ref="F9">SUMPRODUCT((ТВ!$A$2:$A$1000='ТВ Каналы'!A9)*(ТВ!$B$2:$B$1000='ТВ Каналы'!D9)*ТВ!$C$2:$C$1000)</f>
        <v>16314</v>
      </c>
    </row>
    <row r="10" spans="1:13" x14ac:dyDescent="0.25">
      <c r="A10" s="25" t="s">
        <v>61</v>
      </c>
      <c r="B10" s="25" t="s">
        <v>3</v>
      </c>
      <c r="D10" s="25" t="s">
        <v>81</v>
      </c>
      <c r="F10" s="29" cm="1">
        <f t="array" ref="F10">SUMPRODUCT((ТВ!$A$2:$A$1000='ТВ Каналы'!A10)*(ТВ!$B$2:$B$1000='ТВ Каналы'!D10)*ТВ!$C$2:$C$1000)</f>
        <v>1232</v>
      </c>
    </row>
    <row r="11" spans="1:13" x14ac:dyDescent="0.25">
      <c r="A11" s="25" t="s">
        <v>61</v>
      </c>
      <c r="B11" s="25" t="s">
        <v>3</v>
      </c>
      <c r="C11" s="25" t="str">
        <f t="shared" si="1"/>
        <v>КраснодарСпонсорство</v>
      </c>
      <c r="D11" s="25" t="s">
        <v>83</v>
      </c>
      <c r="F11" s="29" cm="1">
        <f t="array" ref="F11">SUMPRODUCT((ТВ!$A$2:$A$1000='ТВ Каналы'!A11)*(ТВ!$B$2:$B$1000='ТВ Каналы'!D11)*ТВ!$C$2:$C$1000)</f>
        <v>7386</v>
      </c>
    </row>
    <row r="12" spans="1:13" x14ac:dyDescent="0.25">
      <c r="A12" s="25" t="s">
        <v>0</v>
      </c>
      <c r="B12" s="25" t="s">
        <v>4</v>
      </c>
      <c r="C12" s="25" t="str">
        <f t="shared" si="1"/>
        <v>ВоронежПрямая Реклама</v>
      </c>
      <c r="D12" s="25" t="s">
        <v>84</v>
      </c>
      <c r="F12" s="29" cm="1">
        <f t="array" ref="F12">SUMPRODUCT((ТВ!$A$2:$A$1000='ТВ Каналы'!A12)*(ТВ!$B$2:$B$1000='ТВ Каналы'!D12)*ТВ!$C$2:$C$1000)</f>
        <v>16491</v>
      </c>
    </row>
    <row r="13" spans="1:13" x14ac:dyDescent="0.25">
      <c r="C13" s="25" t="str">
        <f t="shared" si="1"/>
        <v/>
      </c>
      <c r="F13" s="29" cm="1">
        <f t="array" ref="F13">SUMPRODUCT((ТВ!$A$2:$A$1000='ТВ Каналы'!A13)*(ТВ!$B$2:$B$1000='ТВ Каналы'!D13)*ТВ!$C$2:$C$1000)</f>
        <v>0</v>
      </c>
    </row>
    <row r="14" spans="1:13" x14ac:dyDescent="0.25">
      <c r="C14" s="25" t="str">
        <f t="shared" si="1"/>
        <v/>
      </c>
      <c r="F14" s="29" cm="1">
        <f t="array" ref="F14">SUMPRODUCT((ТВ!$A$2:$A$1000='ТВ Каналы'!A14)*(ТВ!$B$2:$B$1000='ТВ Каналы'!D14)*ТВ!$C$2:$C$1000)</f>
        <v>0</v>
      </c>
    </row>
    <row r="15" spans="1:13" x14ac:dyDescent="0.25">
      <c r="C15" s="25" t="str">
        <f t="shared" si="1"/>
        <v/>
      </c>
      <c r="F15" s="29" cm="1">
        <f t="array" ref="F15">SUMPRODUCT((ТВ!$A$2:$A$1000='ТВ Каналы'!A15)*(ТВ!$B$2:$B$1000='ТВ Каналы'!D15)*ТВ!$C$2:$C$1000)</f>
        <v>0</v>
      </c>
    </row>
    <row r="16" spans="1:13" x14ac:dyDescent="0.25">
      <c r="C16" s="25" t="str">
        <f t="shared" si="1"/>
        <v/>
      </c>
      <c r="F16" s="29" cm="1">
        <f t="array" ref="F16">SUMPRODUCT((ТВ!$A$2:$A$1000='ТВ Каналы'!A16)*(ТВ!$B$2:$B$1000='ТВ Каналы'!D16)*ТВ!$C$2:$C$1000)</f>
        <v>0</v>
      </c>
    </row>
    <row r="17" spans="3:6" x14ac:dyDescent="0.25">
      <c r="C17" s="25" t="str">
        <f t="shared" si="1"/>
        <v/>
      </c>
      <c r="F17" s="29" cm="1">
        <f t="array" ref="F17">SUMPRODUCT((ТВ!$A$2:$A$1000='ТВ Каналы'!A17)*(ТВ!$B$2:$B$1000='ТВ Каналы'!D17)*ТВ!$C$2:$C$1000)</f>
        <v>0</v>
      </c>
    </row>
    <row r="18" spans="3:6" x14ac:dyDescent="0.25">
      <c r="C18" s="25" t="str">
        <f t="shared" si="1"/>
        <v/>
      </c>
      <c r="F18" s="29" cm="1">
        <f t="array" ref="F18">SUMPRODUCT((ТВ!$A$2:$A$1000='ТВ Каналы'!A18)*(ТВ!$B$2:$B$1000='ТВ Каналы'!D18)*ТВ!$C$2:$C$1000)</f>
        <v>0</v>
      </c>
    </row>
    <row r="19" spans="3:6" x14ac:dyDescent="0.25">
      <c r="C19" s="25" t="str">
        <f t="shared" si="1"/>
        <v/>
      </c>
      <c r="F19" s="29" cm="1">
        <f t="array" ref="F19">SUMPRODUCT((ТВ!$A$2:$A$1000='ТВ Каналы'!A19)*(ТВ!$B$2:$B$1000='ТВ Каналы'!D19)*ТВ!$C$2:$C$1000)</f>
        <v>0</v>
      </c>
    </row>
    <row r="20" spans="3:6" x14ac:dyDescent="0.25">
      <c r="C20" s="25" t="str">
        <f t="shared" si="1"/>
        <v/>
      </c>
      <c r="F20" s="29" cm="1">
        <f t="array" ref="F20">SUMPRODUCT((ТВ!$A$2:$A$1000='ТВ Каналы'!A20)*(ТВ!$B$2:$B$1000='ТВ Каналы'!D20)*ТВ!$C$2:$C$1000)</f>
        <v>0</v>
      </c>
    </row>
    <row r="21" spans="3:6" x14ac:dyDescent="0.25">
      <c r="C21" s="25" t="str">
        <f t="shared" si="1"/>
        <v/>
      </c>
      <c r="F21" s="29" cm="1">
        <f t="array" ref="F21">SUMPRODUCT((ТВ!$A$2:$A$1000='ТВ Каналы'!A21)*(ТВ!$B$2:$B$1000='ТВ Каналы'!D21)*ТВ!$C$2:$C$1000)</f>
        <v>0</v>
      </c>
    </row>
    <row r="22" spans="3:6" x14ac:dyDescent="0.25">
      <c r="C22" s="25" t="str">
        <f t="shared" si="1"/>
        <v/>
      </c>
      <c r="F22" s="29" cm="1">
        <f t="array" ref="F22">SUMPRODUCT((ТВ!$A$2:$A$1000='ТВ Каналы'!A22)*(ТВ!$B$2:$B$1000='ТВ Каналы'!D22)*ТВ!$C$2:$C$1000)</f>
        <v>0</v>
      </c>
    </row>
    <row r="23" spans="3:6" x14ac:dyDescent="0.25">
      <c r="C23" s="25" t="str">
        <f t="shared" si="1"/>
        <v/>
      </c>
      <c r="F23" s="29" cm="1">
        <f t="array" ref="F23">SUMPRODUCT((ТВ!$A$2:$A$1000='ТВ Каналы'!A23)*(ТВ!$B$2:$B$1000='ТВ Каналы'!D23)*ТВ!$C$2:$C$1000)</f>
        <v>0</v>
      </c>
    </row>
    <row r="24" spans="3:6" x14ac:dyDescent="0.25">
      <c r="C24" s="25" t="str">
        <f t="shared" si="1"/>
        <v/>
      </c>
      <c r="F24" s="29" cm="1">
        <f t="array" ref="F24">SUMPRODUCT((ТВ!$A$2:$A$1000='ТВ Каналы'!A24)*(ТВ!$B$2:$B$1000='ТВ Каналы'!D24)*ТВ!$C$2:$C$1000)</f>
        <v>0</v>
      </c>
    </row>
    <row r="25" spans="3:6" x14ac:dyDescent="0.25">
      <c r="C25" s="25" t="str">
        <f t="shared" si="1"/>
        <v/>
      </c>
      <c r="F25" s="29" cm="1">
        <f t="array" ref="F25">SUMPRODUCT((ТВ!$A$2:$A$1000='ТВ Каналы'!A25)*(ТВ!$B$2:$B$1000='ТВ Каналы'!D25)*ТВ!$C$2:$C$1000)</f>
        <v>0</v>
      </c>
    </row>
    <row r="26" spans="3:6" x14ac:dyDescent="0.25">
      <c r="C26" s="25" t="str">
        <f t="shared" si="1"/>
        <v/>
      </c>
      <c r="F26" s="29" cm="1">
        <f t="array" ref="F26">SUMPRODUCT((ТВ!$A$2:$A$1000='ТВ Каналы'!A26)*(ТВ!$B$2:$B$1000='ТВ Каналы'!D26)*ТВ!$C$2:$C$1000)</f>
        <v>0</v>
      </c>
    </row>
    <row r="27" spans="3:6" x14ac:dyDescent="0.25">
      <c r="C27" s="25" t="str">
        <f t="shared" si="1"/>
        <v/>
      </c>
      <c r="F27" s="29" cm="1">
        <f t="array" ref="F27">SUMPRODUCT((ТВ!$A$2:$A$1000='ТВ Каналы'!A27)*(ТВ!$B$2:$B$1000='ТВ Каналы'!D27)*ТВ!$C$2:$C$1000)</f>
        <v>0</v>
      </c>
    </row>
    <row r="28" spans="3:6" x14ac:dyDescent="0.25">
      <c r="C28" s="25" t="str">
        <f t="shared" si="1"/>
        <v/>
      </c>
      <c r="F28" s="29" cm="1">
        <f t="array" ref="F28">SUMPRODUCT((ТВ!$A$2:$A$1000='ТВ Каналы'!A28)*(ТВ!$B$2:$B$1000='ТВ Каналы'!D28)*ТВ!$C$2:$C$1000)</f>
        <v>0</v>
      </c>
    </row>
    <row r="29" spans="3:6" x14ac:dyDescent="0.25">
      <c r="C29" s="25" t="str">
        <f t="shared" si="1"/>
        <v/>
      </c>
      <c r="F29" s="29" cm="1">
        <f t="array" ref="F29">SUMPRODUCT((ТВ!$A$2:$A$1000='ТВ Каналы'!A29)*(ТВ!$B$2:$B$1000='ТВ Каналы'!D29)*ТВ!$C$2:$C$1000)</f>
        <v>0</v>
      </c>
    </row>
    <row r="30" spans="3:6" x14ac:dyDescent="0.25">
      <c r="C30" s="25" t="str">
        <f t="shared" si="1"/>
        <v/>
      </c>
      <c r="F30" s="29" cm="1">
        <f t="array" ref="F30">SUMPRODUCT((ТВ!$A$2:$A$1000='ТВ Каналы'!A30)*(ТВ!$B$2:$B$1000='ТВ Каналы'!D30)*ТВ!$C$2:$C$1000)</f>
        <v>0</v>
      </c>
    </row>
    <row r="31" spans="3:6" x14ac:dyDescent="0.25">
      <c r="C31" s="25" t="str">
        <f t="shared" si="1"/>
        <v/>
      </c>
      <c r="F31" s="29" cm="1">
        <f t="array" ref="F31">SUMPRODUCT((ТВ!$A$2:$A$1000='ТВ Каналы'!A31)*(ТВ!$B$2:$B$1000='ТВ Каналы'!D31)*ТВ!$C$2:$C$1000)</f>
        <v>0</v>
      </c>
    </row>
    <row r="32" spans="3:6" x14ac:dyDescent="0.25">
      <c r="C32" s="25" t="str">
        <f t="shared" si="1"/>
        <v/>
      </c>
      <c r="F32" s="29" cm="1">
        <f t="array" ref="F32">SUMPRODUCT((ТВ!$A$2:$A$1000='ТВ Каналы'!A32)*(ТВ!$B$2:$B$1000='ТВ Каналы'!D32)*ТВ!$C$2:$C$1000)</f>
        <v>0</v>
      </c>
    </row>
    <row r="33" spans="3:6" x14ac:dyDescent="0.25">
      <c r="C33" s="25" t="str">
        <f t="shared" si="1"/>
        <v/>
      </c>
      <c r="F33" s="29" cm="1">
        <f t="array" ref="F33">SUMPRODUCT((ТВ!$A$2:$A$1000='ТВ Каналы'!A33)*(ТВ!$B$2:$B$1000='ТВ Каналы'!D33)*ТВ!$C$2:$C$1000)</f>
        <v>0</v>
      </c>
    </row>
    <row r="34" spans="3:6" x14ac:dyDescent="0.25">
      <c r="C34" s="25" t="str">
        <f t="shared" si="1"/>
        <v/>
      </c>
      <c r="F34" s="29" cm="1">
        <f t="array" ref="F34">SUMPRODUCT((ТВ!$A$2:$A$1000='ТВ Каналы'!A34)*(ТВ!$B$2:$B$1000='ТВ Каналы'!D34)*ТВ!$C$2:$C$1000)</f>
        <v>0</v>
      </c>
    </row>
    <row r="35" spans="3:6" x14ac:dyDescent="0.25">
      <c r="C35" s="25" t="str">
        <f t="shared" si="1"/>
        <v/>
      </c>
      <c r="F35" s="29" cm="1">
        <f t="array" ref="F35">SUMPRODUCT((ТВ!$A$2:$A$1000='ТВ Каналы'!A35)*(ТВ!$B$2:$B$1000='ТВ Каналы'!D35)*ТВ!$C$2:$C$1000)</f>
        <v>0</v>
      </c>
    </row>
    <row r="36" spans="3:6" x14ac:dyDescent="0.25">
      <c r="C36" s="25" t="str">
        <f t="shared" si="1"/>
        <v/>
      </c>
      <c r="F36" s="29" cm="1">
        <f t="array" ref="F36">SUMPRODUCT((ТВ!$A$2:$A$1000='ТВ Каналы'!A36)*(ТВ!$B$2:$B$1000='ТВ Каналы'!D36)*ТВ!$C$2:$C$1000)</f>
        <v>0</v>
      </c>
    </row>
    <row r="37" spans="3:6" x14ac:dyDescent="0.25">
      <c r="C37" s="25" t="str">
        <f t="shared" si="1"/>
        <v/>
      </c>
      <c r="F37" s="29" cm="1">
        <f t="array" ref="F37">SUMPRODUCT((ТВ!$A$2:$A$1000='ТВ Каналы'!A37)*(ТВ!$B$2:$B$1000='ТВ Каналы'!D37)*ТВ!$C$2:$C$1000)</f>
        <v>0</v>
      </c>
    </row>
    <row r="38" spans="3:6" x14ac:dyDescent="0.25">
      <c r="C38" s="25" t="str">
        <f t="shared" si="1"/>
        <v/>
      </c>
      <c r="F38" s="29" cm="1">
        <f t="array" ref="F38">SUMPRODUCT((ТВ!$A$2:$A$1000='ТВ Каналы'!A38)*(ТВ!$B$2:$B$1000='ТВ Каналы'!D38)*ТВ!$C$2:$C$1000)</f>
        <v>0</v>
      </c>
    </row>
    <row r="39" spans="3:6" x14ac:dyDescent="0.25">
      <c r="C39" s="25" t="str">
        <f t="shared" si="1"/>
        <v/>
      </c>
      <c r="F39" s="29" cm="1">
        <f t="array" ref="F39">SUMPRODUCT((ТВ!$A$2:$A$1000='ТВ Каналы'!A39)*(ТВ!$B$2:$B$1000='ТВ Каналы'!D39)*ТВ!$C$2:$C$1000)</f>
        <v>0</v>
      </c>
    </row>
    <row r="40" spans="3:6" x14ac:dyDescent="0.25">
      <c r="C40" s="25" t="str">
        <f t="shared" si="1"/>
        <v/>
      </c>
      <c r="F40" s="29" cm="1">
        <f t="array" ref="F40">SUMPRODUCT((ТВ!$A$2:$A$1000='ТВ Каналы'!A40)*(ТВ!$B$2:$B$1000='ТВ Каналы'!D40)*ТВ!$C$2:$C$1000)</f>
        <v>0</v>
      </c>
    </row>
    <row r="41" spans="3:6" x14ac:dyDescent="0.25">
      <c r="C41" s="25" t="str">
        <f t="shared" si="1"/>
        <v/>
      </c>
      <c r="F41" s="29" cm="1">
        <f t="array" ref="F41">SUMPRODUCT((ТВ!$A$2:$A$1000='ТВ Каналы'!A41)*(ТВ!$B$2:$B$1000='ТВ Каналы'!D41)*ТВ!$C$2:$C$1000)</f>
        <v>0</v>
      </c>
    </row>
    <row r="42" spans="3:6" x14ac:dyDescent="0.25">
      <c r="C42" s="25" t="str">
        <f t="shared" si="1"/>
        <v/>
      </c>
      <c r="F42" s="29" cm="1">
        <f t="array" ref="F42">SUMPRODUCT((ТВ!$A$2:$A$1000='ТВ Каналы'!A42)*(ТВ!$B$2:$B$1000='ТВ Каналы'!D42)*ТВ!$C$2:$C$1000)</f>
        <v>0</v>
      </c>
    </row>
    <row r="43" spans="3:6" x14ac:dyDescent="0.25">
      <c r="C43" s="25" t="str">
        <f t="shared" si="1"/>
        <v/>
      </c>
      <c r="F43" s="29" cm="1">
        <f t="array" ref="F43">SUMPRODUCT((ТВ!$A$2:$A$1000='ТВ Каналы'!A43)*(ТВ!$B$2:$B$1000='ТВ Каналы'!D43)*ТВ!$C$2:$C$1000)</f>
        <v>0</v>
      </c>
    </row>
    <row r="44" spans="3:6" x14ac:dyDescent="0.25">
      <c r="C44" s="25" t="str">
        <f t="shared" si="1"/>
        <v/>
      </c>
      <c r="F44" s="29" cm="1">
        <f t="array" ref="F44">SUMPRODUCT((ТВ!$A$2:$A$1000='ТВ Каналы'!A44)*(ТВ!$B$2:$B$1000='ТВ Каналы'!D44)*ТВ!$C$2:$C$1000)</f>
        <v>0</v>
      </c>
    </row>
    <row r="45" spans="3:6" x14ac:dyDescent="0.25">
      <c r="C45" s="25" t="str">
        <f t="shared" si="1"/>
        <v/>
      </c>
      <c r="F45" s="29" cm="1">
        <f t="array" ref="F45">SUMPRODUCT((ТВ!$A$2:$A$1000='ТВ Каналы'!A45)*(ТВ!$B$2:$B$1000='ТВ Каналы'!D45)*ТВ!$C$2:$C$1000)</f>
        <v>0</v>
      </c>
    </row>
    <row r="46" spans="3:6" x14ac:dyDescent="0.25">
      <c r="C46" s="25" t="str">
        <f t="shared" si="1"/>
        <v/>
      </c>
      <c r="F46" s="29" cm="1">
        <f t="array" ref="F46">SUMPRODUCT((ТВ!$A$2:$A$1000='ТВ Каналы'!A46)*(ТВ!$B$2:$B$1000='ТВ Каналы'!D46)*ТВ!$C$2:$C$1000)</f>
        <v>0</v>
      </c>
    </row>
    <row r="47" spans="3:6" x14ac:dyDescent="0.25">
      <c r="C47" s="25" t="str">
        <f t="shared" si="1"/>
        <v/>
      </c>
      <c r="F47" s="29" cm="1">
        <f t="array" ref="F47">SUMPRODUCT((ТВ!$A$2:$A$1000='ТВ Каналы'!A47)*(ТВ!$B$2:$B$1000='ТВ Каналы'!D47)*ТВ!$C$2:$C$1000)</f>
        <v>0</v>
      </c>
    </row>
    <row r="48" spans="3:6" x14ac:dyDescent="0.25">
      <c r="C48" s="25" t="str">
        <f t="shared" si="1"/>
        <v/>
      </c>
      <c r="F48" s="29" cm="1">
        <f t="array" ref="F48">SUMPRODUCT((ТВ!$A$2:$A$1000='ТВ Каналы'!A48)*(ТВ!$B$2:$B$1000='ТВ Каналы'!D48)*ТВ!$C$2:$C$1000)</f>
        <v>0</v>
      </c>
    </row>
    <row r="49" spans="3:6" x14ac:dyDescent="0.25">
      <c r="C49" s="25" t="str">
        <f t="shared" si="1"/>
        <v/>
      </c>
      <c r="F49" s="29" cm="1">
        <f t="array" ref="F49">SUMPRODUCT((ТВ!$A$2:$A$1000='ТВ Каналы'!A49)*(ТВ!$B$2:$B$1000='ТВ Каналы'!D49)*ТВ!$C$2:$C$1000)</f>
        <v>0</v>
      </c>
    </row>
    <row r="50" spans="3:6" x14ac:dyDescent="0.25">
      <c r="C50" s="25" t="str">
        <f t="shared" si="1"/>
        <v/>
      </c>
      <c r="F50" s="29" cm="1">
        <f t="array" ref="F50">SUMPRODUCT((ТВ!$A$2:$A$1000='ТВ Каналы'!A50)*(ТВ!$B$2:$B$1000='ТВ Каналы'!D50)*ТВ!$C$2:$C$1000)</f>
        <v>0</v>
      </c>
    </row>
    <row r="51" spans="3:6" x14ac:dyDescent="0.25">
      <c r="C51" s="25" t="str">
        <f t="shared" si="1"/>
        <v/>
      </c>
      <c r="F51" s="29" cm="1">
        <f t="array" ref="F51">SUMPRODUCT((ТВ!$A$2:$A$1000='ТВ Каналы'!A51)*(ТВ!$B$2:$B$1000='ТВ Каналы'!D51)*ТВ!$C$2:$C$1000)</f>
        <v>0</v>
      </c>
    </row>
    <row r="52" spans="3:6" x14ac:dyDescent="0.25">
      <c r="C52" s="25" t="str">
        <f t="shared" si="1"/>
        <v/>
      </c>
      <c r="F52" s="29" cm="1">
        <f t="array" ref="F52">SUMPRODUCT((ТВ!$A$2:$A$1000='ТВ Каналы'!A52)*(ТВ!$B$2:$B$1000='ТВ Каналы'!D52)*ТВ!$C$2:$C$1000)</f>
        <v>0</v>
      </c>
    </row>
    <row r="53" spans="3:6" x14ac:dyDescent="0.25">
      <c r="C53" s="25" t="str">
        <f t="shared" si="1"/>
        <v/>
      </c>
      <c r="F53" s="29" cm="1">
        <f t="array" ref="F53">SUMPRODUCT((ТВ!$A$2:$A$1000='ТВ Каналы'!A53)*(ТВ!$B$2:$B$1000='ТВ Каналы'!D53)*ТВ!$C$2:$C$1000)</f>
        <v>0</v>
      </c>
    </row>
    <row r="54" spans="3:6" x14ac:dyDescent="0.25">
      <c r="C54" s="25" t="str">
        <f t="shared" si="1"/>
        <v/>
      </c>
      <c r="F54" s="29" cm="1">
        <f t="array" ref="F54">SUMPRODUCT((ТВ!$A$2:$A$1000='ТВ Каналы'!A54)*(ТВ!$B$2:$B$1000='ТВ Каналы'!D54)*ТВ!$C$2:$C$1000)</f>
        <v>0</v>
      </c>
    </row>
    <row r="55" spans="3:6" x14ac:dyDescent="0.25">
      <c r="C55" s="25" t="str">
        <f t="shared" si="1"/>
        <v/>
      </c>
      <c r="F55" s="29" cm="1">
        <f t="array" ref="F55">SUMPRODUCT((ТВ!$A$2:$A$1000='ТВ Каналы'!A55)*(ТВ!$B$2:$B$1000='ТВ Каналы'!D55)*ТВ!$C$2:$C$1000)</f>
        <v>0</v>
      </c>
    </row>
    <row r="56" spans="3:6" x14ac:dyDescent="0.25">
      <c r="C56" s="25" t="str">
        <f t="shared" si="1"/>
        <v/>
      </c>
      <c r="F56" s="29" cm="1">
        <f t="array" ref="F56">SUMPRODUCT((ТВ!$A$2:$A$1000='ТВ Каналы'!A56)*(ТВ!$B$2:$B$1000='ТВ Каналы'!D56)*ТВ!$C$2:$C$1000)</f>
        <v>0</v>
      </c>
    </row>
    <row r="57" spans="3:6" x14ac:dyDescent="0.25">
      <c r="C57" s="25" t="str">
        <f t="shared" si="1"/>
        <v/>
      </c>
      <c r="F57" s="29" cm="1">
        <f t="array" ref="F57">SUMPRODUCT((ТВ!$A$2:$A$1000='ТВ Каналы'!A57)*(ТВ!$B$2:$B$1000='ТВ Каналы'!D57)*ТВ!$C$2:$C$1000)</f>
        <v>0</v>
      </c>
    </row>
    <row r="58" spans="3:6" x14ac:dyDescent="0.25">
      <c r="C58" s="25" t="str">
        <f t="shared" si="1"/>
        <v/>
      </c>
      <c r="F58" s="29" cm="1">
        <f t="array" ref="F58">SUMPRODUCT((ТВ!$A$2:$A$1000='ТВ Каналы'!A58)*(ТВ!$B$2:$B$1000='ТВ Каналы'!D58)*ТВ!$C$2:$C$1000)</f>
        <v>0</v>
      </c>
    </row>
    <row r="59" spans="3:6" x14ac:dyDescent="0.25">
      <c r="C59" s="25" t="str">
        <f t="shared" si="1"/>
        <v/>
      </c>
      <c r="F59" s="29" cm="1">
        <f t="array" ref="F59">SUMPRODUCT((ТВ!$A$2:$A$1000='ТВ Каналы'!A59)*(ТВ!$B$2:$B$1000='ТВ Каналы'!D59)*ТВ!$C$2:$C$1000)</f>
        <v>0</v>
      </c>
    </row>
    <row r="60" spans="3:6" x14ac:dyDescent="0.25">
      <c r="C60" s="25" t="str">
        <f t="shared" si="1"/>
        <v/>
      </c>
      <c r="F60" s="29" cm="1">
        <f t="array" ref="F60">SUMPRODUCT((ТВ!$A$2:$A$1000='ТВ Каналы'!A60)*(ТВ!$B$2:$B$1000='ТВ Каналы'!D60)*ТВ!$C$2:$C$1000)</f>
        <v>0</v>
      </c>
    </row>
    <row r="61" spans="3:6" x14ac:dyDescent="0.25">
      <c r="C61" s="25" t="str">
        <f t="shared" si="1"/>
        <v/>
      </c>
      <c r="F61" s="29" cm="1">
        <f t="array" ref="F61">SUMPRODUCT((ТВ!$A$2:$A$1000='ТВ Каналы'!A61)*(ТВ!$B$2:$B$1000='ТВ Каналы'!D61)*ТВ!$C$2:$C$1000)</f>
        <v>0</v>
      </c>
    </row>
    <row r="62" spans="3:6" x14ac:dyDescent="0.25">
      <c r="C62" s="25" t="str">
        <f t="shared" si="1"/>
        <v/>
      </c>
      <c r="F62" s="29" cm="1">
        <f t="array" ref="F62">SUMPRODUCT((ТВ!$A$2:$A$1000='ТВ Каналы'!A62)*(ТВ!$B$2:$B$1000='ТВ Каналы'!D62)*ТВ!$C$2:$C$1000)</f>
        <v>0</v>
      </c>
    </row>
    <row r="63" spans="3:6" x14ac:dyDescent="0.25">
      <c r="C63" s="25" t="str">
        <f t="shared" si="1"/>
        <v/>
      </c>
      <c r="F63" s="29" cm="1">
        <f t="array" ref="F63">SUMPRODUCT((ТВ!$A$2:$A$1000='ТВ Каналы'!A63)*(ТВ!$B$2:$B$1000='ТВ Каналы'!D63)*ТВ!$C$2:$C$1000)</f>
        <v>0</v>
      </c>
    </row>
    <row r="64" spans="3:6" x14ac:dyDescent="0.25">
      <c r="C64" s="25" t="str">
        <f t="shared" si="1"/>
        <v/>
      </c>
      <c r="F64" s="29" cm="1">
        <f t="array" ref="F64">SUMPRODUCT((ТВ!$A$2:$A$1000='ТВ Каналы'!A64)*(ТВ!$B$2:$B$1000='ТВ Каналы'!D64)*ТВ!$C$2:$C$1000)</f>
        <v>0</v>
      </c>
    </row>
    <row r="65" spans="3:6" x14ac:dyDescent="0.25">
      <c r="C65" s="25" t="str">
        <f t="shared" si="1"/>
        <v/>
      </c>
      <c r="F65" s="29" cm="1">
        <f t="array" ref="F65">SUMPRODUCT((ТВ!$A$2:$A$1000='ТВ Каналы'!A65)*(ТВ!$B$2:$B$1000='ТВ Каналы'!D65)*ТВ!$C$2:$C$1000)</f>
        <v>0</v>
      </c>
    </row>
    <row r="66" spans="3:6" x14ac:dyDescent="0.25">
      <c r="C66" s="25" t="str">
        <f t="shared" si="1"/>
        <v/>
      </c>
      <c r="F66" s="29" cm="1">
        <f t="array" ref="F66">SUMPRODUCT((ТВ!$A$2:$A$1000='ТВ Каналы'!A66)*(ТВ!$B$2:$B$1000='ТВ Каналы'!D66)*ТВ!$C$2:$C$1000)</f>
        <v>0</v>
      </c>
    </row>
    <row r="67" spans="3:6" x14ac:dyDescent="0.25">
      <c r="C67" s="25" t="str">
        <f t="shared" ref="C67:C130" si="2">_xlfn.CONCAT(A67,B67)</f>
        <v/>
      </c>
      <c r="F67" s="29" cm="1">
        <f t="array" ref="F67">SUMPRODUCT((ТВ!$A$2:$A$1000='ТВ Каналы'!A67)*(ТВ!$B$2:$B$1000='ТВ Каналы'!D67)*ТВ!$C$2:$C$1000)</f>
        <v>0</v>
      </c>
    </row>
    <row r="68" spans="3:6" x14ac:dyDescent="0.25">
      <c r="C68" s="25" t="str">
        <f t="shared" si="2"/>
        <v/>
      </c>
      <c r="F68" s="29" cm="1">
        <f t="array" ref="F68">SUMPRODUCT((ТВ!$A$2:$A$1000='ТВ Каналы'!A68)*(ТВ!$B$2:$B$1000='ТВ Каналы'!D68)*ТВ!$C$2:$C$1000)</f>
        <v>0</v>
      </c>
    </row>
    <row r="69" spans="3:6" x14ac:dyDescent="0.25">
      <c r="C69" s="25" t="str">
        <f t="shared" si="2"/>
        <v/>
      </c>
      <c r="F69" s="29" cm="1">
        <f t="array" ref="F69">SUMPRODUCT((ТВ!$A$2:$A$1000='ТВ Каналы'!A69)*(ТВ!$B$2:$B$1000='ТВ Каналы'!D69)*ТВ!$C$2:$C$1000)</f>
        <v>0</v>
      </c>
    </row>
    <row r="70" spans="3:6" x14ac:dyDescent="0.25">
      <c r="C70" s="25" t="str">
        <f t="shared" si="2"/>
        <v/>
      </c>
      <c r="F70" s="29" cm="1">
        <f t="array" ref="F70">SUMPRODUCT((ТВ!$A$2:$A$1000='ТВ Каналы'!A70)*(ТВ!$B$2:$B$1000='ТВ Каналы'!D70)*ТВ!$C$2:$C$1000)</f>
        <v>0</v>
      </c>
    </row>
    <row r="71" spans="3:6" x14ac:dyDescent="0.25">
      <c r="C71" s="25" t="str">
        <f t="shared" si="2"/>
        <v/>
      </c>
      <c r="F71" s="29" cm="1">
        <f t="array" ref="F71">SUMPRODUCT((ТВ!$A$2:$A$1000='ТВ Каналы'!A71)*(ТВ!$B$2:$B$1000='ТВ Каналы'!D71)*ТВ!$C$2:$C$1000)</f>
        <v>0</v>
      </c>
    </row>
    <row r="72" spans="3:6" x14ac:dyDescent="0.25">
      <c r="C72" s="25" t="str">
        <f t="shared" si="2"/>
        <v/>
      </c>
      <c r="F72" s="29" cm="1">
        <f t="array" ref="F72">SUMPRODUCT((ТВ!$A$2:$A$1000='ТВ Каналы'!A72)*(ТВ!$B$2:$B$1000='ТВ Каналы'!D72)*ТВ!$C$2:$C$1000)</f>
        <v>0</v>
      </c>
    </row>
    <row r="73" spans="3:6" x14ac:dyDescent="0.25">
      <c r="C73" s="25" t="str">
        <f t="shared" si="2"/>
        <v/>
      </c>
      <c r="F73" s="29" cm="1">
        <f t="array" ref="F73">SUMPRODUCT((ТВ!$A$2:$A$1000='ТВ Каналы'!A73)*(ТВ!$B$2:$B$1000='ТВ Каналы'!D73)*ТВ!$C$2:$C$1000)</f>
        <v>0</v>
      </c>
    </row>
    <row r="74" spans="3:6" x14ac:dyDescent="0.25">
      <c r="C74" s="25" t="str">
        <f t="shared" si="2"/>
        <v/>
      </c>
      <c r="F74" s="29" cm="1">
        <f t="array" ref="F74">SUMPRODUCT((ТВ!$A$2:$A$1000='ТВ Каналы'!A74)*(ТВ!$B$2:$B$1000='ТВ Каналы'!D74)*ТВ!$C$2:$C$1000)</f>
        <v>0</v>
      </c>
    </row>
    <row r="75" spans="3:6" x14ac:dyDescent="0.25">
      <c r="C75" s="25" t="str">
        <f t="shared" si="2"/>
        <v/>
      </c>
      <c r="F75" s="29" cm="1">
        <f t="array" ref="F75">SUMPRODUCT((ТВ!$A$2:$A$1000='ТВ Каналы'!A75)*(ТВ!$B$2:$B$1000='ТВ Каналы'!D75)*ТВ!$C$2:$C$1000)</f>
        <v>0</v>
      </c>
    </row>
    <row r="76" spans="3:6" x14ac:dyDescent="0.25">
      <c r="C76" s="25" t="str">
        <f t="shared" si="2"/>
        <v/>
      </c>
      <c r="F76" s="29" cm="1">
        <f t="array" ref="F76">SUMPRODUCT((ТВ!$A$2:$A$1000='ТВ Каналы'!A76)*(ТВ!$B$2:$B$1000='ТВ Каналы'!D76)*ТВ!$C$2:$C$1000)</f>
        <v>0</v>
      </c>
    </row>
    <row r="77" spans="3:6" x14ac:dyDescent="0.25">
      <c r="C77" s="25" t="str">
        <f t="shared" si="2"/>
        <v/>
      </c>
      <c r="F77" s="29" cm="1">
        <f t="array" ref="F77">SUMPRODUCT((ТВ!$A$2:$A$1000='ТВ Каналы'!A77)*(ТВ!$B$2:$B$1000='ТВ Каналы'!D77)*ТВ!$C$2:$C$1000)</f>
        <v>0</v>
      </c>
    </row>
    <row r="78" spans="3:6" x14ac:dyDescent="0.25">
      <c r="C78" s="25" t="str">
        <f t="shared" si="2"/>
        <v/>
      </c>
      <c r="F78" s="29" cm="1">
        <f t="array" ref="F78">SUMPRODUCT((ТВ!$A$2:$A$1000='ТВ Каналы'!A78)*(ТВ!$B$2:$B$1000='ТВ Каналы'!D78)*ТВ!$C$2:$C$1000)</f>
        <v>0</v>
      </c>
    </row>
    <row r="79" spans="3:6" x14ac:dyDescent="0.25">
      <c r="C79" s="25" t="str">
        <f t="shared" si="2"/>
        <v/>
      </c>
      <c r="F79" s="29" cm="1">
        <f t="array" ref="F79">SUMPRODUCT((ТВ!$A$2:$A$1000='ТВ Каналы'!A79)*(ТВ!$B$2:$B$1000='ТВ Каналы'!D79)*ТВ!$C$2:$C$1000)</f>
        <v>0</v>
      </c>
    </row>
    <row r="80" spans="3:6" x14ac:dyDescent="0.25">
      <c r="C80" s="25" t="str">
        <f t="shared" si="2"/>
        <v/>
      </c>
      <c r="F80" s="29" cm="1">
        <f t="array" ref="F80">SUMPRODUCT((ТВ!$A$2:$A$1000='ТВ Каналы'!A80)*(ТВ!$B$2:$B$1000='ТВ Каналы'!D80)*ТВ!$C$2:$C$1000)</f>
        <v>0</v>
      </c>
    </row>
    <row r="81" spans="3:6" x14ac:dyDescent="0.25">
      <c r="C81" s="25" t="str">
        <f t="shared" si="2"/>
        <v/>
      </c>
      <c r="F81" s="29" cm="1">
        <f t="array" ref="F81">SUMPRODUCT((ТВ!$A$2:$A$1000='ТВ Каналы'!A81)*(ТВ!$B$2:$B$1000='ТВ Каналы'!D81)*ТВ!$C$2:$C$1000)</f>
        <v>0</v>
      </c>
    </row>
    <row r="82" spans="3:6" x14ac:dyDescent="0.25">
      <c r="C82" s="25" t="str">
        <f t="shared" si="2"/>
        <v/>
      </c>
      <c r="F82" s="29" cm="1">
        <f t="array" ref="F82">SUMPRODUCT((ТВ!$A$2:$A$1000='ТВ Каналы'!A82)*(ТВ!$B$2:$B$1000='ТВ Каналы'!D82)*ТВ!$C$2:$C$1000)</f>
        <v>0</v>
      </c>
    </row>
    <row r="83" spans="3:6" x14ac:dyDescent="0.25">
      <c r="C83" s="25" t="str">
        <f t="shared" si="2"/>
        <v/>
      </c>
      <c r="F83" s="29" cm="1">
        <f t="array" ref="F83">SUMPRODUCT((ТВ!$A$2:$A$1000='ТВ Каналы'!A83)*(ТВ!$B$2:$B$1000='ТВ Каналы'!D83)*ТВ!$C$2:$C$1000)</f>
        <v>0</v>
      </c>
    </row>
    <row r="84" spans="3:6" x14ac:dyDescent="0.25">
      <c r="C84" s="25" t="str">
        <f t="shared" si="2"/>
        <v/>
      </c>
      <c r="F84" s="29" cm="1">
        <f t="array" ref="F84">SUMPRODUCT((ТВ!$A$2:$A$1000='ТВ Каналы'!A84)*(ТВ!$B$2:$B$1000='ТВ Каналы'!D84)*ТВ!$C$2:$C$1000)</f>
        <v>0</v>
      </c>
    </row>
    <row r="85" spans="3:6" x14ac:dyDescent="0.25">
      <c r="C85" s="25" t="str">
        <f t="shared" si="2"/>
        <v/>
      </c>
      <c r="F85" s="29" cm="1">
        <f t="array" ref="F85">SUMPRODUCT((ТВ!$A$2:$A$1000='ТВ Каналы'!A85)*(ТВ!$B$2:$B$1000='ТВ Каналы'!D85)*ТВ!$C$2:$C$1000)</f>
        <v>0</v>
      </c>
    </row>
    <row r="86" spans="3:6" x14ac:dyDescent="0.25">
      <c r="C86" s="25" t="str">
        <f t="shared" si="2"/>
        <v/>
      </c>
      <c r="F86" s="29" cm="1">
        <f t="array" ref="F86">SUMPRODUCT((ТВ!$A$2:$A$1000='ТВ Каналы'!A86)*(ТВ!$B$2:$B$1000='ТВ Каналы'!D86)*ТВ!$C$2:$C$1000)</f>
        <v>0</v>
      </c>
    </row>
    <row r="87" spans="3:6" x14ac:dyDescent="0.25">
      <c r="C87" s="25" t="str">
        <f t="shared" si="2"/>
        <v/>
      </c>
      <c r="F87" s="29" cm="1">
        <f t="array" ref="F87">SUMPRODUCT((ТВ!$A$2:$A$1000='ТВ Каналы'!A87)*(ТВ!$B$2:$B$1000='ТВ Каналы'!D87)*ТВ!$C$2:$C$1000)</f>
        <v>0</v>
      </c>
    </row>
    <row r="88" spans="3:6" x14ac:dyDescent="0.25">
      <c r="C88" s="25" t="str">
        <f t="shared" si="2"/>
        <v/>
      </c>
      <c r="F88" s="29" cm="1">
        <f t="array" ref="F88">SUMPRODUCT((ТВ!$A$2:$A$1000='ТВ Каналы'!A88)*(ТВ!$B$2:$B$1000='ТВ Каналы'!D88)*ТВ!$C$2:$C$1000)</f>
        <v>0</v>
      </c>
    </row>
    <row r="89" spans="3:6" x14ac:dyDescent="0.25">
      <c r="C89" s="25" t="str">
        <f t="shared" si="2"/>
        <v/>
      </c>
      <c r="F89" s="29" cm="1">
        <f t="array" ref="F89">SUMPRODUCT((ТВ!$A$2:$A$1000='ТВ Каналы'!A89)*(ТВ!$B$2:$B$1000='ТВ Каналы'!D89)*ТВ!$C$2:$C$1000)</f>
        <v>0</v>
      </c>
    </row>
    <row r="90" spans="3:6" x14ac:dyDescent="0.25">
      <c r="C90" s="25" t="str">
        <f t="shared" si="2"/>
        <v/>
      </c>
      <c r="F90" s="29" cm="1">
        <f t="array" ref="F90">SUMPRODUCT((ТВ!$A$2:$A$1000='ТВ Каналы'!A90)*(ТВ!$B$2:$B$1000='ТВ Каналы'!D90)*ТВ!$C$2:$C$1000)</f>
        <v>0</v>
      </c>
    </row>
    <row r="91" spans="3:6" x14ac:dyDescent="0.25">
      <c r="C91" s="25" t="str">
        <f t="shared" si="2"/>
        <v/>
      </c>
      <c r="F91" s="29" cm="1">
        <f t="array" ref="F91">SUMPRODUCT((ТВ!$A$2:$A$1000='ТВ Каналы'!A91)*(ТВ!$B$2:$B$1000='ТВ Каналы'!D91)*ТВ!$C$2:$C$1000)</f>
        <v>0</v>
      </c>
    </row>
    <row r="92" spans="3:6" x14ac:dyDescent="0.25">
      <c r="C92" s="25" t="str">
        <f t="shared" si="2"/>
        <v/>
      </c>
      <c r="F92" s="29" cm="1">
        <f t="array" ref="F92">SUMPRODUCT((ТВ!$A$2:$A$1000='ТВ Каналы'!A92)*(ТВ!$B$2:$B$1000='ТВ Каналы'!D92)*ТВ!$C$2:$C$1000)</f>
        <v>0</v>
      </c>
    </row>
    <row r="93" spans="3:6" x14ac:dyDescent="0.25">
      <c r="C93" s="25" t="str">
        <f t="shared" si="2"/>
        <v/>
      </c>
      <c r="F93" s="29" cm="1">
        <f t="array" ref="F93">SUMPRODUCT((ТВ!$A$2:$A$1000='ТВ Каналы'!A93)*(ТВ!$B$2:$B$1000='ТВ Каналы'!D93)*ТВ!$C$2:$C$1000)</f>
        <v>0</v>
      </c>
    </row>
    <row r="94" spans="3:6" x14ac:dyDescent="0.25">
      <c r="C94" s="25" t="str">
        <f t="shared" si="2"/>
        <v/>
      </c>
      <c r="F94" s="29" cm="1">
        <f t="array" ref="F94">SUMPRODUCT((ТВ!$A$2:$A$1000='ТВ Каналы'!A94)*(ТВ!$B$2:$B$1000='ТВ Каналы'!D94)*ТВ!$C$2:$C$1000)</f>
        <v>0</v>
      </c>
    </row>
    <row r="95" spans="3:6" x14ac:dyDescent="0.25">
      <c r="C95" s="25" t="str">
        <f t="shared" si="2"/>
        <v/>
      </c>
      <c r="F95" s="29" cm="1">
        <f t="array" ref="F95">SUMPRODUCT((ТВ!$A$2:$A$1000='ТВ Каналы'!A95)*(ТВ!$B$2:$B$1000='ТВ Каналы'!D95)*ТВ!$C$2:$C$1000)</f>
        <v>0</v>
      </c>
    </row>
    <row r="96" spans="3:6" x14ac:dyDescent="0.25">
      <c r="C96" s="25" t="str">
        <f t="shared" si="2"/>
        <v/>
      </c>
      <c r="F96" s="29" cm="1">
        <f t="array" ref="F96">SUMPRODUCT((ТВ!$A$2:$A$1000='ТВ Каналы'!A96)*(ТВ!$B$2:$B$1000='ТВ Каналы'!D96)*ТВ!$C$2:$C$1000)</f>
        <v>0</v>
      </c>
    </row>
    <row r="97" spans="3:6" x14ac:dyDescent="0.25">
      <c r="C97" s="25" t="str">
        <f t="shared" si="2"/>
        <v/>
      </c>
      <c r="F97" s="29" cm="1">
        <f t="array" ref="F97">SUMPRODUCT((ТВ!$A$2:$A$1000='ТВ Каналы'!A97)*(ТВ!$B$2:$B$1000='ТВ Каналы'!D97)*ТВ!$C$2:$C$1000)</f>
        <v>0</v>
      </c>
    </row>
    <row r="98" spans="3:6" x14ac:dyDescent="0.25">
      <c r="C98" s="25" t="str">
        <f t="shared" si="2"/>
        <v/>
      </c>
      <c r="F98" s="29" cm="1">
        <f t="array" ref="F98">SUMPRODUCT((ТВ!$A$2:$A$1000='ТВ Каналы'!A98)*(ТВ!$B$2:$B$1000='ТВ Каналы'!D98)*ТВ!$C$2:$C$1000)</f>
        <v>0</v>
      </c>
    </row>
    <row r="99" spans="3:6" x14ac:dyDescent="0.25">
      <c r="C99" s="25" t="str">
        <f t="shared" si="2"/>
        <v/>
      </c>
      <c r="F99" s="29" cm="1">
        <f t="array" ref="F99">SUMPRODUCT((ТВ!$A$2:$A$1000='ТВ Каналы'!A99)*(ТВ!$B$2:$B$1000='ТВ Каналы'!D99)*ТВ!$C$2:$C$1000)</f>
        <v>0</v>
      </c>
    </row>
    <row r="100" spans="3:6" x14ac:dyDescent="0.25">
      <c r="C100" s="25" t="str">
        <f t="shared" si="2"/>
        <v/>
      </c>
      <c r="F100" s="29" cm="1">
        <f t="array" ref="F100">SUMPRODUCT((ТВ!$A$2:$A$1000='ТВ Каналы'!A100)*(ТВ!$B$2:$B$1000='ТВ Каналы'!D100)*ТВ!$C$2:$C$1000)</f>
        <v>0</v>
      </c>
    </row>
    <row r="101" spans="3:6" x14ac:dyDescent="0.25">
      <c r="C101" s="25" t="str">
        <f t="shared" si="2"/>
        <v/>
      </c>
      <c r="F101" s="29" cm="1">
        <f t="array" ref="F101">SUMPRODUCT((ТВ!$A$2:$A$1000='ТВ Каналы'!A101)*(ТВ!$B$2:$B$1000='ТВ Каналы'!D101)*ТВ!$C$2:$C$1000)</f>
        <v>0</v>
      </c>
    </row>
    <row r="102" spans="3:6" x14ac:dyDescent="0.25">
      <c r="C102" s="25" t="str">
        <f t="shared" si="2"/>
        <v/>
      </c>
      <c r="F102" s="29" cm="1">
        <f t="array" ref="F102">SUMPRODUCT((ТВ!$A$2:$A$1000='ТВ Каналы'!A102)*(ТВ!$B$2:$B$1000='ТВ Каналы'!D102)*ТВ!$C$2:$C$1000)</f>
        <v>0</v>
      </c>
    </row>
    <row r="103" spans="3:6" x14ac:dyDescent="0.25">
      <c r="C103" s="25" t="str">
        <f t="shared" si="2"/>
        <v/>
      </c>
      <c r="F103" s="29" cm="1">
        <f t="array" ref="F103">SUMPRODUCT((ТВ!$A$2:$A$1000='ТВ Каналы'!A103)*(ТВ!$B$2:$B$1000='ТВ Каналы'!D103)*ТВ!$C$2:$C$1000)</f>
        <v>0</v>
      </c>
    </row>
    <row r="104" spans="3:6" x14ac:dyDescent="0.25">
      <c r="C104" s="25" t="str">
        <f t="shared" si="2"/>
        <v/>
      </c>
      <c r="F104" s="29" cm="1">
        <f t="array" ref="F104">SUMPRODUCT((ТВ!$A$2:$A$1000='ТВ Каналы'!A104)*(ТВ!$B$2:$B$1000='ТВ Каналы'!D104)*ТВ!$C$2:$C$1000)</f>
        <v>0</v>
      </c>
    </row>
    <row r="105" spans="3:6" x14ac:dyDescent="0.25">
      <c r="C105" s="25" t="str">
        <f t="shared" si="2"/>
        <v/>
      </c>
      <c r="F105" s="29" cm="1">
        <f t="array" ref="F105">SUMPRODUCT((ТВ!$A$2:$A$1000='ТВ Каналы'!A105)*(ТВ!$B$2:$B$1000='ТВ Каналы'!D105)*ТВ!$C$2:$C$1000)</f>
        <v>0</v>
      </c>
    </row>
    <row r="106" spans="3:6" x14ac:dyDescent="0.25">
      <c r="C106" s="25" t="str">
        <f t="shared" si="2"/>
        <v/>
      </c>
      <c r="F106" s="29" cm="1">
        <f t="array" ref="F106">SUMPRODUCT((ТВ!$A$2:$A$1000='ТВ Каналы'!A106)*(ТВ!$B$2:$B$1000='ТВ Каналы'!D106)*ТВ!$C$2:$C$1000)</f>
        <v>0</v>
      </c>
    </row>
    <row r="107" spans="3:6" x14ac:dyDescent="0.25">
      <c r="C107" s="25" t="str">
        <f t="shared" si="2"/>
        <v/>
      </c>
      <c r="F107" s="29" cm="1">
        <f t="array" ref="F107">SUMPRODUCT((ТВ!$A$2:$A$1000='ТВ Каналы'!A107)*(ТВ!$B$2:$B$1000='ТВ Каналы'!D107)*ТВ!$C$2:$C$1000)</f>
        <v>0</v>
      </c>
    </row>
    <row r="108" spans="3:6" x14ac:dyDescent="0.25">
      <c r="C108" s="25" t="str">
        <f t="shared" si="2"/>
        <v/>
      </c>
      <c r="F108" s="29" cm="1">
        <f t="array" ref="F108">SUMPRODUCT((ТВ!$A$2:$A$1000='ТВ Каналы'!A108)*(ТВ!$B$2:$B$1000='ТВ Каналы'!D108)*ТВ!$C$2:$C$1000)</f>
        <v>0</v>
      </c>
    </row>
    <row r="109" spans="3:6" x14ac:dyDescent="0.25">
      <c r="C109" s="25" t="str">
        <f t="shared" si="2"/>
        <v/>
      </c>
      <c r="F109" s="29" cm="1">
        <f t="array" ref="F109">SUMPRODUCT((ТВ!$A$2:$A$1000='ТВ Каналы'!A109)*(ТВ!$B$2:$B$1000='ТВ Каналы'!D109)*ТВ!$C$2:$C$1000)</f>
        <v>0</v>
      </c>
    </row>
    <row r="110" spans="3:6" x14ac:dyDescent="0.25">
      <c r="C110" s="25" t="str">
        <f t="shared" si="2"/>
        <v/>
      </c>
      <c r="F110" s="29" cm="1">
        <f t="array" ref="F110">SUMPRODUCT((ТВ!$A$2:$A$1000='ТВ Каналы'!A110)*(ТВ!$B$2:$B$1000='ТВ Каналы'!D110)*ТВ!$C$2:$C$1000)</f>
        <v>0</v>
      </c>
    </row>
    <row r="111" spans="3:6" x14ac:dyDescent="0.25">
      <c r="C111" s="25" t="str">
        <f t="shared" si="2"/>
        <v/>
      </c>
      <c r="F111" s="29" cm="1">
        <f t="array" ref="F111">SUMPRODUCT((ТВ!$A$2:$A$1000='ТВ Каналы'!A111)*(ТВ!$B$2:$B$1000='ТВ Каналы'!D111)*ТВ!$C$2:$C$1000)</f>
        <v>0</v>
      </c>
    </row>
    <row r="112" spans="3:6" x14ac:dyDescent="0.25">
      <c r="C112" s="25" t="str">
        <f t="shared" si="2"/>
        <v/>
      </c>
      <c r="F112" s="29" cm="1">
        <f t="array" ref="F112">SUMPRODUCT((ТВ!$A$2:$A$1000='ТВ Каналы'!A112)*(ТВ!$B$2:$B$1000='ТВ Каналы'!D112)*ТВ!$C$2:$C$1000)</f>
        <v>0</v>
      </c>
    </row>
    <row r="113" spans="3:6" x14ac:dyDescent="0.25">
      <c r="C113" s="25" t="str">
        <f t="shared" si="2"/>
        <v/>
      </c>
      <c r="F113" s="29" cm="1">
        <f t="array" ref="F113">SUMPRODUCT((ТВ!$A$2:$A$1000='ТВ Каналы'!A113)*(ТВ!$B$2:$B$1000='ТВ Каналы'!D113)*ТВ!$C$2:$C$1000)</f>
        <v>0</v>
      </c>
    </row>
    <row r="114" spans="3:6" x14ac:dyDescent="0.25">
      <c r="C114" s="25" t="str">
        <f t="shared" si="2"/>
        <v/>
      </c>
      <c r="F114" s="29" cm="1">
        <f t="array" ref="F114">SUMPRODUCT((ТВ!$A$2:$A$1000='ТВ Каналы'!A114)*(ТВ!$B$2:$B$1000='ТВ Каналы'!D114)*ТВ!$C$2:$C$1000)</f>
        <v>0</v>
      </c>
    </row>
    <row r="115" spans="3:6" x14ac:dyDescent="0.25">
      <c r="C115" s="25" t="str">
        <f t="shared" si="2"/>
        <v/>
      </c>
      <c r="F115" s="29" cm="1">
        <f t="array" ref="F115">SUMPRODUCT((ТВ!$A$2:$A$1000='ТВ Каналы'!A115)*(ТВ!$B$2:$B$1000='ТВ Каналы'!D115)*ТВ!$C$2:$C$1000)</f>
        <v>0</v>
      </c>
    </row>
    <row r="116" spans="3:6" x14ac:dyDescent="0.25">
      <c r="C116" s="25" t="str">
        <f t="shared" si="2"/>
        <v/>
      </c>
      <c r="F116" s="29" cm="1">
        <f t="array" ref="F116">SUMPRODUCT((ТВ!$A$2:$A$1000='ТВ Каналы'!A116)*(ТВ!$B$2:$B$1000='ТВ Каналы'!D116)*ТВ!$C$2:$C$1000)</f>
        <v>0</v>
      </c>
    </row>
    <row r="117" spans="3:6" x14ac:dyDescent="0.25">
      <c r="C117" s="25" t="str">
        <f t="shared" si="2"/>
        <v/>
      </c>
      <c r="F117" s="29" cm="1">
        <f t="array" ref="F117">SUMPRODUCT((ТВ!$A$2:$A$1000='ТВ Каналы'!A117)*(ТВ!$B$2:$B$1000='ТВ Каналы'!D117)*ТВ!$C$2:$C$1000)</f>
        <v>0</v>
      </c>
    </row>
    <row r="118" spans="3:6" x14ac:dyDescent="0.25">
      <c r="C118" s="25" t="str">
        <f t="shared" si="2"/>
        <v/>
      </c>
      <c r="F118" s="29" cm="1">
        <f t="array" ref="F118">SUMPRODUCT((ТВ!$A$2:$A$1000='ТВ Каналы'!A118)*(ТВ!$B$2:$B$1000='ТВ Каналы'!D118)*ТВ!$C$2:$C$1000)</f>
        <v>0</v>
      </c>
    </row>
    <row r="119" spans="3:6" x14ac:dyDescent="0.25">
      <c r="C119" s="25" t="str">
        <f t="shared" si="2"/>
        <v/>
      </c>
      <c r="F119" s="29" cm="1">
        <f t="array" ref="F119">SUMPRODUCT((ТВ!$A$2:$A$1000='ТВ Каналы'!A119)*(ТВ!$B$2:$B$1000='ТВ Каналы'!D119)*ТВ!$C$2:$C$1000)</f>
        <v>0</v>
      </c>
    </row>
    <row r="120" spans="3:6" x14ac:dyDescent="0.25">
      <c r="C120" s="25" t="str">
        <f t="shared" si="2"/>
        <v/>
      </c>
      <c r="F120" s="29" cm="1">
        <f t="array" ref="F120">SUMPRODUCT((ТВ!$A$2:$A$1000='ТВ Каналы'!A120)*(ТВ!$B$2:$B$1000='ТВ Каналы'!D120)*ТВ!$C$2:$C$1000)</f>
        <v>0</v>
      </c>
    </row>
    <row r="121" spans="3:6" x14ac:dyDescent="0.25">
      <c r="C121" s="25" t="str">
        <f t="shared" si="2"/>
        <v/>
      </c>
      <c r="F121" s="29" cm="1">
        <f t="array" ref="F121">SUMPRODUCT((ТВ!$A$2:$A$1000='ТВ Каналы'!A121)*(ТВ!$B$2:$B$1000='ТВ Каналы'!D121)*ТВ!$C$2:$C$1000)</f>
        <v>0</v>
      </c>
    </row>
    <row r="122" spans="3:6" x14ac:dyDescent="0.25">
      <c r="C122" s="25" t="str">
        <f t="shared" si="2"/>
        <v/>
      </c>
      <c r="F122" s="29" cm="1">
        <f t="array" ref="F122">SUMPRODUCT((ТВ!$A$2:$A$1000='ТВ Каналы'!A122)*(ТВ!$B$2:$B$1000='ТВ Каналы'!D122)*ТВ!$C$2:$C$1000)</f>
        <v>0</v>
      </c>
    </row>
    <row r="123" spans="3:6" x14ac:dyDescent="0.25">
      <c r="C123" s="25" t="str">
        <f t="shared" si="2"/>
        <v/>
      </c>
      <c r="F123" s="29" cm="1">
        <f t="array" ref="F123">SUMPRODUCT((ТВ!$A$2:$A$1000='ТВ Каналы'!A123)*(ТВ!$B$2:$B$1000='ТВ Каналы'!D123)*ТВ!$C$2:$C$1000)</f>
        <v>0</v>
      </c>
    </row>
    <row r="124" spans="3:6" x14ac:dyDescent="0.25">
      <c r="C124" s="25" t="str">
        <f t="shared" si="2"/>
        <v/>
      </c>
      <c r="F124" s="29" cm="1">
        <f t="array" ref="F124">SUMPRODUCT((ТВ!$A$2:$A$1000='ТВ Каналы'!A124)*(ТВ!$B$2:$B$1000='ТВ Каналы'!D124)*ТВ!$C$2:$C$1000)</f>
        <v>0</v>
      </c>
    </row>
    <row r="125" spans="3:6" x14ac:dyDescent="0.25">
      <c r="C125" s="25" t="str">
        <f t="shared" si="2"/>
        <v/>
      </c>
      <c r="F125" s="29" cm="1">
        <f t="array" ref="F125">SUMPRODUCT((ТВ!$A$2:$A$1000='ТВ Каналы'!A125)*(ТВ!$B$2:$B$1000='ТВ Каналы'!D125)*ТВ!$C$2:$C$1000)</f>
        <v>0</v>
      </c>
    </row>
    <row r="126" spans="3:6" x14ac:dyDescent="0.25">
      <c r="C126" s="25" t="str">
        <f t="shared" si="2"/>
        <v/>
      </c>
      <c r="F126" s="29" cm="1">
        <f t="array" ref="F126">SUMPRODUCT((ТВ!$A$2:$A$1000='ТВ Каналы'!A126)*(ТВ!$B$2:$B$1000='ТВ Каналы'!D126)*ТВ!$C$2:$C$1000)</f>
        <v>0</v>
      </c>
    </row>
    <row r="127" spans="3:6" x14ac:dyDescent="0.25">
      <c r="C127" s="25" t="str">
        <f t="shared" si="2"/>
        <v/>
      </c>
      <c r="F127" s="29" cm="1">
        <f t="array" ref="F127">SUMPRODUCT((ТВ!$A$2:$A$1000='ТВ Каналы'!A127)*(ТВ!$B$2:$B$1000='ТВ Каналы'!D127)*ТВ!$C$2:$C$1000)</f>
        <v>0</v>
      </c>
    </row>
    <row r="128" spans="3:6" x14ac:dyDescent="0.25">
      <c r="C128" s="25" t="str">
        <f t="shared" si="2"/>
        <v/>
      </c>
      <c r="F128" s="29" cm="1">
        <f t="array" ref="F128">SUMPRODUCT((ТВ!$A$2:$A$1000='ТВ Каналы'!A128)*(ТВ!$B$2:$B$1000='ТВ Каналы'!D128)*ТВ!$C$2:$C$1000)</f>
        <v>0</v>
      </c>
    </row>
    <row r="129" spans="3:6" x14ac:dyDescent="0.25">
      <c r="C129" s="25" t="str">
        <f t="shared" si="2"/>
        <v/>
      </c>
      <c r="F129" s="29" cm="1">
        <f t="array" ref="F129">SUMPRODUCT((ТВ!$A$2:$A$1000='ТВ Каналы'!A129)*(ТВ!$B$2:$B$1000='ТВ Каналы'!D129)*ТВ!$C$2:$C$1000)</f>
        <v>0</v>
      </c>
    </row>
    <row r="130" spans="3:6" x14ac:dyDescent="0.25">
      <c r="C130" s="25" t="str">
        <f t="shared" si="2"/>
        <v/>
      </c>
      <c r="F130" s="29" cm="1">
        <f t="array" ref="F130">SUMPRODUCT((ТВ!$A$2:$A$1000='ТВ Каналы'!A130)*(ТВ!$B$2:$B$1000='ТВ Каналы'!D130)*ТВ!$C$2:$C$1000)</f>
        <v>0</v>
      </c>
    </row>
    <row r="131" spans="3:6" x14ac:dyDescent="0.25">
      <c r="C131" s="25" t="str">
        <f t="shared" ref="C131:C194" si="3">_xlfn.CONCAT(A131,B131)</f>
        <v/>
      </c>
      <c r="F131" s="29" cm="1">
        <f t="array" ref="F131">SUMPRODUCT((ТВ!$A$2:$A$1000='ТВ Каналы'!A131)*(ТВ!$B$2:$B$1000='ТВ Каналы'!D131)*ТВ!$C$2:$C$1000)</f>
        <v>0</v>
      </c>
    </row>
    <row r="132" spans="3:6" x14ac:dyDescent="0.25">
      <c r="C132" s="25" t="str">
        <f t="shared" si="3"/>
        <v/>
      </c>
      <c r="F132" s="29" cm="1">
        <f t="array" ref="F132">SUMPRODUCT((ТВ!$A$2:$A$1000='ТВ Каналы'!A132)*(ТВ!$B$2:$B$1000='ТВ Каналы'!D132)*ТВ!$C$2:$C$1000)</f>
        <v>0</v>
      </c>
    </row>
    <row r="133" spans="3:6" x14ac:dyDescent="0.25">
      <c r="C133" s="25" t="str">
        <f t="shared" si="3"/>
        <v/>
      </c>
      <c r="F133" s="29" cm="1">
        <f t="array" ref="F133">SUMPRODUCT((ТВ!$A$2:$A$1000='ТВ Каналы'!A133)*(ТВ!$B$2:$B$1000='ТВ Каналы'!D133)*ТВ!$C$2:$C$1000)</f>
        <v>0</v>
      </c>
    </row>
    <row r="134" spans="3:6" x14ac:dyDescent="0.25">
      <c r="C134" s="25" t="str">
        <f t="shared" si="3"/>
        <v/>
      </c>
      <c r="F134" s="29" cm="1">
        <f t="array" ref="F134">SUMPRODUCT((ТВ!$A$2:$A$1000='ТВ Каналы'!A134)*(ТВ!$B$2:$B$1000='ТВ Каналы'!D134)*ТВ!$C$2:$C$1000)</f>
        <v>0</v>
      </c>
    </row>
    <row r="135" spans="3:6" x14ac:dyDescent="0.25">
      <c r="C135" s="25" t="str">
        <f t="shared" si="3"/>
        <v/>
      </c>
      <c r="F135" s="29" cm="1">
        <f t="array" ref="F135">SUMPRODUCT((ТВ!$A$2:$A$1000='ТВ Каналы'!A135)*(ТВ!$B$2:$B$1000='ТВ Каналы'!D135)*ТВ!$C$2:$C$1000)</f>
        <v>0</v>
      </c>
    </row>
    <row r="136" spans="3:6" x14ac:dyDescent="0.25">
      <c r="C136" s="25" t="str">
        <f t="shared" si="3"/>
        <v/>
      </c>
      <c r="F136" s="29" cm="1">
        <f t="array" ref="F136">SUMPRODUCT((ТВ!$A$2:$A$1000='ТВ Каналы'!A136)*(ТВ!$B$2:$B$1000='ТВ Каналы'!D136)*ТВ!$C$2:$C$1000)</f>
        <v>0</v>
      </c>
    </row>
    <row r="137" spans="3:6" x14ac:dyDescent="0.25">
      <c r="C137" s="25" t="str">
        <f t="shared" si="3"/>
        <v/>
      </c>
      <c r="F137" s="29" cm="1">
        <f t="array" ref="F137">SUMPRODUCT((ТВ!$A$2:$A$1000='ТВ Каналы'!A137)*(ТВ!$B$2:$B$1000='ТВ Каналы'!D137)*ТВ!$C$2:$C$1000)</f>
        <v>0</v>
      </c>
    </row>
    <row r="138" spans="3:6" x14ac:dyDescent="0.25">
      <c r="C138" s="25" t="str">
        <f t="shared" si="3"/>
        <v/>
      </c>
      <c r="F138" s="29" cm="1">
        <f t="array" ref="F138">SUMPRODUCT((ТВ!$A$2:$A$1000='ТВ Каналы'!A138)*(ТВ!$B$2:$B$1000='ТВ Каналы'!D138)*ТВ!$C$2:$C$1000)</f>
        <v>0</v>
      </c>
    </row>
    <row r="139" spans="3:6" x14ac:dyDescent="0.25">
      <c r="C139" s="25" t="str">
        <f t="shared" si="3"/>
        <v/>
      </c>
      <c r="F139" s="29" cm="1">
        <f t="array" ref="F139">SUMPRODUCT((ТВ!$A$2:$A$1000='ТВ Каналы'!A139)*(ТВ!$B$2:$B$1000='ТВ Каналы'!D139)*ТВ!$C$2:$C$1000)</f>
        <v>0</v>
      </c>
    </row>
    <row r="140" spans="3:6" x14ac:dyDescent="0.25">
      <c r="C140" s="25" t="str">
        <f t="shared" si="3"/>
        <v/>
      </c>
      <c r="F140" s="29" cm="1">
        <f t="array" ref="F140">SUMPRODUCT((ТВ!$A$2:$A$1000='ТВ Каналы'!A140)*(ТВ!$B$2:$B$1000='ТВ Каналы'!D140)*ТВ!$C$2:$C$1000)</f>
        <v>0</v>
      </c>
    </row>
    <row r="141" spans="3:6" x14ac:dyDescent="0.25">
      <c r="C141" s="25" t="str">
        <f t="shared" si="3"/>
        <v/>
      </c>
      <c r="F141" s="29" cm="1">
        <f t="array" ref="F141">SUMPRODUCT((ТВ!$A$2:$A$1000='ТВ Каналы'!A141)*(ТВ!$B$2:$B$1000='ТВ Каналы'!D141)*ТВ!$C$2:$C$1000)</f>
        <v>0</v>
      </c>
    </row>
    <row r="142" spans="3:6" x14ac:dyDescent="0.25">
      <c r="C142" s="25" t="str">
        <f t="shared" si="3"/>
        <v/>
      </c>
      <c r="F142" s="29" cm="1">
        <f t="array" ref="F142">SUMPRODUCT((ТВ!$A$2:$A$1000='ТВ Каналы'!A142)*(ТВ!$B$2:$B$1000='ТВ Каналы'!D142)*ТВ!$C$2:$C$1000)</f>
        <v>0</v>
      </c>
    </row>
    <row r="143" spans="3:6" x14ac:dyDescent="0.25">
      <c r="C143" s="25" t="str">
        <f t="shared" si="3"/>
        <v/>
      </c>
      <c r="F143" s="29" cm="1">
        <f t="array" ref="F143">SUMPRODUCT((ТВ!$A$2:$A$1000='ТВ Каналы'!A143)*(ТВ!$B$2:$B$1000='ТВ Каналы'!D143)*ТВ!$C$2:$C$1000)</f>
        <v>0</v>
      </c>
    </row>
    <row r="144" spans="3:6" x14ac:dyDescent="0.25">
      <c r="C144" s="25" t="str">
        <f t="shared" si="3"/>
        <v/>
      </c>
      <c r="F144" s="29" cm="1">
        <f t="array" ref="F144">SUMPRODUCT((ТВ!$A$2:$A$1000='ТВ Каналы'!A144)*(ТВ!$B$2:$B$1000='ТВ Каналы'!D144)*ТВ!$C$2:$C$1000)</f>
        <v>0</v>
      </c>
    </row>
    <row r="145" spans="3:6" x14ac:dyDescent="0.25">
      <c r="C145" s="25" t="str">
        <f t="shared" si="3"/>
        <v/>
      </c>
      <c r="F145" s="29" cm="1">
        <f t="array" ref="F145">SUMPRODUCT((ТВ!$A$2:$A$1000='ТВ Каналы'!A145)*(ТВ!$B$2:$B$1000='ТВ Каналы'!D145)*ТВ!$C$2:$C$1000)</f>
        <v>0</v>
      </c>
    </row>
    <row r="146" spans="3:6" x14ac:dyDescent="0.25">
      <c r="C146" s="25" t="str">
        <f t="shared" si="3"/>
        <v/>
      </c>
      <c r="F146" s="29" cm="1">
        <f t="array" ref="F146">SUMPRODUCT((ТВ!$A$2:$A$1000='ТВ Каналы'!A146)*(ТВ!$B$2:$B$1000='ТВ Каналы'!D146)*ТВ!$C$2:$C$1000)</f>
        <v>0</v>
      </c>
    </row>
    <row r="147" spans="3:6" x14ac:dyDescent="0.25">
      <c r="C147" s="25" t="str">
        <f t="shared" si="3"/>
        <v/>
      </c>
      <c r="F147" s="29" cm="1">
        <f t="array" ref="F147">SUMPRODUCT((ТВ!$A$2:$A$1000='ТВ Каналы'!A147)*(ТВ!$B$2:$B$1000='ТВ Каналы'!D147)*ТВ!$C$2:$C$1000)</f>
        <v>0</v>
      </c>
    </row>
    <row r="148" spans="3:6" x14ac:dyDescent="0.25">
      <c r="C148" s="25" t="str">
        <f t="shared" si="3"/>
        <v/>
      </c>
      <c r="F148" s="29" cm="1">
        <f t="array" ref="F148">SUMPRODUCT((ТВ!$A$2:$A$1000='ТВ Каналы'!A148)*(ТВ!$B$2:$B$1000='ТВ Каналы'!D148)*ТВ!$C$2:$C$1000)</f>
        <v>0</v>
      </c>
    </row>
    <row r="149" spans="3:6" x14ac:dyDescent="0.25">
      <c r="C149" s="25" t="str">
        <f t="shared" si="3"/>
        <v/>
      </c>
      <c r="F149" s="29" cm="1">
        <f t="array" ref="F149">SUMPRODUCT((ТВ!$A$2:$A$1000='ТВ Каналы'!A149)*(ТВ!$B$2:$B$1000='ТВ Каналы'!D149)*ТВ!$C$2:$C$1000)</f>
        <v>0</v>
      </c>
    </row>
    <row r="150" spans="3:6" x14ac:dyDescent="0.25">
      <c r="C150" s="25" t="str">
        <f t="shared" si="3"/>
        <v/>
      </c>
      <c r="F150" s="29" cm="1">
        <f t="array" ref="F150">SUMPRODUCT((ТВ!$A$2:$A$1000='ТВ Каналы'!A150)*(ТВ!$B$2:$B$1000='ТВ Каналы'!D150)*ТВ!$C$2:$C$1000)</f>
        <v>0</v>
      </c>
    </row>
    <row r="151" spans="3:6" x14ac:dyDescent="0.25">
      <c r="C151" s="25" t="str">
        <f t="shared" si="3"/>
        <v/>
      </c>
      <c r="F151" s="29" cm="1">
        <f t="array" ref="F151">SUMPRODUCT((ТВ!$A$2:$A$1000='ТВ Каналы'!A151)*(ТВ!$B$2:$B$1000='ТВ Каналы'!D151)*ТВ!$C$2:$C$1000)</f>
        <v>0</v>
      </c>
    </row>
    <row r="152" spans="3:6" x14ac:dyDescent="0.25">
      <c r="C152" s="25" t="str">
        <f t="shared" si="3"/>
        <v/>
      </c>
      <c r="F152" s="29" cm="1">
        <f t="array" ref="F152">SUMPRODUCT((ТВ!$A$2:$A$1000='ТВ Каналы'!A152)*(ТВ!$B$2:$B$1000='ТВ Каналы'!D152)*ТВ!$C$2:$C$1000)</f>
        <v>0</v>
      </c>
    </row>
    <row r="153" spans="3:6" x14ac:dyDescent="0.25">
      <c r="C153" s="25" t="str">
        <f t="shared" si="3"/>
        <v/>
      </c>
      <c r="F153" s="29" cm="1">
        <f t="array" ref="F153">SUMPRODUCT((ТВ!$A$2:$A$1000='ТВ Каналы'!A153)*(ТВ!$B$2:$B$1000='ТВ Каналы'!D153)*ТВ!$C$2:$C$1000)</f>
        <v>0</v>
      </c>
    </row>
    <row r="154" spans="3:6" x14ac:dyDescent="0.25">
      <c r="C154" s="25" t="str">
        <f t="shared" si="3"/>
        <v/>
      </c>
      <c r="F154" s="29" cm="1">
        <f t="array" ref="F154">SUMPRODUCT((ТВ!$A$2:$A$1000='ТВ Каналы'!A154)*(ТВ!$B$2:$B$1000='ТВ Каналы'!D154)*ТВ!$C$2:$C$1000)</f>
        <v>0</v>
      </c>
    </row>
    <row r="155" spans="3:6" x14ac:dyDescent="0.25">
      <c r="C155" s="25" t="str">
        <f t="shared" si="3"/>
        <v/>
      </c>
      <c r="F155" s="29" cm="1">
        <f t="array" ref="F155">SUMPRODUCT((ТВ!$A$2:$A$1000='ТВ Каналы'!A155)*(ТВ!$B$2:$B$1000='ТВ Каналы'!D155)*ТВ!$C$2:$C$1000)</f>
        <v>0</v>
      </c>
    </row>
    <row r="156" spans="3:6" x14ac:dyDescent="0.25">
      <c r="C156" s="25" t="str">
        <f t="shared" si="3"/>
        <v/>
      </c>
      <c r="F156" s="29" cm="1">
        <f t="array" ref="F156">SUMPRODUCT((ТВ!$A$2:$A$1000='ТВ Каналы'!A156)*(ТВ!$B$2:$B$1000='ТВ Каналы'!D156)*ТВ!$C$2:$C$1000)</f>
        <v>0</v>
      </c>
    </row>
    <row r="157" spans="3:6" x14ac:dyDescent="0.25">
      <c r="C157" s="25" t="str">
        <f t="shared" si="3"/>
        <v/>
      </c>
      <c r="F157" s="29" cm="1">
        <f t="array" ref="F157">SUMPRODUCT((ТВ!$A$2:$A$1000='ТВ Каналы'!A157)*(ТВ!$B$2:$B$1000='ТВ Каналы'!D157)*ТВ!$C$2:$C$1000)</f>
        <v>0</v>
      </c>
    </row>
    <row r="158" spans="3:6" x14ac:dyDescent="0.25">
      <c r="C158" s="25" t="str">
        <f t="shared" si="3"/>
        <v/>
      </c>
      <c r="F158" s="29" cm="1">
        <f t="array" ref="F158">SUMPRODUCT((ТВ!$A$2:$A$1000='ТВ Каналы'!A158)*(ТВ!$B$2:$B$1000='ТВ Каналы'!D158)*ТВ!$C$2:$C$1000)</f>
        <v>0</v>
      </c>
    </row>
    <row r="159" spans="3:6" x14ac:dyDescent="0.25">
      <c r="C159" s="25" t="str">
        <f t="shared" si="3"/>
        <v/>
      </c>
      <c r="F159" s="29" cm="1">
        <f t="array" ref="F159">SUMPRODUCT((ТВ!$A$2:$A$1000='ТВ Каналы'!A159)*(ТВ!$B$2:$B$1000='ТВ Каналы'!D159)*ТВ!$C$2:$C$1000)</f>
        <v>0</v>
      </c>
    </row>
    <row r="160" spans="3:6" x14ac:dyDescent="0.25">
      <c r="C160" s="25" t="str">
        <f t="shared" si="3"/>
        <v/>
      </c>
      <c r="F160" s="29" cm="1">
        <f t="array" ref="F160">SUMPRODUCT((ТВ!$A$2:$A$1000='ТВ Каналы'!A160)*(ТВ!$B$2:$B$1000='ТВ Каналы'!D160)*ТВ!$C$2:$C$1000)</f>
        <v>0</v>
      </c>
    </row>
    <row r="161" spans="3:6" x14ac:dyDescent="0.25">
      <c r="C161" s="25" t="str">
        <f t="shared" si="3"/>
        <v/>
      </c>
      <c r="F161" s="29" cm="1">
        <f t="array" ref="F161">SUMPRODUCT((ТВ!$A$2:$A$1000='ТВ Каналы'!A161)*(ТВ!$B$2:$B$1000='ТВ Каналы'!D161)*ТВ!$C$2:$C$1000)</f>
        <v>0</v>
      </c>
    </row>
    <row r="162" spans="3:6" x14ac:dyDescent="0.25">
      <c r="C162" s="25" t="str">
        <f t="shared" si="3"/>
        <v/>
      </c>
      <c r="F162" s="29" cm="1">
        <f t="array" ref="F162">SUMPRODUCT((ТВ!$A$2:$A$1000='ТВ Каналы'!A162)*(ТВ!$B$2:$B$1000='ТВ Каналы'!D162)*ТВ!$C$2:$C$1000)</f>
        <v>0</v>
      </c>
    </row>
    <row r="163" spans="3:6" x14ac:dyDescent="0.25">
      <c r="C163" s="25" t="str">
        <f t="shared" si="3"/>
        <v/>
      </c>
      <c r="F163" s="29" cm="1">
        <f t="array" ref="F163">SUMPRODUCT((ТВ!$A$2:$A$1000='ТВ Каналы'!A163)*(ТВ!$B$2:$B$1000='ТВ Каналы'!D163)*ТВ!$C$2:$C$1000)</f>
        <v>0</v>
      </c>
    </row>
    <row r="164" spans="3:6" x14ac:dyDescent="0.25">
      <c r="C164" s="25" t="str">
        <f t="shared" si="3"/>
        <v/>
      </c>
      <c r="F164" s="29" cm="1">
        <f t="array" ref="F164">SUMPRODUCT((ТВ!$A$2:$A$1000='ТВ Каналы'!A164)*(ТВ!$B$2:$B$1000='ТВ Каналы'!D164)*ТВ!$C$2:$C$1000)</f>
        <v>0</v>
      </c>
    </row>
    <row r="165" spans="3:6" x14ac:dyDescent="0.25">
      <c r="C165" s="25" t="str">
        <f t="shared" si="3"/>
        <v/>
      </c>
      <c r="F165" s="29" cm="1">
        <f t="array" ref="F165">SUMPRODUCT((ТВ!$A$2:$A$1000='ТВ Каналы'!A165)*(ТВ!$B$2:$B$1000='ТВ Каналы'!D165)*ТВ!$C$2:$C$1000)</f>
        <v>0</v>
      </c>
    </row>
    <row r="166" spans="3:6" x14ac:dyDescent="0.25">
      <c r="C166" s="25" t="str">
        <f t="shared" si="3"/>
        <v/>
      </c>
      <c r="F166" s="29" cm="1">
        <f t="array" ref="F166">SUMPRODUCT((ТВ!$A$2:$A$1000='ТВ Каналы'!A166)*(ТВ!$B$2:$B$1000='ТВ Каналы'!D166)*ТВ!$C$2:$C$1000)</f>
        <v>0</v>
      </c>
    </row>
    <row r="167" spans="3:6" x14ac:dyDescent="0.25">
      <c r="C167" s="25" t="str">
        <f t="shared" si="3"/>
        <v/>
      </c>
      <c r="F167" s="29" cm="1">
        <f t="array" ref="F167">SUMPRODUCT((ТВ!$A$2:$A$1000='ТВ Каналы'!A167)*(ТВ!$B$2:$B$1000='ТВ Каналы'!D167)*ТВ!$C$2:$C$1000)</f>
        <v>0</v>
      </c>
    </row>
    <row r="168" spans="3:6" x14ac:dyDescent="0.25">
      <c r="C168" s="25" t="str">
        <f t="shared" si="3"/>
        <v/>
      </c>
      <c r="F168" s="29" cm="1">
        <f t="array" ref="F168">SUMPRODUCT((ТВ!$A$2:$A$1000='ТВ Каналы'!A168)*(ТВ!$B$2:$B$1000='ТВ Каналы'!D168)*ТВ!$C$2:$C$1000)</f>
        <v>0</v>
      </c>
    </row>
    <row r="169" spans="3:6" x14ac:dyDescent="0.25">
      <c r="C169" s="25" t="str">
        <f t="shared" si="3"/>
        <v/>
      </c>
      <c r="F169" s="29" cm="1">
        <f t="array" ref="F169">SUMPRODUCT((ТВ!$A$2:$A$1000='ТВ Каналы'!A169)*(ТВ!$B$2:$B$1000='ТВ Каналы'!D169)*ТВ!$C$2:$C$1000)</f>
        <v>0</v>
      </c>
    </row>
    <row r="170" spans="3:6" x14ac:dyDescent="0.25">
      <c r="C170" s="25" t="str">
        <f t="shared" si="3"/>
        <v/>
      </c>
      <c r="F170" s="29" cm="1">
        <f t="array" ref="F170">SUMPRODUCT((ТВ!$A$2:$A$1000='ТВ Каналы'!A170)*(ТВ!$B$2:$B$1000='ТВ Каналы'!D170)*ТВ!$C$2:$C$1000)</f>
        <v>0</v>
      </c>
    </row>
    <row r="171" spans="3:6" x14ac:dyDescent="0.25">
      <c r="C171" s="25" t="str">
        <f t="shared" si="3"/>
        <v/>
      </c>
      <c r="F171" s="29" cm="1">
        <f t="array" ref="F171">SUMPRODUCT((ТВ!$A$2:$A$1000='ТВ Каналы'!A171)*(ТВ!$B$2:$B$1000='ТВ Каналы'!D171)*ТВ!$C$2:$C$1000)</f>
        <v>0</v>
      </c>
    </row>
    <row r="172" spans="3:6" x14ac:dyDescent="0.25">
      <c r="C172" s="25" t="str">
        <f t="shared" si="3"/>
        <v/>
      </c>
      <c r="F172" s="29" cm="1">
        <f t="array" ref="F172">SUMPRODUCT((ТВ!$A$2:$A$1000='ТВ Каналы'!A172)*(ТВ!$B$2:$B$1000='ТВ Каналы'!D172)*ТВ!$C$2:$C$1000)</f>
        <v>0</v>
      </c>
    </row>
    <row r="173" spans="3:6" x14ac:dyDescent="0.25">
      <c r="C173" s="25" t="str">
        <f t="shared" si="3"/>
        <v/>
      </c>
      <c r="F173" s="29" cm="1">
        <f t="array" ref="F173">SUMPRODUCT((ТВ!$A$2:$A$1000='ТВ Каналы'!A173)*(ТВ!$B$2:$B$1000='ТВ Каналы'!D173)*ТВ!$C$2:$C$1000)</f>
        <v>0</v>
      </c>
    </row>
    <row r="174" spans="3:6" x14ac:dyDescent="0.25">
      <c r="C174" s="25" t="str">
        <f t="shared" si="3"/>
        <v/>
      </c>
      <c r="F174" s="29" cm="1">
        <f t="array" ref="F174">SUMPRODUCT((ТВ!$A$2:$A$1000='ТВ Каналы'!A174)*(ТВ!$B$2:$B$1000='ТВ Каналы'!D174)*ТВ!$C$2:$C$1000)</f>
        <v>0</v>
      </c>
    </row>
    <row r="175" spans="3:6" x14ac:dyDescent="0.25">
      <c r="C175" s="25" t="str">
        <f t="shared" si="3"/>
        <v/>
      </c>
      <c r="F175" s="29" cm="1">
        <f t="array" ref="F175">SUMPRODUCT((ТВ!$A$2:$A$1000='ТВ Каналы'!A175)*(ТВ!$B$2:$B$1000='ТВ Каналы'!D175)*ТВ!$C$2:$C$1000)</f>
        <v>0</v>
      </c>
    </row>
    <row r="176" spans="3:6" x14ac:dyDescent="0.25">
      <c r="C176" s="25" t="str">
        <f t="shared" si="3"/>
        <v/>
      </c>
      <c r="F176" s="29" cm="1">
        <f t="array" ref="F176">SUMPRODUCT((ТВ!$A$2:$A$1000='ТВ Каналы'!A176)*(ТВ!$B$2:$B$1000='ТВ Каналы'!D176)*ТВ!$C$2:$C$1000)</f>
        <v>0</v>
      </c>
    </row>
    <row r="177" spans="3:6" x14ac:dyDescent="0.25">
      <c r="C177" s="25" t="str">
        <f t="shared" si="3"/>
        <v/>
      </c>
      <c r="F177" s="29" cm="1">
        <f t="array" ref="F177">SUMPRODUCT((ТВ!$A$2:$A$1000='ТВ Каналы'!A177)*(ТВ!$B$2:$B$1000='ТВ Каналы'!D177)*ТВ!$C$2:$C$1000)</f>
        <v>0</v>
      </c>
    </row>
    <row r="178" spans="3:6" x14ac:dyDescent="0.25">
      <c r="C178" s="25" t="str">
        <f t="shared" si="3"/>
        <v/>
      </c>
      <c r="F178" s="29" cm="1">
        <f t="array" ref="F178">SUMPRODUCT((ТВ!$A$2:$A$1000='ТВ Каналы'!A178)*(ТВ!$B$2:$B$1000='ТВ Каналы'!D178)*ТВ!$C$2:$C$1000)</f>
        <v>0</v>
      </c>
    </row>
    <row r="179" spans="3:6" x14ac:dyDescent="0.25">
      <c r="C179" s="25" t="str">
        <f t="shared" si="3"/>
        <v/>
      </c>
      <c r="F179" s="29" cm="1">
        <f t="array" ref="F179">SUMPRODUCT((ТВ!$A$2:$A$1000='ТВ Каналы'!A179)*(ТВ!$B$2:$B$1000='ТВ Каналы'!D179)*ТВ!$C$2:$C$1000)</f>
        <v>0</v>
      </c>
    </row>
    <row r="180" spans="3:6" x14ac:dyDescent="0.25">
      <c r="C180" s="25" t="str">
        <f t="shared" si="3"/>
        <v/>
      </c>
      <c r="F180" s="29" cm="1">
        <f t="array" ref="F180">SUMPRODUCT((ТВ!$A$2:$A$1000='ТВ Каналы'!A180)*(ТВ!$B$2:$B$1000='ТВ Каналы'!D180)*ТВ!$C$2:$C$1000)</f>
        <v>0</v>
      </c>
    </row>
    <row r="181" spans="3:6" x14ac:dyDescent="0.25">
      <c r="C181" s="25" t="str">
        <f t="shared" si="3"/>
        <v/>
      </c>
      <c r="F181" s="29" cm="1">
        <f t="array" ref="F181">SUMPRODUCT((ТВ!$A$2:$A$1000='ТВ Каналы'!A181)*(ТВ!$B$2:$B$1000='ТВ Каналы'!D181)*ТВ!$C$2:$C$1000)</f>
        <v>0</v>
      </c>
    </row>
    <row r="182" spans="3:6" x14ac:dyDescent="0.25">
      <c r="C182" s="25" t="str">
        <f t="shared" si="3"/>
        <v/>
      </c>
      <c r="F182" s="29" cm="1">
        <f t="array" ref="F182">SUMPRODUCT((ТВ!$A$2:$A$1000='ТВ Каналы'!A182)*(ТВ!$B$2:$B$1000='ТВ Каналы'!D182)*ТВ!$C$2:$C$1000)</f>
        <v>0</v>
      </c>
    </row>
    <row r="183" spans="3:6" x14ac:dyDescent="0.25">
      <c r="C183" s="25" t="str">
        <f t="shared" si="3"/>
        <v/>
      </c>
      <c r="F183" s="29" cm="1">
        <f t="array" ref="F183">SUMPRODUCT((ТВ!$A$2:$A$1000='ТВ Каналы'!A183)*(ТВ!$B$2:$B$1000='ТВ Каналы'!D183)*ТВ!$C$2:$C$1000)</f>
        <v>0</v>
      </c>
    </row>
    <row r="184" spans="3:6" x14ac:dyDescent="0.25">
      <c r="C184" s="25" t="str">
        <f t="shared" si="3"/>
        <v/>
      </c>
      <c r="F184" s="29" cm="1">
        <f t="array" ref="F184">SUMPRODUCT((ТВ!$A$2:$A$1000='ТВ Каналы'!A184)*(ТВ!$B$2:$B$1000='ТВ Каналы'!D184)*ТВ!$C$2:$C$1000)</f>
        <v>0</v>
      </c>
    </row>
    <row r="185" spans="3:6" x14ac:dyDescent="0.25">
      <c r="C185" s="25" t="str">
        <f t="shared" si="3"/>
        <v/>
      </c>
      <c r="F185" s="29" cm="1">
        <f t="array" ref="F185">SUMPRODUCT((ТВ!$A$2:$A$1000='ТВ Каналы'!A185)*(ТВ!$B$2:$B$1000='ТВ Каналы'!D185)*ТВ!$C$2:$C$1000)</f>
        <v>0</v>
      </c>
    </row>
    <row r="186" spans="3:6" x14ac:dyDescent="0.25">
      <c r="C186" s="25" t="str">
        <f t="shared" si="3"/>
        <v/>
      </c>
      <c r="F186" s="29" cm="1">
        <f t="array" ref="F186">SUMPRODUCT((ТВ!$A$2:$A$1000='ТВ Каналы'!A186)*(ТВ!$B$2:$B$1000='ТВ Каналы'!D186)*ТВ!$C$2:$C$1000)</f>
        <v>0</v>
      </c>
    </row>
    <row r="187" spans="3:6" x14ac:dyDescent="0.25">
      <c r="C187" s="25" t="str">
        <f t="shared" si="3"/>
        <v/>
      </c>
      <c r="F187" s="29" cm="1">
        <f t="array" ref="F187">SUMPRODUCT((ТВ!$A$2:$A$1000='ТВ Каналы'!A187)*(ТВ!$B$2:$B$1000='ТВ Каналы'!D187)*ТВ!$C$2:$C$1000)</f>
        <v>0</v>
      </c>
    </row>
    <row r="188" spans="3:6" x14ac:dyDescent="0.25">
      <c r="C188" s="25" t="str">
        <f t="shared" si="3"/>
        <v/>
      </c>
      <c r="F188" s="29" cm="1">
        <f t="array" ref="F188">SUMPRODUCT((ТВ!$A$2:$A$1000='ТВ Каналы'!A188)*(ТВ!$B$2:$B$1000='ТВ Каналы'!D188)*ТВ!$C$2:$C$1000)</f>
        <v>0</v>
      </c>
    </row>
    <row r="189" spans="3:6" x14ac:dyDescent="0.25">
      <c r="C189" s="25" t="str">
        <f t="shared" si="3"/>
        <v/>
      </c>
      <c r="F189" s="29" cm="1">
        <f t="array" ref="F189">SUMPRODUCT((ТВ!$A$2:$A$1000='ТВ Каналы'!A189)*(ТВ!$B$2:$B$1000='ТВ Каналы'!D189)*ТВ!$C$2:$C$1000)</f>
        <v>0</v>
      </c>
    </row>
    <row r="190" spans="3:6" x14ac:dyDescent="0.25">
      <c r="C190" s="25" t="str">
        <f t="shared" si="3"/>
        <v/>
      </c>
      <c r="F190" s="29" cm="1">
        <f t="array" ref="F190">SUMPRODUCT((ТВ!$A$2:$A$1000='ТВ Каналы'!A190)*(ТВ!$B$2:$B$1000='ТВ Каналы'!D190)*ТВ!$C$2:$C$1000)</f>
        <v>0</v>
      </c>
    </row>
    <row r="191" spans="3:6" x14ac:dyDescent="0.25">
      <c r="C191" s="25" t="str">
        <f t="shared" si="3"/>
        <v/>
      </c>
      <c r="F191" s="29" cm="1">
        <f t="array" ref="F191">SUMPRODUCT((ТВ!$A$2:$A$1000='ТВ Каналы'!A191)*(ТВ!$B$2:$B$1000='ТВ Каналы'!D191)*ТВ!$C$2:$C$1000)</f>
        <v>0</v>
      </c>
    </row>
    <row r="192" spans="3:6" x14ac:dyDescent="0.25">
      <c r="C192" s="25" t="str">
        <f t="shared" si="3"/>
        <v/>
      </c>
      <c r="F192" s="29" cm="1">
        <f t="array" ref="F192">SUMPRODUCT((ТВ!$A$2:$A$1000='ТВ Каналы'!A192)*(ТВ!$B$2:$B$1000='ТВ Каналы'!D192)*ТВ!$C$2:$C$1000)</f>
        <v>0</v>
      </c>
    </row>
    <row r="193" spans="3:6" x14ac:dyDescent="0.25">
      <c r="C193" s="25" t="str">
        <f t="shared" si="3"/>
        <v/>
      </c>
      <c r="F193" s="29" cm="1">
        <f t="array" ref="F193">SUMPRODUCT((ТВ!$A$2:$A$1000='ТВ Каналы'!A193)*(ТВ!$B$2:$B$1000='ТВ Каналы'!D193)*ТВ!$C$2:$C$1000)</f>
        <v>0</v>
      </c>
    </row>
    <row r="194" spans="3:6" x14ac:dyDescent="0.25">
      <c r="C194" s="25" t="str">
        <f t="shared" si="3"/>
        <v/>
      </c>
      <c r="F194" s="29" cm="1">
        <f t="array" ref="F194">SUMPRODUCT((ТВ!$A$2:$A$1000='ТВ Каналы'!A194)*(ТВ!$B$2:$B$1000='ТВ Каналы'!D194)*ТВ!$C$2:$C$1000)</f>
        <v>0</v>
      </c>
    </row>
    <row r="195" spans="3:6" x14ac:dyDescent="0.25">
      <c r="C195" s="25" t="str">
        <f t="shared" ref="C195:C258" si="4">_xlfn.CONCAT(A195,B195)</f>
        <v/>
      </c>
      <c r="F195" s="29" cm="1">
        <f t="array" ref="F195">SUMPRODUCT((ТВ!$A$2:$A$1000='ТВ Каналы'!A195)*(ТВ!$B$2:$B$1000='ТВ Каналы'!D195)*ТВ!$C$2:$C$1000)</f>
        <v>0</v>
      </c>
    </row>
    <row r="196" spans="3:6" x14ac:dyDescent="0.25">
      <c r="C196" s="25" t="str">
        <f t="shared" si="4"/>
        <v/>
      </c>
      <c r="F196" s="29" cm="1">
        <f t="array" ref="F196">SUMPRODUCT((ТВ!$A$2:$A$1000='ТВ Каналы'!A196)*(ТВ!$B$2:$B$1000='ТВ Каналы'!D196)*ТВ!$C$2:$C$1000)</f>
        <v>0</v>
      </c>
    </row>
    <row r="197" spans="3:6" x14ac:dyDescent="0.25">
      <c r="C197" s="25" t="str">
        <f t="shared" si="4"/>
        <v/>
      </c>
      <c r="F197" s="29" cm="1">
        <f t="array" ref="F197">SUMPRODUCT((ТВ!$A$2:$A$1000='ТВ Каналы'!A197)*(ТВ!$B$2:$B$1000='ТВ Каналы'!D197)*ТВ!$C$2:$C$1000)</f>
        <v>0</v>
      </c>
    </row>
    <row r="198" spans="3:6" x14ac:dyDescent="0.25">
      <c r="C198" s="25" t="str">
        <f t="shared" si="4"/>
        <v/>
      </c>
      <c r="F198" s="29" cm="1">
        <f t="array" ref="F198">SUMPRODUCT((ТВ!$A$2:$A$1000='ТВ Каналы'!A198)*(ТВ!$B$2:$B$1000='ТВ Каналы'!D198)*ТВ!$C$2:$C$1000)</f>
        <v>0</v>
      </c>
    </row>
    <row r="199" spans="3:6" x14ac:dyDescent="0.25">
      <c r="C199" s="25" t="str">
        <f t="shared" si="4"/>
        <v/>
      </c>
      <c r="F199" s="29" cm="1">
        <f t="array" ref="F199">SUMPRODUCT((ТВ!$A$2:$A$1000='ТВ Каналы'!A199)*(ТВ!$B$2:$B$1000='ТВ Каналы'!D199)*ТВ!$C$2:$C$1000)</f>
        <v>0</v>
      </c>
    </row>
    <row r="200" spans="3:6" x14ac:dyDescent="0.25">
      <c r="C200" s="25" t="str">
        <f t="shared" si="4"/>
        <v/>
      </c>
      <c r="F200" s="29" cm="1">
        <f t="array" ref="F200">SUMPRODUCT((ТВ!$A$2:$A$1000='ТВ Каналы'!A200)*(ТВ!$B$2:$B$1000='ТВ Каналы'!D200)*ТВ!$C$2:$C$1000)</f>
        <v>0</v>
      </c>
    </row>
    <row r="201" spans="3:6" x14ac:dyDescent="0.25">
      <c r="C201" s="25" t="str">
        <f t="shared" si="4"/>
        <v/>
      </c>
      <c r="F201" s="29" cm="1">
        <f t="array" ref="F201">SUMPRODUCT((ТВ!$A$2:$A$1000='ТВ Каналы'!A201)*(ТВ!$B$2:$B$1000='ТВ Каналы'!D201)*ТВ!$C$2:$C$1000)</f>
        <v>0</v>
      </c>
    </row>
    <row r="202" spans="3:6" x14ac:dyDescent="0.25">
      <c r="C202" s="25" t="str">
        <f t="shared" si="4"/>
        <v/>
      </c>
      <c r="F202" s="29" cm="1">
        <f t="array" ref="F202">SUMPRODUCT((ТВ!$A$2:$A$1000='ТВ Каналы'!A202)*(ТВ!$B$2:$B$1000='ТВ Каналы'!D202)*ТВ!$C$2:$C$1000)</f>
        <v>0</v>
      </c>
    </row>
    <row r="203" spans="3:6" x14ac:dyDescent="0.25">
      <c r="C203" s="25" t="str">
        <f t="shared" si="4"/>
        <v/>
      </c>
      <c r="F203" s="29" cm="1">
        <f t="array" ref="F203">SUMPRODUCT((ТВ!$A$2:$A$1000='ТВ Каналы'!A203)*(ТВ!$B$2:$B$1000='ТВ Каналы'!D203)*ТВ!$C$2:$C$1000)</f>
        <v>0</v>
      </c>
    </row>
    <row r="204" spans="3:6" x14ac:dyDescent="0.25">
      <c r="C204" s="25" t="str">
        <f t="shared" si="4"/>
        <v/>
      </c>
      <c r="F204" s="29" cm="1">
        <f t="array" ref="F204">SUMPRODUCT((ТВ!$A$2:$A$1000='ТВ Каналы'!A204)*(ТВ!$B$2:$B$1000='ТВ Каналы'!D204)*ТВ!$C$2:$C$1000)</f>
        <v>0</v>
      </c>
    </row>
    <row r="205" spans="3:6" x14ac:dyDescent="0.25">
      <c r="C205" s="25" t="str">
        <f t="shared" si="4"/>
        <v/>
      </c>
      <c r="F205" s="29" cm="1">
        <f t="array" ref="F205">SUMPRODUCT((ТВ!$A$2:$A$1000='ТВ Каналы'!A205)*(ТВ!$B$2:$B$1000='ТВ Каналы'!D205)*ТВ!$C$2:$C$1000)</f>
        <v>0</v>
      </c>
    </row>
    <row r="206" spans="3:6" x14ac:dyDescent="0.25">
      <c r="C206" s="25" t="str">
        <f t="shared" si="4"/>
        <v/>
      </c>
      <c r="F206" s="29" cm="1">
        <f t="array" ref="F206">SUMPRODUCT((ТВ!$A$2:$A$1000='ТВ Каналы'!A206)*(ТВ!$B$2:$B$1000='ТВ Каналы'!D206)*ТВ!$C$2:$C$1000)</f>
        <v>0</v>
      </c>
    </row>
    <row r="207" spans="3:6" x14ac:dyDescent="0.25">
      <c r="C207" s="25" t="str">
        <f t="shared" si="4"/>
        <v/>
      </c>
      <c r="F207" s="29" cm="1">
        <f t="array" ref="F207">SUMPRODUCT((ТВ!$A$2:$A$1000='ТВ Каналы'!A207)*(ТВ!$B$2:$B$1000='ТВ Каналы'!D207)*ТВ!$C$2:$C$1000)</f>
        <v>0</v>
      </c>
    </row>
    <row r="208" spans="3:6" x14ac:dyDescent="0.25">
      <c r="C208" s="25" t="str">
        <f t="shared" si="4"/>
        <v/>
      </c>
      <c r="F208" s="29" cm="1">
        <f t="array" ref="F208">SUMPRODUCT((ТВ!$A$2:$A$1000='ТВ Каналы'!A208)*(ТВ!$B$2:$B$1000='ТВ Каналы'!D208)*ТВ!$C$2:$C$1000)</f>
        <v>0</v>
      </c>
    </row>
    <row r="209" spans="3:6" x14ac:dyDescent="0.25">
      <c r="C209" s="25" t="str">
        <f t="shared" si="4"/>
        <v/>
      </c>
      <c r="F209" s="29" cm="1">
        <f t="array" ref="F209">SUMPRODUCT((ТВ!$A$2:$A$1000='ТВ Каналы'!A209)*(ТВ!$B$2:$B$1000='ТВ Каналы'!D209)*ТВ!$C$2:$C$1000)</f>
        <v>0</v>
      </c>
    </row>
    <row r="210" spans="3:6" x14ac:dyDescent="0.25">
      <c r="C210" s="25" t="str">
        <f t="shared" si="4"/>
        <v/>
      </c>
      <c r="F210" s="29" cm="1">
        <f t="array" ref="F210">SUMPRODUCT((ТВ!$A$2:$A$1000='ТВ Каналы'!A210)*(ТВ!$B$2:$B$1000='ТВ Каналы'!D210)*ТВ!$C$2:$C$1000)</f>
        <v>0</v>
      </c>
    </row>
    <row r="211" spans="3:6" x14ac:dyDescent="0.25">
      <c r="C211" s="25" t="str">
        <f t="shared" si="4"/>
        <v/>
      </c>
      <c r="F211" s="29" cm="1">
        <f t="array" ref="F211">SUMPRODUCT((ТВ!$A$2:$A$1000='ТВ Каналы'!A211)*(ТВ!$B$2:$B$1000='ТВ Каналы'!D211)*ТВ!$C$2:$C$1000)</f>
        <v>0</v>
      </c>
    </row>
    <row r="212" spans="3:6" x14ac:dyDescent="0.25">
      <c r="C212" s="25" t="str">
        <f t="shared" si="4"/>
        <v/>
      </c>
      <c r="F212" s="29" cm="1">
        <f t="array" ref="F212">SUMPRODUCT((ТВ!$A$2:$A$1000='ТВ Каналы'!A212)*(ТВ!$B$2:$B$1000='ТВ Каналы'!D212)*ТВ!$C$2:$C$1000)</f>
        <v>0</v>
      </c>
    </row>
    <row r="213" spans="3:6" x14ac:dyDescent="0.25">
      <c r="C213" s="25" t="str">
        <f t="shared" si="4"/>
        <v/>
      </c>
      <c r="F213" s="29" cm="1">
        <f t="array" ref="F213">SUMPRODUCT((ТВ!$A$2:$A$1000='ТВ Каналы'!A213)*(ТВ!$B$2:$B$1000='ТВ Каналы'!D213)*ТВ!$C$2:$C$1000)</f>
        <v>0</v>
      </c>
    </row>
    <row r="214" spans="3:6" x14ac:dyDescent="0.25">
      <c r="C214" s="25" t="str">
        <f t="shared" si="4"/>
        <v/>
      </c>
      <c r="F214" s="29" cm="1">
        <f t="array" ref="F214">SUMPRODUCT((ТВ!$A$2:$A$1000='ТВ Каналы'!A214)*(ТВ!$B$2:$B$1000='ТВ Каналы'!D214)*ТВ!$C$2:$C$1000)</f>
        <v>0</v>
      </c>
    </row>
    <row r="215" spans="3:6" x14ac:dyDescent="0.25">
      <c r="C215" s="25" t="str">
        <f t="shared" si="4"/>
        <v/>
      </c>
      <c r="F215" s="29" cm="1">
        <f t="array" ref="F215">SUMPRODUCT((ТВ!$A$2:$A$1000='ТВ Каналы'!A215)*(ТВ!$B$2:$B$1000='ТВ Каналы'!D215)*ТВ!$C$2:$C$1000)</f>
        <v>0</v>
      </c>
    </row>
    <row r="216" spans="3:6" x14ac:dyDescent="0.25">
      <c r="C216" s="25" t="str">
        <f t="shared" si="4"/>
        <v/>
      </c>
      <c r="F216" s="29" cm="1">
        <f t="array" ref="F216">SUMPRODUCT((ТВ!$A$2:$A$1000='ТВ Каналы'!A216)*(ТВ!$B$2:$B$1000='ТВ Каналы'!D216)*ТВ!$C$2:$C$1000)</f>
        <v>0</v>
      </c>
    </row>
    <row r="217" spans="3:6" x14ac:dyDescent="0.25">
      <c r="C217" s="25" t="str">
        <f t="shared" si="4"/>
        <v/>
      </c>
      <c r="F217" s="29" cm="1">
        <f t="array" ref="F217">SUMPRODUCT((ТВ!$A$2:$A$1000='ТВ Каналы'!A217)*(ТВ!$B$2:$B$1000='ТВ Каналы'!D217)*ТВ!$C$2:$C$1000)</f>
        <v>0</v>
      </c>
    </row>
    <row r="218" spans="3:6" x14ac:dyDescent="0.25">
      <c r="C218" s="25" t="str">
        <f t="shared" si="4"/>
        <v/>
      </c>
      <c r="F218" s="29" cm="1">
        <f t="array" ref="F218">SUMPRODUCT((ТВ!$A$2:$A$1000='ТВ Каналы'!A218)*(ТВ!$B$2:$B$1000='ТВ Каналы'!D218)*ТВ!$C$2:$C$1000)</f>
        <v>0</v>
      </c>
    </row>
    <row r="219" spans="3:6" x14ac:dyDescent="0.25">
      <c r="C219" s="25" t="str">
        <f t="shared" si="4"/>
        <v/>
      </c>
      <c r="F219" s="29" cm="1">
        <f t="array" ref="F219">SUMPRODUCT((ТВ!$A$2:$A$1000='ТВ Каналы'!A219)*(ТВ!$B$2:$B$1000='ТВ Каналы'!D219)*ТВ!$C$2:$C$1000)</f>
        <v>0</v>
      </c>
    </row>
    <row r="220" spans="3:6" x14ac:dyDescent="0.25">
      <c r="C220" s="25" t="str">
        <f t="shared" si="4"/>
        <v/>
      </c>
      <c r="F220" s="29" cm="1">
        <f t="array" ref="F220">SUMPRODUCT((ТВ!$A$2:$A$1000='ТВ Каналы'!A220)*(ТВ!$B$2:$B$1000='ТВ Каналы'!D220)*ТВ!$C$2:$C$1000)</f>
        <v>0</v>
      </c>
    </row>
    <row r="221" spans="3:6" x14ac:dyDescent="0.25">
      <c r="C221" s="25" t="str">
        <f t="shared" si="4"/>
        <v/>
      </c>
      <c r="F221" s="29" cm="1">
        <f t="array" ref="F221">SUMPRODUCT((ТВ!$A$2:$A$1000='ТВ Каналы'!A221)*(ТВ!$B$2:$B$1000='ТВ Каналы'!D221)*ТВ!$C$2:$C$1000)</f>
        <v>0</v>
      </c>
    </row>
    <row r="222" spans="3:6" x14ac:dyDescent="0.25">
      <c r="C222" s="25" t="str">
        <f t="shared" si="4"/>
        <v/>
      </c>
      <c r="F222" s="29" cm="1">
        <f t="array" ref="F222">SUMPRODUCT((ТВ!$A$2:$A$1000='ТВ Каналы'!A222)*(ТВ!$B$2:$B$1000='ТВ Каналы'!D222)*ТВ!$C$2:$C$1000)</f>
        <v>0</v>
      </c>
    </row>
    <row r="223" spans="3:6" x14ac:dyDescent="0.25">
      <c r="C223" s="25" t="str">
        <f t="shared" si="4"/>
        <v/>
      </c>
      <c r="F223" s="29" cm="1">
        <f t="array" ref="F223">SUMPRODUCT((ТВ!$A$2:$A$1000='ТВ Каналы'!A223)*(ТВ!$B$2:$B$1000='ТВ Каналы'!D223)*ТВ!$C$2:$C$1000)</f>
        <v>0</v>
      </c>
    </row>
    <row r="224" spans="3:6" x14ac:dyDescent="0.25">
      <c r="C224" s="25" t="str">
        <f t="shared" si="4"/>
        <v/>
      </c>
      <c r="F224" s="29" cm="1">
        <f t="array" ref="F224">SUMPRODUCT((ТВ!$A$2:$A$1000='ТВ Каналы'!A224)*(ТВ!$B$2:$B$1000='ТВ Каналы'!D224)*ТВ!$C$2:$C$1000)</f>
        <v>0</v>
      </c>
    </row>
    <row r="225" spans="3:6" x14ac:dyDescent="0.25">
      <c r="C225" s="25" t="str">
        <f t="shared" si="4"/>
        <v/>
      </c>
      <c r="F225" s="29" cm="1">
        <f t="array" ref="F225">SUMPRODUCT((ТВ!$A$2:$A$1000='ТВ Каналы'!A225)*(ТВ!$B$2:$B$1000='ТВ Каналы'!D225)*ТВ!$C$2:$C$1000)</f>
        <v>0</v>
      </c>
    </row>
    <row r="226" spans="3:6" x14ac:dyDescent="0.25">
      <c r="C226" s="25" t="str">
        <f t="shared" si="4"/>
        <v/>
      </c>
      <c r="F226" s="29" cm="1">
        <f t="array" ref="F226">SUMPRODUCT((ТВ!$A$2:$A$1000='ТВ Каналы'!A226)*(ТВ!$B$2:$B$1000='ТВ Каналы'!D226)*ТВ!$C$2:$C$1000)</f>
        <v>0</v>
      </c>
    </row>
    <row r="227" spans="3:6" x14ac:dyDescent="0.25">
      <c r="C227" s="25" t="str">
        <f t="shared" si="4"/>
        <v/>
      </c>
      <c r="F227" s="29" cm="1">
        <f t="array" ref="F227">SUMPRODUCT((ТВ!$A$2:$A$1000='ТВ Каналы'!A227)*(ТВ!$B$2:$B$1000='ТВ Каналы'!D227)*ТВ!$C$2:$C$1000)</f>
        <v>0</v>
      </c>
    </row>
    <row r="228" spans="3:6" x14ac:dyDescent="0.25">
      <c r="C228" s="25" t="str">
        <f t="shared" si="4"/>
        <v/>
      </c>
      <c r="F228" s="29" cm="1">
        <f t="array" ref="F228">SUMPRODUCT((ТВ!$A$2:$A$1000='ТВ Каналы'!A228)*(ТВ!$B$2:$B$1000='ТВ Каналы'!D228)*ТВ!$C$2:$C$1000)</f>
        <v>0</v>
      </c>
    </row>
    <row r="229" spans="3:6" x14ac:dyDescent="0.25">
      <c r="C229" s="25" t="str">
        <f t="shared" si="4"/>
        <v/>
      </c>
      <c r="F229" s="29" cm="1">
        <f t="array" ref="F229">SUMPRODUCT((ТВ!$A$2:$A$1000='ТВ Каналы'!A229)*(ТВ!$B$2:$B$1000='ТВ Каналы'!D229)*ТВ!$C$2:$C$1000)</f>
        <v>0</v>
      </c>
    </row>
    <row r="230" spans="3:6" x14ac:dyDescent="0.25">
      <c r="C230" s="25" t="str">
        <f t="shared" si="4"/>
        <v/>
      </c>
      <c r="F230" s="29" cm="1">
        <f t="array" ref="F230">SUMPRODUCT((ТВ!$A$2:$A$1000='ТВ Каналы'!A230)*(ТВ!$B$2:$B$1000='ТВ Каналы'!D230)*ТВ!$C$2:$C$1000)</f>
        <v>0</v>
      </c>
    </row>
    <row r="231" spans="3:6" x14ac:dyDescent="0.25">
      <c r="C231" s="25" t="str">
        <f t="shared" si="4"/>
        <v/>
      </c>
      <c r="F231" s="29" cm="1">
        <f t="array" ref="F231">SUMPRODUCT((ТВ!$A$2:$A$1000='ТВ Каналы'!A231)*(ТВ!$B$2:$B$1000='ТВ Каналы'!D231)*ТВ!$C$2:$C$1000)</f>
        <v>0</v>
      </c>
    </row>
    <row r="232" spans="3:6" x14ac:dyDescent="0.25">
      <c r="C232" s="25" t="str">
        <f t="shared" si="4"/>
        <v/>
      </c>
      <c r="F232" s="29" cm="1">
        <f t="array" ref="F232">SUMPRODUCT((ТВ!$A$2:$A$1000='ТВ Каналы'!A232)*(ТВ!$B$2:$B$1000='ТВ Каналы'!D232)*ТВ!$C$2:$C$1000)</f>
        <v>0</v>
      </c>
    </row>
    <row r="233" spans="3:6" x14ac:dyDescent="0.25">
      <c r="C233" s="25" t="str">
        <f t="shared" si="4"/>
        <v/>
      </c>
      <c r="F233" s="29" cm="1">
        <f t="array" ref="F233">SUMPRODUCT((ТВ!$A$2:$A$1000='ТВ Каналы'!A233)*(ТВ!$B$2:$B$1000='ТВ Каналы'!D233)*ТВ!$C$2:$C$1000)</f>
        <v>0</v>
      </c>
    </row>
    <row r="234" spans="3:6" x14ac:dyDescent="0.25">
      <c r="C234" s="25" t="str">
        <f t="shared" si="4"/>
        <v/>
      </c>
      <c r="F234" s="29" cm="1">
        <f t="array" ref="F234">SUMPRODUCT((ТВ!$A$2:$A$1000='ТВ Каналы'!A234)*(ТВ!$B$2:$B$1000='ТВ Каналы'!D234)*ТВ!$C$2:$C$1000)</f>
        <v>0</v>
      </c>
    </row>
    <row r="235" spans="3:6" x14ac:dyDescent="0.25">
      <c r="C235" s="25" t="str">
        <f t="shared" si="4"/>
        <v/>
      </c>
      <c r="F235" s="29" cm="1">
        <f t="array" ref="F235">SUMPRODUCT((ТВ!$A$2:$A$1000='ТВ Каналы'!A235)*(ТВ!$B$2:$B$1000='ТВ Каналы'!D235)*ТВ!$C$2:$C$1000)</f>
        <v>0</v>
      </c>
    </row>
    <row r="236" spans="3:6" x14ac:dyDescent="0.25">
      <c r="C236" s="25" t="str">
        <f t="shared" si="4"/>
        <v/>
      </c>
      <c r="F236" s="29" cm="1">
        <f t="array" ref="F236">SUMPRODUCT((ТВ!$A$2:$A$1000='ТВ Каналы'!A236)*(ТВ!$B$2:$B$1000='ТВ Каналы'!D236)*ТВ!$C$2:$C$1000)</f>
        <v>0</v>
      </c>
    </row>
    <row r="237" spans="3:6" x14ac:dyDescent="0.25">
      <c r="C237" s="25" t="str">
        <f t="shared" si="4"/>
        <v/>
      </c>
      <c r="F237" s="29" cm="1">
        <f t="array" ref="F237">SUMPRODUCT((ТВ!$A$2:$A$1000='ТВ Каналы'!A237)*(ТВ!$B$2:$B$1000='ТВ Каналы'!D237)*ТВ!$C$2:$C$1000)</f>
        <v>0</v>
      </c>
    </row>
    <row r="238" spans="3:6" x14ac:dyDescent="0.25">
      <c r="C238" s="25" t="str">
        <f t="shared" si="4"/>
        <v/>
      </c>
      <c r="F238" s="29" cm="1">
        <f t="array" ref="F238">SUMPRODUCT((ТВ!$A$2:$A$1000='ТВ Каналы'!A238)*(ТВ!$B$2:$B$1000='ТВ Каналы'!D238)*ТВ!$C$2:$C$1000)</f>
        <v>0</v>
      </c>
    </row>
    <row r="239" spans="3:6" x14ac:dyDescent="0.25">
      <c r="C239" s="25" t="str">
        <f t="shared" si="4"/>
        <v/>
      </c>
      <c r="F239" s="29" cm="1">
        <f t="array" ref="F239">SUMPRODUCT((ТВ!$A$2:$A$1000='ТВ Каналы'!A239)*(ТВ!$B$2:$B$1000='ТВ Каналы'!D239)*ТВ!$C$2:$C$1000)</f>
        <v>0</v>
      </c>
    </row>
    <row r="240" spans="3:6" x14ac:dyDescent="0.25">
      <c r="C240" s="25" t="str">
        <f t="shared" si="4"/>
        <v/>
      </c>
      <c r="F240" s="29" cm="1">
        <f t="array" ref="F240">SUMPRODUCT((ТВ!$A$2:$A$1000='ТВ Каналы'!A240)*(ТВ!$B$2:$B$1000='ТВ Каналы'!D240)*ТВ!$C$2:$C$1000)</f>
        <v>0</v>
      </c>
    </row>
    <row r="241" spans="3:6" x14ac:dyDescent="0.25">
      <c r="C241" s="25" t="str">
        <f t="shared" si="4"/>
        <v/>
      </c>
      <c r="F241" s="29" cm="1">
        <f t="array" ref="F241">SUMPRODUCT((ТВ!$A$2:$A$1000='ТВ Каналы'!A241)*(ТВ!$B$2:$B$1000='ТВ Каналы'!D241)*ТВ!$C$2:$C$1000)</f>
        <v>0</v>
      </c>
    </row>
    <row r="242" spans="3:6" x14ac:dyDescent="0.25">
      <c r="C242" s="25" t="str">
        <f t="shared" si="4"/>
        <v/>
      </c>
      <c r="F242" s="29" cm="1">
        <f t="array" ref="F242">SUMPRODUCT((ТВ!$A$2:$A$1000='ТВ Каналы'!A242)*(ТВ!$B$2:$B$1000='ТВ Каналы'!D242)*ТВ!$C$2:$C$1000)</f>
        <v>0</v>
      </c>
    </row>
    <row r="243" spans="3:6" x14ac:dyDescent="0.25">
      <c r="C243" s="25" t="str">
        <f t="shared" si="4"/>
        <v/>
      </c>
      <c r="F243" s="29" cm="1">
        <f t="array" ref="F243">SUMPRODUCT((ТВ!$A$2:$A$1000='ТВ Каналы'!A243)*(ТВ!$B$2:$B$1000='ТВ Каналы'!D243)*ТВ!$C$2:$C$1000)</f>
        <v>0</v>
      </c>
    </row>
    <row r="244" spans="3:6" x14ac:dyDescent="0.25">
      <c r="C244" s="25" t="str">
        <f t="shared" si="4"/>
        <v/>
      </c>
      <c r="F244" s="29" cm="1">
        <f t="array" ref="F244">SUMPRODUCT((ТВ!$A$2:$A$1000='ТВ Каналы'!A244)*(ТВ!$B$2:$B$1000='ТВ Каналы'!D244)*ТВ!$C$2:$C$1000)</f>
        <v>0</v>
      </c>
    </row>
    <row r="245" spans="3:6" x14ac:dyDescent="0.25">
      <c r="C245" s="25" t="str">
        <f t="shared" si="4"/>
        <v/>
      </c>
      <c r="F245" s="29" cm="1">
        <f t="array" ref="F245">SUMPRODUCT((ТВ!$A$2:$A$1000='ТВ Каналы'!A245)*(ТВ!$B$2:$B$1000='ТВ Каналы'!D245)*ТВ!$C$2:$C$1000)</f>
        <v>0</v>
      </c>
    </row>
    <row r="246" spans="3:6" x14ac:dyDescent="0.25">
      <c r="C246" s="25" t="str">
        <f t="shared" si="4"/>
        <v/>
      </c>
      <c r="F246" s="29" cm="1">
        <f t="array" ref="F246">SUMPRODUCT((ТВ!$A$2:$A$1000='ТВ Каналы'!A246)*(ТВ!$B$2:$B$1000='ТВ Каналы'!D246)*ТВ!$C$2:$C$1000)</f>
        <v>0</v>
      </c>
    </row>
    <row r="247" spans="3:6" x14ac:dyDescent="0.25">
      <c r="C247" s="25" t="str">
        <f t="shared" si="4"/>
        <v/>
      </c>
      <c r="F247" s="29" cm="1">
        <f t="array" ref="F247">SUMPRODUCT((ТВ!$A$2:$A$1000='ТВ Каналы'!A247)*(ТВ!$B$2:$B$1000='ТВ Каналы'!D247)*ТВ!$C$2:$C$1000)</f>
        <v>0</v>
      </c>
    </row>
    <row r="248" spans="3:6" x14ac:dyDescent="0.25">
      <c r="C248" s="25" t="str">
        <f t="shared" si="4"/>
        <v/>
      </c>
      <c r="F248" s="29" cm="1">
        <f t="array" ref="F248">SUMPRODUCT((ТВ!$A$2:$A$1000='ТВ Каналы'!A248)*(ТВ!$B$2:$B$1000='ТВ Каналы'!D248)*ТВ!$C$2:$C$1000)</f>
        <v>0</v>
      </c>
    </row>
    <row r="249" spans="3:6" x14ac:dyDescent="0.25">
      <c r="C249" s="25" t="str">
        <f t="shared" si="4"/>
        <v/>
      </c>
      <c r="F249" s="29" cm="1">
        <f t="array" ref="F249">SUMPRODUCT((ТВ!$A$2:$A$1000='ТВ Каналы'!A249)*(ТВ!$B$2:$B$1000='ТВ Каналы'!D249)*ТВ!$C$2:$C$1000)</f>
        <v>0</v>
      </c>
    </row>
    <row r="250" spans="3:6" x14ac:dyDescent="0.25">
      <c r="C250" s="25" t="str">
        <f t="shared" si="4"/>
        <v/>
      </c>
      <c r="F250" s="29" cm="1">
        <f t="array" ref="F250">SUMPRODUCT((ТВ!$A$2:$A$1000='ТВ Каналы'!A250)*(ТВ!$B$2:$B$1000='ТВ Каналы'!D250)*ТВ!$C$2:$C$1000)</f>
        <v>0</v>
      </c>
    </row>
    <row r="251" spans="3:6" x14ac:dyDescent="0.25">
      <c r="C251" s="25" t="str">
        <f t="shared" si="4"/>
        <v/>
      </c>
      <c r="F251" s="29" cm="1">
        <f t="array" ref="F251">SUMPRODUCT((ТВ!$A$2:$A$1000='ТВ Каналы'!A251)*(ТВ!$B$2:$B$1000='ТВ Каналы'!D251)*ТВ!$C$2:$C$1000)</f>
        <v>0</v>
      </c>
    </row>
    <row r="252" spans="3:6" x14ac:dyDescent="0.25">
      <c r="C252" s="25" t="str">
        <f t="shared" si="4"/>
        <v/>
      </c>
      <c r="F252" s="29" cm="1">
        <f t="array" ref="F252">SUMPRODUCT((ТВ!$A$2:$A$1000='ТВ Каналы'!A252)*(ТВ!$B$2:$B$1000='ТВ Каналы'!D252)*ТВ!$C$2:$C$1000)</f>
        <v>0</v>
      </c>
    </row>
    <row r="253" spans="3:6" x14ac:dyDescent="0.25">
      <c r="C253" s="25" t="str">
        <f t="shared" si="4"/>
        <v/>
      </c>
      <c r="F253" s="29" cm="1">
        <f t="array" ref="F253">SUMPRODUCT((ТВ!$A$2:$A$1000='ТВ Каналы'!A253)*(ТВ!$B$2:$B$1000='ТВ Каналы'!D253)*ТВ!$C$2:$C$1000)</f>
        <v>0</v>
      </c>
    </row>
    <row r="254" spans="3:6" x14ac:dyDescent="0.25">
      <c r="C254" s="25" t="str">
        <f t="shared" si="4"/>
        <v/>
      </c>
      <c r="F254" s="29" cm="1">
        <f t="array" ref="F254">SUMPRODUCT((ТВ!$A$2:$A$1000='ТВ Каналы'!A254)*(ТВ!$B$2:$B$1000='ТВ Каналы'!D254)*ТВ!$C$2:$C$1000)</f>
        <v>0</v>
      </c>
    </row>
    <row r="255" spans="3:6" x14ac:dyDescent="0.25">
      <c r="C255" s="25" t="str">
        <f t="shared" si="4"/>
        <v/>
      </c>
      <c r="F255" s="29" cm="1">
        <f t="array" ref="F255">SUMPRODUCT((ТВ!$A$2:$A$1000='ТВ Каналы'!A255)*(ТВ!$B$2:$B$1000='ТВ Каналы'!D255)*ТВ!$C$2:$C$1000)</f>
        <v>0</v>
      </c>
    </row>
    <row r="256" spans="3:6" x14ac:dyDescent="0.25">
      <c r="C256" s="25" t="str">
        <f t="shared" si="4"/>
        <v/>
      </c>
      <c r="F256" s="29" cm="1">
        <f t="array" ref="F256">SUMPRODUCT((ТВ!$A$2:$A$1000='ТВ Каналы'!A256)*(ТВ!$B$2:$B$1000='ТВ Каналы'!D256)*ТВ!$C$2:$C$1000)</f>
        <v>0</v>
      </c>
    </row>
    <row r="257" spans="3:6" x14ac:dyDescent="0.25">
      <c r="C257" s="25" t="str">
        <f t="shared" si="4"/>
        <v/>
      </c>
      <c r="F257" s="29" cm="1">
        <f t="array" ref="F257">SUMPRODUCT((ТВ!$A$2:$A$1000='ТВ Каналы'!A257)*(ТВ!$B$2:$B$1000='ТВ Каналы'!D257)*ТВ!$C$2:$C$1000)</f>
        <v>0</v>
      </c>
    </row>
    <row r="258" spans="3:6" x14ac:dyDescent="0.25">
      <c r="C258" s="25" t="str">
        <f t="shared" si="4"/>
        <v/>
      </c>
      <c r="F258" s="29" cm="1">
        <f t="array" ref="F258">SUMPRODUCT((ТВ!$A$2:$A$1000='ТВ Каналы'!A258)*(ТВ!$B$2:$B$1000='ТВ Каналы'!D258)*ТВ!$C$2:$C$1000)</f>
        <v>0</v>
      </c>
    </row>
    <row r="259" spans="3:6" x14ac:dyDescent="0.25">
      <c r="C259" s="25" t="str">
        <f t="shared" ref="C259:C322" si="5">_xlfn.CONCAT(A259,B259)</f>
        <v/>
      </c>
      <c r="F259" s="29" cm="1">
        <f t="array" ref="F259">SUMPRODUCT((ТВ!$A$2:$A$1000='ТВ Каналы'!A259)*(ТВ!$B$2:$B$1000='ТВ Каналы'!D259)*ТВ!$C$2:$C$1000)</f>
        <v>0</v>
      </c>
    </row>
    <row r="260" spans="3:6" x14ac:dyDescent="0.25">
      <c r="C260" s="25" t="str">
        <f t="shared" si="5"/>
        <v/>
      </c>
      <c r="F260" s="29" cm="1">
        <f t="array" ref="F260">SUMPRODUCT((ТВ!$A$2:$A$1000='ТВ Каналы'!A260)*(ТВ!$B$2:$B$1000='ТВ Каналы'!D260)*ТВ!$C$2:$C$1000)</f>
        <v>0</v>
      </c>
    </row>
    <row r="261" spans="3:6" x14ac:dyDescent="0.25">
      <c r="C261" s="25" t="str">
        <f t="shared" si="5"/>
        <v/>
      </c>
      <c r="F261" s="29" cm="1">
        <f t="array" ref="F261">SUMPRODUCT((ТВ!$A$2:$A$1000='ТВ Каналы'!A261)*(ТВ!$B$2:$B$1000='ТВ Каналы'!D261)*ТВ!$C$2:$C$1000)</f>
        <v>0</v>
      </c>
    </row>
    <row r="262" spans="3:6" x14ac:dyDescent="0.25">
      <c r="C262" s="25" t="str">
        <f t="shared" si="5"/>
        <v/>
      </c>
      <c r="F262" s="29" cm="1">
        <f t="array" ref="F262">SUMPRODUCT((ТВ!$A$2:$A$1000='ТВ Каналы'!A262)*(ТВ!$B$2:$B$1000='ТВ Каналы'!D262)*ТВ!$C$2:$C$1000)</f>
        <v>0</v>
      </c>
    </row>
    <row r="263" spans="3:6" x14ac:dyDescent="0.25">
      <c r="C263" s="25" t="str">
        <f t="shared" si="5"/>
        <v/>
      </c>
      <c r="F263" s="29" cm="1">
        <f t="array" ref="F263">SUMPRODUCT((ТВ!$A$2:$A$1000='ТВ Каналы'!A263)*(ТВ!$B$2:$B$1000='ТВ Каналы'!D263)*ТВ!$C$2:$C$1000)</f>
        <v>0</v>
      </c>
    </row>
    <row r="264" spans="3:6" x14ac:dyDescent="0.25">
      <c r="C264" s="25" t="str">
        <f t="shared" si="5"/>
        <v/>
      </c>
      <c r="F264" s="29" cm="1">
        <f t="array" ref="F264">SUMPRODUCT((ТВ!$A$2:$A$1000='ТВ Каналы'!A264)*(ТВ!$B$2:$B$1000='ТВ Каналы'!D264)*ТВ!$C$2:$C$1000)</f>
        <v>0</v>
      </c>
    </row>
    <row r="265" spans="3:6" x14ac:dyDescent="0.25">
      <c r="C265" s="25" t="str">
        <f t="shared" si="5"/>
        <v/>
      </c>
      <c r="F265" s="29" cm="1">
        <f t="array" ref="F265">SUMPRODUCT((ТВ!$A$2:$A$1000='ТВ Каналы'!A265)*(ТВ!$B$2:$B$1000='ТВ Каналы'!D265)*ТВ!$C$2:$C$1000)</f>
        <v>0</v>
      </c>
    </row>
    <row r="266" spans="3:6" x14ac:dyDescent="0.25">
      <c r="C266" s="25" t="str">
        <f t="shared" si="5"/>
        <v/>
      </c>
      <c r="F266" s="29" cm="1">
        <f t="array" ref="F266">SUMPRODUCT((ТВ!$A$2:$A$1000='ТВ Каналы'!A266)*(ТВ!$B$2:$B$1000='ТВ Каналы'!D266)*ТВ!$C$2:$C$1000)</f>
        <v>0</v>
      </c>
    </row>
    <row r="267" spans="3:6" x14ac:dyDescent="0.25">
      <c r="C267" s="25" t="str">
        <f t="shared" si="5"/>
        <v/>
      </c>
      <c r="F267" s="29" cm="1">
        <f t="array" ref="F267">SUMPRODUCT((ТВ!$A$2:$A$1000='ТВ Каналы'!A267)*(ТВ!$B$2:$B$1000='ТВ Каналы'!D267)*ТВ!$C$2:$C$1000)</f>
        <v>0</v>
      </c>
    </row>
    <row r="268" spans="3:6" x14ac:dyDescent="0.25">
      <c r="C268" s="25" t="str">
        <f t="shared" si="5"/>
        <v/>
      </c>
      <c r="F268" s="29" cm="1">
        <f t="array" ref="F268">SUMPRODUCT((ТВ!$A$2:$A$1000='ТВ Каналы'!A268)*(ТВ!$B$2:$B$1000='ТВ Каналы'!D268)*ТВ!$C$2:$C$1000)</f>
        <v>0</v>
      </c>
    </row>
    <row r="269" spans="3:6" x14ac:dyDescent="0.25">
      <c r="C269" s="25" t="str">
        <f t="shared" si="5"/>
        <v/>
      </c>
      <c r="F269" s="29" cm="1">
        <f t="array" ref="F269">SUMPRODUCT((ТВ!$A$2:$A$1000='ТВ Каналы'!A269)*(ТВ!$B$2:$B$1000='ТВ Каналы'!D269)*ТВ!$C$2:$C$1000)</f>
        <v>0</v>
      </c>
    </row>
    <row r="270" spans="3:6" x14ac:dyDescent="0.25">
      <c r="C270" s="25" t="str">
        <f t="shared" si="5"/>
        <v/>
      </c>
      <c r="F270" s="29" cm="1">
        <f t="array" ref="F270">SUMPRODUCT((ТВ!$A$2:$A$1000='ТВ Каналы'!A270)*(ТВ!$B$2:$B$1000='ТВ Каналы'!D270)*ТВ!$C$2:$C$1000)</f>
        <v>0</v>
      </c>
    </row>
    <row r="271" spans="3:6" x14ac:dyDescent="0.25">
      <c r="C271" s="25" t="str">
        <f t="shared" si="5"/>
        <v/>
      </c>
      <c r="F271" s="29" cm="1">
        <f t="array" ref="F271">SUMPRODUCT((ТВ!$A$2:$A$1000='ТВ Каналы'!A271)*(ТВ!$B$2:$B$1000='ТВ Каналы'!D271)*ТВ!$C$2:$C$1000)</f>
        <v>0</v>
      </c>
    </row>
    <row r="272" spans="3:6" x14ac:dyDescent="0.25">
      <c r="C272" s="25" t="str">
        <f t="shared" si="5"/>
        <v/>
      </c>
      <c r="F272" s="29" cm="1">
        <f t="array" ref="F272">SUMPRODUCT((ТВ!$A$2:$A$1000='ТВ Каналы'!A272)*(ТВ!$B$2:$B$1000='ТВ Каналы'!D272)*ТВ!$C$2:$C$1000)</f>
        <v>0</v>
      </c>
    </row>
    <row r="273" spans="3:6" x14ac:dyDescent="0.25">
      <c r="C273" s="25" t="str">
        <f t="shared" si="5"/>
        <v/>
      </c>
      <c r="F273" s="29" cm="1">
        <f t="array" ref="F273">SUMPRODUCT((ТВ!$A$2:$A$1000='ТВ Каналы'!A273)*(ТВ!$B$2:$B$1000='ТВ Каналы'!D273)*ТВ!$C$2:$C$1000)</f>
        <v>0</v>
      </c>
    </row>
    <row r="274" spans="3:6" x14ac:dyDescent="0.25">
      <c r="C274" s="25" t="str">
        <f t="shared" si="5"/>
        <v/>
      </c>
      <c r="F274" s="29" cm="1">
        <f t="array" ref="F274">SUMPRODUCT((ТВ!$A$2:$A$1000='ТВ Каналы'!A274)*(ТВ!$B$2:$B$1000='ТВ Каналы'!D274)*ТВ!$C$2:$C$1000)</f>
        <v>0</v>
      </c>
    </row>
    <row r="275" spans="3:6" x14ac:dyDescent="0.25">
      <c r="C275" s="25" t="str">
        <f t="shared" si="5"/>
        <v/>
      </c>
      <c r="F275" s="29" cm="1">
        <f t="array" ref="F275">SUMPRODUCT((ТВ!$A$2:$A$1000='ТВ Каналы'!A275)*(ТВ!$B$2:$B$1000='ТВ Каналы'!D275)*ТВ!$C$2:$C$1000)</f>
        <v>0</v>
      </c>
    </row>
    <row r="276" spans="3:6" x14ac:dyDescent="0.25">
      <c r="C276" s="25" t="str">
        <f t="shared" si="5"/>
        <v/>
      </c>
      <c r="F276" s="29" cm="1">
        <f t="array" ref="F276">SUMPRODUCT((ТВ!$A$2:$A$1000='ТВ Каналы'!A276)*(ТВ!$B$2:$B$1000='ТВ Каналы'!D276)*ТВ!$C$2:$C$1000)</f>
        <v>0</v>
      </c>
    </row>
    <row r="277" spans="3:6" x14ac:dyDescent="0.25">
      <c r="C277" s="25" t="str">
        <f t="shared" si="5"/>
        <v/>
      </c>
      <c r="F277" s="29" cm="1">
        <f t="array" ref="F277">SUMPRODUCT((ТВ!$A$2:$A$1000='ТВ Каналы'!A277)*(ТВ!$B$2:$B$1000='ТВ Каналы'!D277)*ТВ!$C$2:$C$1000)</f>
        <v>0</v>
      </c>
    </row>
    <row r="278" spans="3:6" x14ac:dyDescent="0.25">
      <c r="C278" s="25" t="str">
        <f t="shared" si="5"/>
        <v/>
      </c>
      <c r="F278" s="29" cm="1">
        <f t="array" ref="F278">SUMPRODUCT((ТВ!$A$2:$A$1000='ТВ Каналы'!A278)*(ТВ!$B$2:$B$1000='ТВ Каналы'!D278)*ТВ!$C$2:$C$1000)</f>
        <v>0</v>
      </c>
    </row>
    <row r="279" spans="3:6" x14ac:dyDescent="0.25">
      <c r="C279" s="25" t="str">
        <f t="shared" si="5"/>
        <v/>
      </c>
      <c r="F279" s="29" cm="1">
        <f t="array" ref="F279">SUMPRODUCT((ТВ!$A$2:$A$1000='ТВ Каналы'!A279)*(ТВ!$B$2:$B$1000='ТВ Каналы'!D279)*ТВ!$C$2:$C$1000)</f>
        <v>0</v>
      </c>
    </row>
    <row r="280" spans="3:6" x14ac:dyDescent="0.25">
      <c r="C280" s="25" t="str">
        <f t="shared" si="5"/>
        <v/>
      </c>
      <c r="F280" s="29" cm="1">
        <f t="array" ref="F280">SUMPRODUCT((ТВ!$A$2:$A$1000='ТВ Каналы'!A280)*(ТВ!$B$2:$B$1000='ТВ Каналы'!D280)*ТВ!$C$2:$C$1000)</f>
        <v>0</v>
      </c>
    </row>
    <row r="281" spans="3:6" x14ac:dyDescent="0.25">
      <c r="C281" s="25" t="str">
        <f t="shared" si="5"/>
        <v/>
      </c>
      <c r="F281" s="29" cm="1">
        <f t="array" ref="F281">SUMPRODUCT((ТВ!$A$2:$A$1000='ТВ Каналы'!A281)*(ТВ!$B$2:$B$1000='ТВ Каналы'!D281)*ТВ!$C$2:$C$1000)</f>
        <v>0</v>
      </c>
    </row>
    <row r="282" spans="3:6" x14ac:dyDescent="0.25">
      <c r="C282" s="25" t="str">
        <f t="shared" si="5"/>
        <v/>
      </c>
      <c r="F282" s="29" cm="1">
        <f t="array" ref="F282">SUMPRODUCT((ТВ!$A$2:$A$1000='ТВ Каналы'!A282)*(ТВ!$B$2:$B$1000='ТВ Каналы'!D282)*ТВ!$C$2:$C$1000)</f>
        <v>0</v>
      </c>
    </row>
    <row r="283" spans="3:6" x14ac:dyDescent="0.25">
      <c r="C283" s="25" t="str">
        <f t="shared" si="5"/>
        <v/>
      </c>
      <c r="F283" s="29" cm="1">
        <f t="array" ref="F283">SUMPRODUCT((ТВ!$A$2:$A$1000='ТВ Каналы'!A283)*(ТВ!$B$2:$B$1000='ТВ Каналы'!D283)*ТВ!$C$2:$C$1000)</f>
        <v>0</v>
      </c>
    </row>
    <row r="284" spans="3:6" x14ac:dyDescent="0.25">
      <c r="C284" s="25" t="str">
        <f t="shared" si="5"/>
        <v/>
      </c>
      <c r="F284" s="29" cm="1">
        <f t="array" ref="F284">SUMPRODUCT((ТВ!$A$2:$A$1000='ТВ Каналы'!A284)*(ТВ!$B$2:$B$1000='ТВ Каналы'!D284)*ТВ!$C$2:$C$1000)</f>
        <v>0</v>
      </c>
    </row>
    <row r="285" spans="3:6" x14ac:dyDescent="0.25">
      <c r="C285" s="25" t="str">
        <f t="shared" si="5"/>
        <v/>
      </c>
      <c r="F285" s="29" cm="1">
        <f t="array" ref="F285">SUMPRODUCT((ТВ!$A$2:$A$1000='ТВ Каналы'!A285)*(ТВ!$B$2:$B$1000='ТВ Каналы'!D285)*ТВ!$C$2:$C$1000)</f>
        <v>0</v>
      </c>
    </row>
    <row r="286" spans="3:6" x14ac:dyDescent="0.25">
      <c r="C286" s="25" t="str">
        <f t="shared" si="5"/>
        <v/>
      </c>
      <c r="F286" s="29" cm="1">
        <f t="array" ref="F286">SUMPRODUCT((ТВ!$A$2:$A$1000='ТВ Каналы'!A286)*(ТВ!$B$2:$B$1000='ТВ Каналы'!D286)*ТВ!$C$2:$C$1000)</f>
        <v>0</v>
      </c>
    </row>
    <row r="287" spans="3:6" x14ac:dyDescent="0.25">
      <c r="C287" s="25" t="str">
        <f t="shared" si="5"/>
        <v/>
      </c>
      <c r="F287" s="29" cm="1">
        <f t="array" ref="F287">SUMPRODUCT((ТВ!$A$2:$A$1000='ТВ Каналы'!A287)*(ТВ!$B$2:$B$1000='ТВ Каналы'!D287)*ТВ!$C$2:$C$1000)</f>
        <v>0</v>
      </c>
    </row>
    <row r="288" spans="3:6" x14ac:dyDescent="0.25">
      <c r="C288" s="25" t="str">
        <f t="shared" si="5"/>
        <v/>
      </c>
      <c r="F288" s="29" cm="1">
        <f t="array" ref="F288">SUMPRODUCT((ТВ!$A$2:$A$1000='ТВ Каналы'!A288)*(ТВ!$B$2:$B$1000='ТВ Каналы'!D288)*ТВ!$C$2:$C$1000)</f>
        <v>0</v>
      </c>
    </row>
    <row r="289" spans="3:6" x14ac:dyDescent="0.25">
      <c r="C289" s="25" t="str">
        <f t="shared" si="5"/>
        <v/>
      </c>
      <c r="F289" s="29" cm="1">
        <f t="array" ref="F289">SUMPRODUCT((ТВ!$A$2:$A$1000='ТВ Каналы'!A289)*(ТВ!$B$2:$B$1000='ТВ Каналы'!D289)*ТВ!$C$2:$C$1000)</f>
        <v>0</v>
      </c>
    </row>
    <row r="290" spans="3:6" x14ac:dyDescent="0.25">
      <c r="C290" s="25" t="str">
        <f t="shared" si="5"/>
        <v/>
      </c>
      <c r="F290" s="29" cm="1">
        <f t="array" ref="F290">SUMPRODUCT((ТВ!$A$2:$A$1000='ТВ Каналы'!A290)*(ТВ!$B$2:$B$1000='ТВ Каналы'!D290)*ТВ!$C$2:$C$1000)</f>
        <v>0</v>
      </c>
    </row>
    <row r="291" spans="3:6" x14ac:dyDescent="0.25">
      <c r="C291" s="25" t="str">
        <f t="shared" si="5"/>
        <v/>
      </c>
      <c r="F291" s="29" cm="1">
        <f t="array" ref="F291">SUMPRODUCT((ТВ!$A$2:$A$1000='ТВ Каналы'!A291)*(ТВ!$B$2:$B$1000='ТВ Каналы'!D291)*ТВ!$C$2:$C$1000)</f>
        <v>0</v>
      </c>
    </row>
    <row r="292" spans="3:6" x14ac:dyDescent="0.25">
      <c r="C292" s="25" t="str">
        <f t="shared" si="5"/>
        <v/>
      </c>
      <c r="F292" s="29" cm="1">
        <f t="array" ref="F292">SUMPRODUCT((ТВ!$A$2:$A$1000='ТВ Каналы'!A292)*(ТВ!$B$2:$B$1000='ТВ Каналы'!D292)*ТВ!$C$2:$C$1000)</f>
        <v>0</v>
      </c>
    </row>
    <row r="293" spans="3:6" x14ac:dyDescent="0.25">
      <c r="C293" s="25" t="str">
        <f t="shared" si="5"/>
        <v/>
      </c>
      <c r="F293" s="29" cm="1">
        <f t="array" ref="F293">SUMPRODUCT((ТВ!$A$2:$A$1000='ТВ Каналы'!A293)*(ТВ!$B$2:$B$1000='ТВ Каналы'!D293)*ТВ!$C$2:$C$1000)</f>
        <v>0</v>
      </c>
    </row>
    <row r="294" spans="3:6" x14ac:dyDescent="0.25">
      <c r="C294" s="25" t="str">
        <f t="shared" si="5"/>
        <v/>
      </c>
      <c r="F294" s="29" cm="1">
        <f t="array" ref="F294">SUMPRODUCT((ТВ!$A$2:$A$1000='ТВ Каналы'!A294)*(ТВ!$B$2:$B$1000='ТВ Каналы'!D294)*ТВ!$C$2:$C$1000)</f>
        <v>0</v>
      </c>
    </row>
    <row r="295" spans="3:6" x14ac:dyDescent="0.25">
      <c r="C295" s="25" t="str">
        <f t="shared" si="5"/>
        <v/>
      </c>
      <c r="F295" s="29" cm="1">
        <f t="array" ref="F295">SUMPRODUCT((ТВ!$A$2:$A$1000='ТВ Каналы'!A295)*(ТВ!$B$2:$B$1000='ТВ Каналы'!D295)*ТВ!$C$2:$C$1000)</f>
        <v>0</v>
      </c>
    </row>
    <row r="296" spans="3:6" x14ac:dyDescent="0.25">
      <c r="C296" s="25" t="str">
        <f t="shared" si="5"/>
        <v/>
      </c>
      <c r="F296" s="29" cm="1">
        <f t="array" ref="F296">SUMPRODUCT((ТВ!$A$2:$A$1000='ТВ Каналы'!A296)*(ТВ!$B$2:$B$1000='ТВ Каналы'!D296)*ТВ!$C$2:$C$1000)</f>
        <v>0</v>
      </c>
    </row>
    <row r="297" spans="3:6" x14ac:dyDescent="0.25">
      <c r="C297" s="25" t="str">
        <f t="shared" si="5"/>
        <v/>
      </c>
      <c r="F297" s="29" cm="1">
        <f t="array" ref="F297">SUMPRODUCT((ТВ!$A$2:$A$1000='ТВ Каналы'!A297)*(ТВ!$B$2:$B$1000='ТВ Каналы'!D297)*ТВ!$C$2:$C$1000)</f>
        <v>0</v>
      </c>
    </row>
    <row r="298" spans="3:6" x14ac:dyDescent="0.25">
      <c r="C298" s="25" t="str">
        <f t="shared" si="5"/>
        <v/>
      </c>
      <c r="F298" s="29" cm="1">
        <f t="array" ref="F298">SUMPRODUCT((ТВ!$A$2:$A$1000='ТВ Каналы'!A298)*(ТВ!$B$2:$B$1000='ТВ Каналы'!D298)*ТВ!$C$2:$C$1000)</f>
        <v>0</v>
      </c>
    </row>
    <row r="299" spans="3:6" x14ac:dyDescent="0.25">
      <c r="C299" s="25" t="str">
        <f t="shared" si="5"/>
        <v/>
      </c>
      <c r="F299" s="29" cm="1">
        <f t="array" ref="F299">SUMPRODUCT((ТВ!$A$2:$A$1000='ТВ Каналы'!A299)*(ТВ!$B$2:$B$1000='ТВ Каналы'!D299)*ТВ!$C$2:$C$1000)</f>
        <v>0</v>
      </c>
    </row>
    <row r="300" spans="3:6" x14ac:dyDescent="0.25">
      <c r="C300" s="25" t="str">
        <f t="shared" si="5"/>
        <v/>
      </c>
      <c r="F300" s="29" cm="1">
        <f t="array" ref="F300">SUMPRODUCT((ТВ!$A$2:$A$1000='ТВ Каналы'!A300)*(ТВ!$B$2:$B$1000='ТВ Каналы'!D300)*ТВ!$C$2:$C$1000)</f>
        <v>0</v>
      </c>
    </row>
    <row r="301" spans="3:6" x14ac:dyDescent="0.25">
      <c r="C301" s="25" t="str">
        <f t="shared" si="5"/>
        <v/>
      </c>
      <c r="F301" s="29" cm="1">
        <f t="array" ref="F301">SUMPRODUCT((ТВ!$A$2:$A$1000='ТВ Каналы'!A301)*(ТВ!$B$2:$B$1000='ТВ Каналы'!D301)*ТВ!$C$2:$C$1000)</f>
        <v>0</v>
      </c>
    </row>
    <row r="302" spans="3:6" x14ac:dyDescent="0.25">
      <c r="C302" s="25" t="str">
        <f t="shared" si="5"/>
        <v/>
      </c>
      <c r="F302" s="29" cm="1">
        <f t="array" ref="F302">SUMPRODUCT((ТВ!$A$2:$A$1000='ТВ Каналы'!A302)*(ТВ!$B$2:$B$1000='ТВ Каналы'!D302)*ТВ!$C$2:$C$1000)</f>
        <v>0</v>
      </c>
    </row>
    <row r="303" spans="3:6" x14ac:dyDescent="0.25">
      <c r="C303" s="25" t="str">
        <f t="shared" si="5"/>
        <v/>
      </c>
      <c r="F303" s="29" cm="1">
        <f t="array" ref="F303">SUMPRODUCT((ТВ!$A$2:$A$1000='ТВ Каналы'!A303)*(ТВ!$B$2:$B$1000='ТВ Каналы'!D303)*ТВ!$C$2:$C$1000)</f>
        <v>0</v>
      </c>
    </row>
    <row r="304" spans="3:6" x14ac:dyDescent="0.25">
      <c r="C304" s="25" t="str">
        <f t="shared" si="5"/>
        <v/>
      </c>
      <c r="F304" s="29" cm="1">
        <f t="array" ref="F304">SUMPRODUCT((ТВ!$A$2:$A$1000='ТВ Каналы'!A304)*(ТВ!$B$2:$B$1000='ТВ Каналы'!D304)*ТВ!$C$2:$C$1000)</f>
        <v>0</v>
      </c>
    </row>
    <row r="305" spans="3:6" x14ac:dyDescent="0.25">
      <c r="C305" s="25" t="str">
        <f t="shared" si="5"/>
        <v/>
      </c>
      <c r="F305" s="29" cm="1">
        <f t="array" ref="F305">SUMPRODUCT((ТВ!$A$2:$A$1000='ТВ Каналы'!A305)*(ТВ!$B$2:$B$1000='ТВ Каналы'!D305)*ТВ!$C$2:$C$1000)</f>
        <v>0</v>
      </c>
    </row>
    <row r="306" spans="3:6" x14ac:dyDescent="0.25">
      <c r="C306" s="25" t="str">
        <f t="shared" si="5"/>
        <v/>
      </c>
      <c r="F306" s="29" cm="1">
        <f t="array" ref="F306">SUMPRODUCT((ТВ!$A$2:$A$1000='ТВ Каналы'!A306)*(ТВ!$B$2:$B$1000='ТВ Каналы'!D306)*ТВ!$C$2:$C$1000)</f>
        <v>0</v>
      </c>
    </row>
    <row r="307" spans="3:6" x14ac:dyDescent="0.25">
      <c r="C307" s="25" t="str">
        <f t="shared" si="5"/>
        <v/>
      </c>
      <c r="F307" s="29" cm="1">
        <f t="array" ref="F307">SUMPRODUCT((ТВ!$A$2:$A$1000='ТВ Каналы'!A307)*(ТВ!$B$2:$B$1000='ТВ Каналы'!D307)*ТВ!$C$2:$C$1000)</f>
        <v>0</v>
      </c>
    </row>
    <row r="308" spans="3:6" x14ac:dyDescent="0.25">
      <c r="C308" s="25" t="str">
        <f t="shared" si="5"/>
        <v/>
      </c>
      <c r="F308" s="29" cm="1">
        <f t="array" ref="F308">SUMPRODUCT((ТВ!$A$2:$A$1000='ТВ Каналы'!A308)*(ТВ!$B$2:$B$1000='ТВ Каналы'!D308)*ТВ!$C$2:$C$1000)</f>
        <v>0</v>
      </c>
    </row>
    <row r="309" spans="3:6" x14ac:dyDescent="0.25">
      <c r="C309" s="25" t="str">
        <f t="shared" si="5"/>
        <v/>
      </c>
      <c r="F309" s="29" cm="1">
        <f t="array" ref="F309">SUMPRODUCT((ТВ!$A$2:$A$1000='ТВ Каналы'!A309)*(ТВ!$B$2:$B$1000='ТВ Каналы'!D309)*ТВ!$C$2:$C$1000)</f>
        <v>0</v>
      </c>
    </row>
    <row r="310" spans="3:6" x14ac:dyDescent="0.25">
      <c r="C310" s="25" t="str">
        <f t="shared" si="5"/>
        <v/>
      </c>
      <c r="F310" s="29" cm="1">
        <f t="array" ref="F310">SUMPRODUCT((ТВ!$A$2:$A$1000='ТВ Каналы'!A310)*(ТВ!$B$2:$B$1000='ТВ Каналы'!D310)*ТВ!$C$2:$C$1000)</f>
        <v>0</v>
      </c>
    </row>
    <row r="311" spans="3:6" x14ac:dyDescent="0.25">
      <c r="C311" s="25" t="str">
        <f t="shared" si="5"/>
        <v/>
      </c>
      <c r="F311" s="29" cm="1">
        <f t="array" ref="F311">SUMPRODUCT((ТВ!$A$2:$A$1000='ТВ Каналы'!A311)*(ТВ!$B$2:$B$1000='ТВ Каналы'!D311)*ТВ!$C$2:$C$1000)</f>
        <v>0</v>
      </c>
    </row>
    <row r="312" spans="3:6" x14ac:dyDescent="0.25">
      <c r="C312" s="25" t="str">
        <f t="shared" si="5"/>
        <v/>
      </c>
      <c r="F312" s="29" cm="1">
        <f t="array" ref="F312">SUMPRODUCT((ТВ!$A$2:$A$1000='ТВ Каналы'!A312)*(ТВ!$B$2:$B$1000='ТВ Каналы'!D312)*ТВ!$C$2:$C$1000)</f>
        <v>0</v>
      </c>
    </row>
    <row r="313" spans="3:6" x14ac:dyDescent="0.25">
      <c r="C313" s="25" t="str">
        <f t="shared" si="5"/>
        <v/>
      </c>
      <c r="F313" s="29" cm="1">
        <f t="array" ref="F313">SUMPRODUCT((ТВ!$A$2:$A$1000='ТВ Каналы'!A313)*(ТВ!$B$2:$B$1000='ТВ Каналы'!D313)*ТВ!$C$2:$C$1000)</f>
        <v>0</v>
      </c>
    </row>
    <row r="314" spans="3:6" x14ac:dyDescent="0.25">
      <c r="C314" s="25" t="str">
        <f t="shared" si="5"/>
        <v/>
      </c>
      <c r="F314" s="29" cm="1">
        <f t="array" ref="F314">SUMPRODUCT((ТВ!$A$2:$A$1000='ТВ Каналы'!A314)*(ТВ!$B$2:$B$1000='ТВ Каналы'!D314)*ТВ!$C$2:$C$1000)</f>
        <v>0</v>
      </c>
    </row>
    <row r="315" spans="3:6" x14ac:dyDescent="0.25">
      <c r="C315" s="25" t="str">
        <f t="shared" si="5"/>
        <v/>
      </c>
      <c r="F315" s="29" cm="1">
        <f t="array" ref="F315">SUMPRODUCT((ТВ!$A$2:$A$1000='ТВ Каналы'!A315)*(ТВ!$B$2:$B$1000='ТВ Каналы'!D315)*ТВ!$C$2:$C$1000)</f>
        <v>0</v>
      </c>
    </row>
    <row r="316" spans="3:6" x14ac:dyDescent="0.25">
      <c r="C316" s="25" t="str">
        <f t="shared" si="5"/>
        <v/>
      </c>
      <c r="F316" s="29" cm="1">
        <f t="array" ref="F316">SUMPRODUCT((ТВ!$A$2:$A$1000='ТВ Каналы'!A316)*(ТВ!$B$2:$B$1000='ТВ Каналы'!D316)*ТВ!$C$2:$C$1000)</f>
        <v>0</v>
      </c>
    </row>
    <row r="317" spans="3:6" x14ac:dyDescent="0.25">
      <c r="C317" s="25" t="str">
        <f t="shared" si="5"/>
        <v/>
      </c>
      <c r="F317" s="29" cm="1">
        <f t="array" ref="F317">SUMPRODUCT((ТВ!$A$2:$A$1000='ТВ Каналы'!A317)*(ТВ!$B$2:$B$1000='ТВ Каналы'!D317)*ТВ!$C$2:$C$1000)</f>
        <v>0</v>
      </c>
    </row>
    <row r="318" spans="3:6" x14ac:dyDescent="0.25">
      <c r="C318" s="25" t="str">
        <f t="shared" si="5"/>
        <v/>
      </c>
      <c r="F318" s="29" cm="1">
        <f t="array" ref="F318">SUMPRODUCT((ТВ!$A$2:$A$1000='ТВ Каналы'!A318)*(ТВ!$B$2:$B$1000='ТВ Каналы'!D318)*ТВ!$C$2:$C$1000)</f>
        <v>0</v>
      </c>
    </row>
    <row r="319" spans="3:6" x14ac:dyDescent="0.25">
      <c r="C319" s="25" t="str">
        <f t="shared" si="5"/>
        <v/>
      </c>
      <c r="F319" s="29" cm="1">
        <f t="array" ref="F319">SUMPRODUCT((ТВ!$A$2:$A$1000='ТВ Каналы'!A319)*(ТВ!$B$2:$B$1000='ТВ Каналы'!D319)*ТВ!$C$2:$C$1000)</f>
        <v>0</v>
      </c>
    </row>
    <row r="320" spans="3:6" x14ac:dyDescent="0.25">
      <c r="C320" s="25" t="str">
        <f t="shared" si="5"/>
        <v/>
      </c>
      <c r="F320" s="29" cm="1">
        <f t="array" ref="F320">SUMPRODUCT((ТВ!$A$2:$A$1000='ТВ Каналы'!A320)*(ТВ!$B$2:$B$1000='ТВ Каналы'!D320)*ТВ!$C$2:$C$1000)</f>
        <v>0</v>
      </c>
    </row>
    <row r="321" spans="3:6" x14ac:dyDescent="0.25">
      <c r="C321" s="25" t="str">
        <f t="shared" si="5"/>
        <v/>
      </c>
      <c r="F321" s="29" cm="1">
        <f t="array" ref="F321">SUMPRODUCT((ТВ!$A$2:$A$1000='ТВ Каналы'!A321)*(ТВ!$B$2:$B$1000='ТВ Каналы'!D321)*ТВ!$C$2:$C$1000)</f>
        <v>0</v>
      </c>
    </row>
    <row r="322" spans="3:6" x14ac:dyDescent="0.25">
      <c r="C322" s="25" t="str">
        <f t="shared" si="5"/>
        <v/>
      </c>
      <c r="F322" s="29" cm="1">
        <f t="array" ref="F322">SUMPRODUCT((ТВ!$A$2:$A$1000='ТВ Каналы'!A322)*(ТВ!$B$2:$B$1000='ТВ Каналы'!D322)*ТВ!$C$2:$C$1000)</f>
        <v>0</v>
      </c>
    </row>
    <row r="323" spans="3:6" x14ac:dyDescent="0.25">
      <c r="C323" s="25" t="str">
        <f t="shared" ref="C323:C386" si="6">_xlfn.CONCAT(A323,B323)</f>
        <v/>
      </c>
      <c r="F323" s="29" cm="1">
        <f t="array" ref="F323">SUMPRODUCT((ТВ!$A$2:$A$1000='ТВ Каналы'!A323)*(ТВ!$B$2:$B$1000='ТВ Каналы'!D323)*ТВ!$C$2:$C$1000)</f>
        <v>0</v>
      </c>
    </row>
    <row r="324" spans="3:6" x14ac:dyDescent="0.25">
      <c r="C324" s="25" t="str">
        <f t="shared" si="6"/>
        <v/>
      </c>
      <c r="F324" s="29" cm="1">
        <f t="array" ref="F324">SUMPRODUCT((ТВ!$A$2:$A$1000='ТВ Каналы'!A324)*(ТВ!$B$2:$B$1000='ТВ Каналы'!D324)*ТВ!$C$2:$C$1000)</f>
        <v>0</v>
      </c>
    </row>
    <row r="325" spans="3:6" x14ac:dyDescent="0.25">
      <c r="C325" s="25" t="str">
        <f t="shared" si="6"/>
        <v/>
      </c>
      <c r="F325" s="29" cm="1">
        <f t="array" ref="F325">SUMPRODUCT((ТВ!$A$2:$A$1000='ТВ Каналы'!A325)*(ТВ!$B$2:$B$1000='ТВ Каналы'!D325)*ТВ!$C$2:$C$1000)</f>
        <v>0</v>
      </c>
    </row>
    <row r="326" spans="3:6" x14ac:dyDescent="0.25">
      <c r="C326" s="25" t="str">
        <f t="shared" si="6"/>
        <v/>
      </c>
      <c r="F326" s="29" cm="1">
        <f t="array" ref="F326">SUMPRODUCT((ТВ!$A$2:$A$1000='ТВ Каналы'!A326)*(ТВ!$B$2:$B$1000='ТВ Каналы'!D326)*ТВ!$C$2:$C$1000)</f>
        <v>0</v>
      </c>
    </row>
    <row r="327" spans="3:6" x14ac:dyDescent="0.25">
      <c r="C327" s="25" t="str">
        <f t="shared" si="6"/>
        <v/>
      </c>
      <c r="F327" s="29" cm="1">
        <f t="array" ref="F327">SUMPRODUCT((ТВ!$A$2:$A$1000='ТВ Каналы'!A327)*(ТВ!$B$2:$B$1000='ТВ Каналы'!D327)*ТВ!$C$2:$C$1000)</f>
        <v>0</v>
      </c>
    </row>
    <row r="328" spans="3:6" x14ac:dyDescent="0.25">
      <c r="C328" s="25" t="str">
        <f t="shared" si="6"/>
        <v/>
      </c>
      <c r="F328" s="29" cm="1">
        <f t="array" ref="F328">SUMPRODUCT((ТВ!$A$2:$A$1000='ТВ Каналы'!A328)*(ТВ!$B$2:$B$1000='ТВ Каналы'!D328)*ТВ!$C$2:$C$1000)</f>
        <v>0</v>
      </c>
    </row>
    <row r="329" spans="3:6" x14ac:dyDescent="0.25">
      <c r="C329" s="25" t="str">
        <f t="shared" si="6"/>
        <v/>
      </c>
      <c r="F329" s="29" cm="1">
        <f t="array" ref="F329">SUMPRODUCT((ТВ!$A$2:$A$1000='ТВ Каналы'!A329)*(ТВ!$B$2:$B$1000='ТВ Каналы'!D329)*ТВ!$C$2:$C$1000)</f>
        <v>0</v>
      </c>
    </row>
    <row r="330" spans="3:6" x14ac:dyDescent="0.25">
      <c r="C330" s="25" t="str">
        <f t="shared" si="6"/>
        <v/>
      </c>
      <c r="F330" s="29" cm="1">
        <f t="array" ref="F330">SUMPRODUCT((ТВ!$A$2:$A$1000='ТВ Каналы'!A330)*(ТВ!$B$2:$B$1000='ТВ Каналы'!D330)*ТВ!$C$2:$C$1000)</f>
        <v>0</v>
      </c>
    </row>
    <row r="331" spans="3:6" x14ac:dyDescent="0.25">
      <c r="C331" s="25" t="str">
        <f t="shared" si="6"/>
        <v/>
      </c>
      <c r="F331" s="29" cm="1">
        <f t="array" ref="F331">SUMPRODUCT((ТВ!$A$2:$A$1000='ТВ Каналы'!A331)*(ТВ!$B$2:$B$1000='ТВ Каналы'!D331)*ТВ!$C$2:$C$1000)</f>
        <v>0</v>
      </c>
    </row>
    <row r="332" spans="3:6" x14ac:dyDescent="0.25">
      <c r="C332" s="25" t="str">
        <f t="shared" si="6"/>
        <v/>
      </c>
      <c r="F332" s="29" cm="1">
        <f t="array" ref="F332">SUMPRODUCT((ТВ!$A$2:$A$1000='ТВ Каналы'!A332)*(ТВ!$B$2:$B$1000='ТВ Каналы'!D332)*ТВ!$C$2:$C$1000)</f>
        <v>0</v>
      </c>
    </row>
    <row r="333" spans="3:6" x14ac:dyDescent="0.25">
      <c r="C333" s="25" t="str">
        <f t="shared" si="6"/>
        <v/>
      </c>
      <c r="F333" s="29" cm="1">
        <f t="array" ref="F333">SUMPRODUCT((ТВ!$A$2:$A$1000='ТВ Каналы'!A333)*(ТВ!$B$2:$B$1000='ТВ Каналы'!D333)*ТВ!$C$2:$C$1000)</f>
        <v>0</v>
      </c>
    </row>
    <row r="334" spans="3:6" x14ac:dyDescent="0.25">
      <c r="C334" s="25" t="str">
        <f t="shared" si="6"/>
        <v/>
      </c>
      <c r="F334" s="29" cm="1">
        <f t="array" ref="F334">SUMPRODUCT((ТВ!$A$2:$A$1000='ТВ Каналы'!A334)*(ТВ!$B$2:$B$1000='ТВ Каналы'!D334)*ТВ!$C$2:$C$1000)</f>
        <v>0</v>
      </c>
    </row>
    <row r="335" spans="3:6" x14ac:dyDescent="0.25">
      <c r="C335" s="25" t="str">
        <f t="shared" si="6"/>
        <v/>
      </c>
      <c r="F335" s="29" cm="1">
        <f t="array" ref="F335">SUMPRODUCT((ТВ!$A$2:$A$1000='ТВ Каналы'!A335)*(ТВ!$B$2:$B$1000='ТВ Каналы'!D335)*ТВ!$C$2:$C$1000)</f>
        <v>0</v>
      </c>
    </row>
    <row r="336" spans="3:6" x14ac:dyDescent="0.25">
      <c r="C336" s="25" t="str">
        <f t="shared" si="6"/>
        <v/>
      </c>
      <c r="F336" s="29" cm="1">
        <f t="array" ref="F336">SUMPRODUCT((ТВ!$A$2:$A$1000='ТВ Каналы'!A336)*(ТВ!$B$2:$B$1000='ТВ Каналы'!D336)*ТВ!$C$2:$C$1000)</f>
        <v>0</v>
      </c>
    </row>
    <row r="337" spans="3:6" x14ac:dyDescent="0.25">
      <c r="C337" s="25" t="str">
        <f t="shared" si="6"/>
        <v/>
      </c>
      <c r="F337" s="29" cm="1">
        <f t="array" ref="F337">SUMPRODUCT((ТВ!$A$2:$A$1000='ТВ Каналы'!A337)*(ТВ!$B$2:$B$1000='ТВ Каналы'!D337)*ТВ!$C$2:$C$1000)</f>
        <v>0</v>
      </c>
    </row>
    <row r="338" spans="3:6" x14ac:dyDescent="0.25">
      <c r="C338" s="25" t="str">
        <f t="shared" si="6"/>
        <v/>
      </c>
      <c r="F338" s="29" cm="1">
        <f t="array" ref="F338">SUMPRODUCT((ТВ!$A$2:$A$1000='ТВ Каналы'!A338)*(ТВ!$B$2:$B$1000='ТВ Каналы'!D338)*ТВ!$C$2:$C$1000)</f>
        <v>0</v>
      </c>
    </row>
    <row r="339" spans="3:6" x14ac:dyDescent="0.25">
      <c r="C339" s="25" t="str">
        <f t="shared" si="6"/>
        <v/>
      </c>
      <c r="F339" s="29" cm="1">
        <f t="array" ref="F339">SUMPRODUCT((ТВ!$A$2:$A$1000='ТВ Каналы'!A339)*(ТВ!$B$2:$B$1000='ТВ Каналы'!D339)*ТВ!$C$2:$C$1000)</f>
        <v>0</v>
      </c>
    </row>
    <row r="340" spans="3:6" x14ac:dyDescent="0.25">
      <c r="C340" s="25" t="str">
        <f t="shared" si="6"/>
        <v/>
      </c>
      <c r="F340" s="29" cm="1">
        <f t="array" ref="F340">SUMPRODUCT((ТВ!$A$2:$A$1000='ТВ Каналы'!A340)*(ТВ!$B$2:$B$1000='ТВ Каналы'!D340)*ТВ!$C$2:$C$1000)</f>
        <v>0</v>
      </c>
    </row>
    <row r="341" spans="3:6" x14ac:dyDescent="0.25">
      <c r="C341" s="25" t="str">
        <f t="shared" si="6"/>
        <v/>
      </c>
      <c r="F341" s="29" cm="1">
        <f t="array" ref="F341">SUMPRODUCT((ТВ!$A$2:$A$1000='ТВ Каналы'!A341)*(ТВ!$B$2:$B$1000='ТВ Каналы'!D341)*ТВ!$C$2:$C$1000)</f>
        <v>0</v>
      </c>
    </row>
    <row r="342" spans="3:6" x14ac:dyDescent="0.25">
      <c r="C342" s="25" t="str">
        <f t="shared" si="6"/>
        <v/>
      </c>
      <c r="F342" s="29" cm="1">
        <f t="array" ref="F342">SUMPRODUCT((ТВ!$A$2:$A$1000='ТВ Каналы'!A342)*(ТВ!$B$2:$B$1000='ТВ Каналы'!D342)*ТВ!$C$2:$C$1000)</f>
        <v>0</v>
      </c>
    </row>
    <row r="343" spans="3:6" x14ac:dyDescent="0.25">
      <c r="C343" s="25" t="str">
        <f t="shared" si="6"/>
        <v/>
      </c>
      <c r="F343" s="29" cm="1">
        <f t="array" ref="F343">SUMPRODUCT((ТВ!$A$2:$A$1000='ТВ Каналы'!A343)*(ТВ!$B$2:$B$1000='ТВ Каналы'!D343)*ТВ!$C$2:$C$1000)</f>
        <v>0</v>
      </c>
    </row>
    <row r="344" spans="3:6" x14ac:dyDescent="0.25">
      <c r="C344" s="25" t="str">
        <f t="shared" si="6"/>
        <v/>
      </c>
      <c r="F344" s="29" cm="1">
        <f t="array" ref="F344">SUMPRODUCT((ТВ!$A$2:$A$1000='ТВ Каналы'!A344)*(ТВ!$B$2:$B$1000='ТВ Каналы'!D344)*ТВ!$C$2:$C$1000)</f>
        <v>0</v>
      </c>
    </row>
    <row r="345" spans="3:6" x14ac:dyDescent="0.25">
      <c r="C345" s="25" t="str">
        <f t="shared" si="6"/>
        <v/>
      </c>
      <c r="F345" s="29" cm="1">
        <f t="array" ref="F345">SUMPRODUCT((ТВ!$A$2:$A$1000='ТВ Каналы'!A345)*(ТВ!$B$2:$B$1000='ТВ Каналы'!D345)*ТВ!$C$2:$C$1000)</f>
        <v>0</v>
      </c>
    </row>
    <row r="346" spans="3:6" x14ac:dyDescent="0.25">
      <c r="C346" s="25" t="str">
        <f t="shared" si="6"/>
        <v/>
      </c>
      <c r="F346" s="29" cm="1">
        <f t="array" ref="F346">SUMPRODUCT((ТВ!$A$2:$A$1000='ТВ Каналы'!A346)*(ТВ!$B$2:$B$1000='ТВ Каналы'!D346)*ТВ!$C$2:$C$1000)</f>
        <v>0</v>
      </c>
    </row>
    <row r="347" spans="3:6" x14ac:dyDescent="0.25">
      <c r="C347" s="25" t="str">
        <f t="shared" si="6"/>
        <v/>
      </c>
      <c r="F347" s="29" cm="1">
        <f t="array" ref="F347">SUMPRODUCT((ТВ!$A$2:$A$1000='ТВ Каналы'!A347)*(ТВ!$B$2:$B$1000='ТВ Каналы'!D347)*ТВ!$C$2:$C$1000)</f>
        <v>0</v>
      </c>
    </row>
    <row r="348" spans="3:6" x14ac:dyDescent="0.25">
      <c r="C348" s="25" t="str">
        <f t="shared" si="6"/>
        <v/>
      </c>
      <c r="F348" s="29" cm="1">
        <f t="array" ref="F348">SUMPRODUCT((ТВ!$A$2:$A$1000='ТВ Каналы'!A348)*(ТВ!$B$2:$B$1000='ТВ Каналы'!D348)*ТВ!$C$2:$C$1000)</f>
        <v>0</v>
      </c>
    </row>
    <row r="349" spans="3:6" x14ac:dyDescent="0.25">
      <c r="C349" s="25" t="str">
        <f t="shared" si="6"/>
        <v/>
      </c>
      <c r="F349" s="29" cm="1">
        <f t="array" ref="F349">SUMPRODUCT((ТВ!$A$2:$A$1000='ТВ Каналы'!A349)*(ТВ!$B$2:$B$1000='ТВ Каналы'!D349)*ТВ!$C$2:$C$1000)</f>
        <v>0</v>
      </c>
    </row>
    <row r="350" spans="3:6" x14ac:dyDescent="0.25">
      <c r="C350" s="25" t="str">
        <f t="shared" si="6"/>
        <v/>
      </c>
      <c r="F350" s="29" cm="1">
        <f t="array" ref="F350">SUMPRODUCT((ТВ!$A$2:$A$1000='ТВ Каналы'!A350)*(ТВ!$B$2:$B$1000='ТВ Каналы'!D350)*ТВ!$C$2:$C$1000)</f>
        <v>0</v>
      </c>
    </row>
    <row r="351" spans="3:6" x14ac:dyDescent="0.25">
      <c r="C351" s="25" t="str">
        <f t="shared" si="6"/>
        <v/>
      </c>
      <c r="F351" s="29" cm="1">
        <f t="array" ref="F351">SUMPRODUCT((ТВ!$A$2:$A$1000='ТВ Каналы'!A351)*(ТВ!$B$2:$B$1000='ТВ Каналы'!D351)*ТВ!$C$2:$C$1000)</f>
        <v>0</v>
      </c>
    </row>
    <row r="352" spans="3:6" x14ac:dyDescent="0.25">
      <c r="C352" s="25" t="str">
        <f t="shared" si="6"/>
        <v/>
      </c>
      <c r="F352" s="29" cm="1">
        <f t="array" ref="F352">SUMPRODUCT((ТВ!$A$2:$A$1000='ТВ Каналы'!A352)*(ТВ!$B$2:$B$1000='ТВ Каналы'!D352)*ТВ!$C$2:$C$1000)</f>
        <v>0</v>
      </c>
    </row>
    <row r="353" spans="3:6" x14ac:dyDescent="0.25">
      <c r="C353" s="25" t="str">
        <f t="shared" si="6"/>
        <v/>
      </c>
      <c r="F353" s="29" cm="1">
        <f t="array" ref="F353">SUMPRODUCT((ТВ!$A$2:$A$1000='ТВ Каналы'!A353)*(ТВ!$B$2:$B$1000='ТВ Каналы'!D353)*ТВ!$C$2:$C$1000)</f>
        <v>0</v>
      </c>
    </row>
    <row r="354" spans="3:6" x14ac:dyDescent="0.25">
      <c r="C354" s="25" t="str">
        <f t="shared" si="6"/>
        <v/>
      </c>
      <c r="F354" s="29" cm="1">
        <f t="array" ref="F354">SUMPRODUCT((ТВ!$A$2:$A$1000='ТВ Каналы'!A354)*(ТВ!$B$2:$B$1000='ТВ Каналы'!D354)*ТВ!$C$2:$C$1000)</f>
        <v>0</v>
      </c>
    </row>
    <row r="355" spans="3:6" x14ac:dyDescent="0.25">
      <c r="C355" s="25" t="str">
        <f t="shared" si="6"/>
        <v/>
      </c>
      <c r="F355" s="29" cm="1">
        <f t="array" ref="F355">SUMPRODUCT((ТВ!$A$2:$A$1000='ТВ Каналы'!A355)*(ТВ!$B$2:$B$1000='ТВ Каналы'!D355)*ТВ!$C$2:$C$1000)</f>
        <v>0</v>
      </c>
    </row>
    <row r="356" spans="3:6" x14ac:dyDescent="0.25">
      <c r="C356" s="25" t="str">
        <f t="shared" si="6"/>
        <v/>
      </c>
      <c r="F356" s="29" cm="1">
        <f t="array" ref="F356">SUMPRODUCT((ТВ!$A$2:$A$1000='ТВ Каналы'!A356)*(ТВ!$B$2:$B$1000='ТВ Каналы'!D356)*ТВ!$C$2:$C$1000)</f>
        <v>0</v>
      </c>
    </row>
    <row r="357" spans="3:6" x14ac:dyDescent="0.25">
      <c r="C357" s="25" t="str">
        <f t="shared" si="6"/>
        <v/>
      </c>
      <c r="F357" s="29" cm="1">
        <f t="array" ref="F357">SUMPRODUCT((ТВ!$A$2:$A$1000='ТВ Каналы'!A357)*(ТВ!$B$2:$B$1000='ТВ Каналы'!D357)*ТВ!$C$2:$C$1000)</f>
        <v>0</v>
      </c>
    </row>
    <row r="358" spans="3:6" x14ac:dyDescent="0.25">
      <c r="C358" s="25" t="str">
        <f t="shared" si="6"/>
        <v/>
      </c>
      <c r="F358" s="29" cm="1">
        <f t="array" ref="F358">SUMPRODUCT((ТВ!$A$2:$A$1000='ТВ Каналы'!A358)*(ТВ!$B$2:$B$1000='ТВ Каналы'!D358)*ТВ!$C$2:$C$1000)</f>
        <v>0</v>
      </c>
    </row>
    <row r="359" spans="3:6" x14ac:dyDescent="0.25">
      <c r="C359" s="25" t="str">
        <f t="shared" si="6"/>
        <v/>
      </c>
      <c r="F359" s="29" cm="1">
        <f t="array" ref="F359">SUMPRODUCT((ТВ!$A$2:$A$1000='ТВ Каналы'!A359)*(ТВ!$B$2:$B$1000='ТВ Каналы'!D359)*ТВ!$C$2:$C$1000)</f>
        <v>0</v>
      </c>
    </row>
    <row r="360" spans="3:6" x14ac:dyDescent="0.25">
      <c r="C360" s="25" t="str">
        <f t="shared" si="6"/>
        <v/>
      </c>
      <c r="F360" s="29" cm="1">
        <f t="array" ref="F360">SUMPRODUCT((ТВ!$A$2:$A$1000='ТВ Каналы'!A360)*(ТВ!$B$2:$B$1000='ТВ Каналы'!D360)*ТВ!$C$2:$C$1000)</f>
        <v>0</v>
      </c>
    </row>
    <row r="361" spans="3:6" x14ac:dyDescent="0.25">
      <c r="C361" s="25" t="str">
        <f t="shared" si="6"/>
        <v/>
      </c>
      <c r="F361" s="29" cm="1">
        <f t="array" ref="F361">SUMPRODUCT((ТВ!$A$2:$A$1000='ТВ Каналы'!A361)*(ТВ!$B$2:$B$1000='ТВ Каналы'!D361)*ТВ!$C$2:$C$1000)</f>
        <v>0</v>
      </c>
    </row>
    <row r="362" spans="3:6" x14ac:dyDescent="0.25">
      <c r="C362" s="25" t="str">
        <f t="shared" si="6"/>
        <v/>
      </c>
      <c r="F362" s="29" cm="1">
        <f t="array" ref="F362">SUMPRODUCT((ТВ!$A$2:$A$1000='ТВ Каналы'!A362)*(ТВ!$B$2:$B$1000='ТВ Каналы'!D362)*ТВ!$C$2:$C$1000)</f>
        <v>0</v>
      </c>
    </row>
    <row r="363" spans="3:6" x14ac:dyDescent="0.25">
      <c r="C363" s="25" t="str">
        <f t="shared" si="6"/>
        <v/>
      </c>
      <c r="F363" s="29" cm="1">
        <f t="array" ref="F363">SUMPRODUCT((ТВ!$A$2:$A$1000='ТВ Каналы'!A363)*(ТВ!$B$2:$B$1000='ТВ Каналы'!D363)*ТВ!$C$2:$C$1000)</f>
        <v>0</v>
      </c>
    </row>
    <row r="364" spans="3:6" x14ac:dyDescent="0.25">
      <c r="C364" s="25" t="str">
        <f t="shared" si="6"/>
        <v/>
      </c>
      <c r="F364" s="29" cm="1">
        <f t="array" ref="F364">SUMPRODUCT((ТВ!$A$2:$A$1000='ТВ Каналы'!A364)*(ТВ!$B$2:$B$1000='ТВ Каналы'!D364)*ТВ!$C$2:$C$1000)</f>
        <v>0</v>
      </c>
    </row>
    <row r="365" spans="3:6" x14ac:dyDescent="0.25">
      <c r="C365" s="25" t="str">
        <f t="shared" si="6"/>
        <v/>
      </c>
      <c r="F365" s="29" cm="1">
        <f t="array" ref="F365">SUMPRODUCT((ТВ!$A$2:$A$1000='ТВ Каналы'!A365)*(ТВ!$B$2:$B$1000='ТВ Каналы'!D365)*ТВ!$C$2:$C$1000)</f>
        <v>0</v>
      </c>
    </row>
    <row r="366" spans="3:6" x14ac:dyDescent="0.25">
      <c r="C366" s="25" t="str">
        <f t="shared" si="6"/>
        <v/>
      </c>
      <c r="F366" s="29" cm="1">
        <f t="array" ref="F366">SUMPRODUCT((ТВ!$A$2:$A$1000='ТВ Каналы'!A366)*(ТВ!$B$2:$B$1000='ТВ Каналы'!D366)*ТВ!$C$2:$C$1000)</f>
        <v>0</v>
      </c>
    </row>
    <row r="367" spans="3:6" x14ac:dyDescent="0.25">
      <c r="C367" s="25" t="str">
        <f t="shared" si="6"/>
        <v/>
      </c>
      <c r="F367" s="29" cm="1">
        <f t="array" ref="F367">SUMPRODUCT((ТВ!$A$2:$A$1000='ТВ Каналы'!A367)*(ТВ!$B$2:$B$1000='ТВ Каналы'!D367)*ТВ!$C$2:$C$1000)</f>
        <v>0</v>
      </c>
    </row>
    <row r="368" spans="3:6" x14ac:dyDescent="0.25">
      <c r="C368" s="25" t="str">
        <f t="shared" si="6"/>
        <v/>
      </c>
      <c r="F368" s="29" cm="1">
        <f t="array" ref="F368">SUMPRODUCT((ТВ!$A$2:$A$1000='ТВ Каналы'!A368)*(ТВ!$B$2:$B$1000='ТВ Каналы'!D368)*ТВ!$C$2:$C$1000)</f>
        <v>0</v>
      </c>
    </row>
    <row r="369" spans="3:6" x14ac:dyDescent="0.25">
      <c r="C369" s="25" t="str">
        <f t="shared" si="6"/>
        <v/>
      </c>
      <c r="F369" s="29" cm="1">
        <f t="array" ref="F369">SUMPRODUCT((ТВ!$A$2:$A$1000='ТВ Каналы'!A369)*(ТВ!$B$2:$B$1000='ТВ Каналы'!D369)*ТВ!$C$2:$C$1000)</f>
        <v>0</v>
      </c>
    </row>
    <row r="370" spans="3:6" x14ac:dyDescent="0.25">
      <c r="C370" s="25" t="str">
        <f t="shared" si="6"/>
        <v/>
      </c>
      <c r="F370" s="29" cm="1">
        <f t="array" ref="F370">SUMPRODUCT((ТВ!$A$2:$A$1000='ТВ Каналы'!A370)*(ТВ!$B$2:$B$1000='ТВ Каналы'!D370)*ТВ!$C$2:$C$1000)</f>
        <v>0</v>
      </c>
    </row>
    <row r="371" spans="3:6" x14ac:dyDescent="0.25">
      <c r="C371" s="25" t="str">
        <f t="shared" si="6"/>
        <v/>
      </c>
      <c r="F371" s="29" cm="1">
        <f t="array" ref="F371">SUMPRODUCT((ТВ!$A$2:$A$1000='ТВ Каналы'!A371)*(ТВ!$B$2:$B$1000='ТВ Каналы'!D371)*ТВ!$C$2:$C$1000)</f>
        <v>0</v>
      </c>
    </row>
    <row r="372" spans="3:6" x14ac:dyDescent="0.25">
      <c r="C372" s="25" t="str">
        <f t="shared" si="6"/>
        <v/>
      </c>
      <c r="F372" s="29" cm="1">
        <f t="array" ref="F372">SUMPRODUCT((ТВ!$A$2:$A$1000='ТВ Каналы'!A372)*(ТВ!$B$2:$B$1000='ТВ Каналы'!D372)*ТВ!$C$2:$C$1000)</f>
        <v>0</v>
      </c>
    </row>
    <row r="373" spans="3:6" x14ac:dyDescent="0.25">
      <c r="C373" s="25" t="str">
        <f t="shared" si="6"/>
        <v/>
      </c>
      <c r="F373" s="29" cm="1">
        <f t="array" ref="F373">SUMPRODUCT((ТВ!$A$2:$A$1000='ТВ Каналы'!A373)*(ТВ!$B$2:$B$1000='ТВ Каналы'!D373)*ТВ!$C$2:$C$1000)</f>
        <v>0</v>
      </c>
    </row>
    <row r="374" spans="3:6" x14ac:dyDescent="0.25">
      <c r="C374" s="25" t="str">
        <f t="shared" si="6"/>
        <v/>
      </c>
      <c r="F374" s="29" cm="1">
        <f t="array" ref="F374">SUMPRODUCT((ТВ!$A$2:$A$1000='ТВ Каналы'!A374)*(ТВ!$B$2:$B$1000='ТВ Каналы'!D374)*ТВ!$C$2:$C$1000)</f>
        <v>0</v>
      </c>
    </row>
    <row r="375" spans="3:6" x14ac:dyDescent="0.25">
      <c r="C375" s="25" t="str">
        <f t="shared" si="6"/>
        <v/>
      </c>
      <c r="F375" s="29" cm="1">
        <f t="array" ref="F375">SUMPRODUCT((ТВ!$A$2:$A$1000='ТВ Каналы'!A375)*(ТВ!$B$2:$B$1000='ТВ Каналы'!D375)*ТВ!$C$2:$C$1000)</f>
        <v>0</v>
      </c>
    </row>
    <row r="376" spans="3:6" x14ac:dyDescent="0.25">
      <c r="C376" s="25" t="str">
        <f t="shared" si="6"/>
        <v/>
      </c>
      <c r="F376" s="29" cm="1">
        <f t="array" ref="F376">SUMPRODUCT((ТВ!$A$2:$A$1000='ТВ Каналы'!A376)*(ТВ!$B$2:$B$1000='ТВ Каналы'!D376)*ТВ!$C$2:$C$1000)</f>
        <v>0</v>
      </c>
    </row>
    <row r="377" spans="3:6" x14ac:dyDescent="0.25">
      <c r="C377" s="25" t="str">
        <f t="shared" si="6"/>
        <v/>
      </c>
      <c r="F377" s="29" cm="1">
        <f t="array" ref="F377">SUMPRODUCT((ТВ!$A$2:$A$1000='ТВ Каналы'!A377)*(ТВ!$B$2:$B$1000='ТВ Каналы'!D377)*ТВ!$C$2:$C$1000)</f>
        <v>0</v>
      </c>
    </row>
    <row r="378" spans="3:6" x14ac:dyDescent="0.25">
      <c r="C378" s="25" t="str">
        <f t="shared" si="6"/>
        <v/>
      </c>
      <c r="F378" s="29" cm="1">
        <f t="array" ref="F378">SUMPRODUCT((ТВ!$A$2:$A$1000='ТВ Каналы'!A378)*(ТВ!$B$2:$B$1000='ТВ Каналы'!D378)*ТВ!$C$2:$C$1000)</f>
        <v>0</v>
      </c>
    </row>
    <row r="379" spans="3:6" x14ac:dyDescent="0.25">
      <c r="C379" s="25" t="str">
        <f t="shared" si="6"/>
        <v/>
      </c>
      <c r="F379" s="29" cm="1">
        <f t="array" ref="F379">SUMPRODUCT((ТВ!$A$2:$A$1000='ТВ Каналы'!A379)*(ТВ!$B$2:$B$1000='ТВ Каналы'!D379)*ТВ!$C$2:$C$1000)</f>
        <v>0</v>
      </c>
    </row>
    <row r="380" spans="3:6" x14ac:dyDescent="0.25">
      <c r="C380" s="25" t="str">
        <f t="shared" si="6"/>
        <v/>
      </c>
      <c r="F380" s="29" cm="1">
        <f t="array" ref="F380">SUMPRODUCT((ТВ!$A$2:$A$1000='ТВ Каналы'!A380)*(ТВ!$B$2:$B$1000='ТВ Каналы'!D380)*ТВ!$C$2:$C$1000)</f>
        <v>0</v>
      </c>
    </row>
    <row r="381" spans="3:6" x14ac:dyDescent="0.25">
      <c r="C381" s="25" t="str">
        <f t="shared" si="6"/>
        <v/>
      </c>
      <c r="F381" s="29" cm="1">
        <f t="array" ref="F381">SUMPRODUCT((ТВ!$A$2:$A$1000='ТВ Каналы'!A381)*(ТВ!$B$2:$B$1000='ТВ Каналы'!D381)*ТВ!$C$2:$C$1000)</f>
        <v>0</v>
      </c>
    </row>
    <row r="382" spans="3:6" x14ac:dyDescent="0.25">
      <c r="C382" s="25" t="str">
        <f t="shared" si="6"/>
        <v/>
      </c>
      <c r="F382" s="29" cm="1">
        <f t="array" ref="F382">SUMPRODUCT((ТВ!$A$2:$A$1000='ТВ Каналы'!A382)*(ТВ!$B$2:$B$1000='ТВ Каналы'!D382)*ТВ!$C$2:$C$1000)</f>
        <v>0</v>
      </c>
    </row>
    <row r="383" spans="3:6" x14ac:dyDescent="0.25">
      <c r="C383" s="25" t="str">
        <f t="shared" si="6"/>
        <v/>
      </c>
      <c r="F383" s="29" cm="1">
        <f t="array" ref="F383">SUMPRODUCT((ТВ!$A$2:$A$1000='ТВ Каналы'!A383)*(ТВ!$B$2:$B$1000='ТВ Каналы'!D383)*ТВ!$C$2:$C$1000)</f>
        <v>0</v>
      </c>
    </row>
    <row r="384" spans="3:6" x14ac:dyDescent="0.25">
      <c r="C384" s="25" t="str">
        <f t="shared" si="6"/>
        <v/>
      </c>
      <c r="F384" s="29" cm="1">
        <f t="array" ref="F384">SUMPRODUCT((ТВ!$A$2:$A$1000='ТВ Каналы'!A384)*(ТВ!$B$2:$B$1000='ТВ Каналы'!D384)*ТВ!$C$2:$C$1000)</f>
        <v>0</v>
      </c>
    </row>
    <row r="385" spans="3:6" x14ac:dyDescent="0.25">
      <c r="C385" s="25" t="str">
        <f t="shared" si="6"/>
        <v/>
      </c>
      <c r="F385" s="29" cm="1">
        <f t="array" ref="F385">SUMPRODUCT((ТВ!$A$2:$A$1000='ТВ Каналы'!A385)*(ТВ!$B$2:$B$1000='ТВ Каналы'!D385)*ТВ!$C$2:$C$1000)</f>
        <v>0</v>
      </c>
    </row>
    <row r="386" spans="3:6" x14ac:dyDescent="0.25">
      <c r="C386" s="25" t="str">
        <f t="shared" si="6"/>
        <v/>
      </c>
      <c r="F386" s="29" cm="1">
        <f t="array" ref="F386">SUMPRODUCT((ТВ!$A$2:$A$1000='ТВ Каналы'!A386)*(ТВ!$B$2:$B$1000='ТВ Каналы'!D386)*ТВ!$C$2:$C$1000)</f>
        <v>0</v>
      </c>
    </row>
    <row r="387" spans="3:6" x14ac:dyDescent="0.25">
      <c r="C387" s="25" t="str">
        <f t="shared" ref="C387:C450" si="7">_xlfn.CONCAT(A387,B387)</f>
        <v/>
      </c>
      <c r="F387" s="29" cm="1">
        <f t="array" ref="F387">SUMPRODUCT((ТВ!$A$2:$A$1000='ТВ Каналы'!A387)*(ТВ!$B$2:$B$1000='ТВ Каналы'!D387)*ТВ!$C$2:$C$1000)</f>
        <v>0</v>
      </c>
    </row>
    <row r="388" spans="3:6" x14ac:dyDescent="0.25">
      <c r="C388" s="25" t="str">
        <f t="shared" si="7"/>
        <v/>
      </c>
      <c r="F388" s="29" cm="1">
        <f t="array" ref="F388">SUMPRODUCT((ТВ!$A$2:$A$1000='ТВ Каналы'!A388)*(ТВ!$B$2:$B$1000='ТВ Каналы'!D388)*ТВ!$C$2:$C$1000)</f>
        <v>0</v>
      </c>
    </row>
    <row r="389" spans="3:6" x14ac:dyDescent="0.25">
      <c r="C389" s="25" t="str">
        <f t="shared" si="7"/>
        <v/>
      </c>
      <c r="F389" s="29" cm="1">
        <f t="array" ref="F389">SUMPRODUCT((ТВ!$A$2:$A$1000='ТВ Каналы'!A389)*(ТВ!$B$2:$B$1000='ТВ Каналы'!D389)*ТВ!$C$2:$C$1000)</f>
        <v>0</v>
      </c>
    </row>
    <row r="390" spans="3:6" x14ac:dyDescent="0.25">
      <c r="C390" s="25" t="str">
        <f t="shared" si="7"/>
        <v/>
      </c>
      <c r="F390" s="29" cm="1">
        <f t="array" ref="F390">SUMPRODUCT((ТВ!$A$2:$A$1000='ТВ Каналы'!A390)*(ТВ!$B$2:$B$1000='ТВ Каналы'!D390)*ТВ!$C$2:$C$1000)</f>
        <v>0</v>
      </c>
    </row>
    <row r="391" spans="3:6" x14ac:dyDescent="0.25">
      <c r="C391" s="25" t="str">
        <f t="shared" si="7"/>
        <v/>
      </c>
      <c r="F391" s="29" cm="1">
        <f t="array" ref="F391">SUMPRODUCT((ТВ!$A$2:$A$1000='ТВ Каналы'!A391)*(ТВ!$B$2:$B$1000='ТВ Каналы'!D391)*ТВ!$C$2:$C$1000)</f>
        <v>0</v>
      </c>
    </row>
    <row r="392" spans="3:6" x14ac:dyDescent="0.25">
      <c r="C392" s="25" t="str">
        <f t="shared" si="7"/>
        <v/>
      </c>
      <c r="F392" s="29" cm="1">
        <f t="array" ref="F392">SUMPRODUCT((ТВ!$A$2:$A$1000='ТВ Каналы'!A392)*(ТВ!$B$2:$B$1000='ТВ Каналы'!D392)*ТВ!$C$2:$C$1000)</f>
        <v>0</v>
      </c>
    </row>
    <row r="393" spans="3:6" x14ac:dyDescent="0.25">
      <c r="C393" s="25" t="str">
        <f t="shared" si="7"/>
        <v/>
      </c>
      <c r="F393" s="29" cm="1">
        <f t="array" ref="F393">SUMPRODUCT((ТВ!$A$2:$A$1000='ТВ Каналы'!A393)*(ТВ!$B$2:$B$1000='ТВ Каналы'!D393)*ТВ!$C$2:$C$1000)</f>
        <v>0</v>
      </c>
    </row>
    <row r="394" spans="3:6" x14ac:dyDescent="0.25">
      <c r="C394" s="25" t="str">
        <f t="shared" si="7"/>
        <v/>
      </c>
      <c r="F394" s="29" cm="1">
        <f t="array" ref="F394">SUMPRODUCT((ТВ!$A$2:$A$1000='ТВ Каналы'!A394)*(ТВ!$B$2:$B$1000='ТВ Каналы'!D394)*ТВ!$C$2:$C$1000)</f>
        <v>0</v>
      </c>
    </row>
    <row r="395" spans="3:6" x14ac:dyDescent="0.25">
      <c r="C395" s="25" t="str">
        <f t="shared" si="7"/>
        <v/>
      </c>
      <c r="F395" s="29" cm="1">
        <f t="array" ref="F395">SUMPRODUCT((ТВ!$A$2:$A$1000='ТВ Каналы'!A395)*(ТВ!$B$2:$B$1000='ТВ Каналы'!D395)*ТВ!$C$2:$C$1000)</f>
        <v>0</v>
      </c>
    </row>
    <row r="396" spans="3:6" x14ac:dyDescent="0.25">
      <c r="C396" s="25" t="str">
        <f t="shared" si="7"/>
        <v/>
      </c>
      <c r="F396" s="29" cm="1">
        <f t="array" ref="F396">SUMPRODUCT((ТВ!$A$2:$A$1000='ТВ Каналы'!A396)*(ТВ!$B$2:$B$1000='ТВ Каналы'!D396)*ТВ!$C$2:$C$1000)</f>
        <v>0</v>
      </c>
    </row>
    <row r="397" spans="3:6" x14ac:dyDescent="0.25">
      <c r="C397" s="25" t="str">
        <f t="shared" si="7"/>
        <v/>
      </c>
      <c r="F397" s="29" cm="1">
        <f t="array" ref="F397">SUMPRODUCT((ТВ!$A$2:$A$1000='ТВ Каналы'!A397)*(ТВ!$B$2:$B$1000='ТВ Каналы'!D397)*ТВ!$C$2:$C$1000)</f>
        <v>0</v>
      </c>
    </row>
    <row r="398" spans="3:6" x14ac:dyDescent="0.25">
      <c r="C398" s="25" t="str">
        <f t="shared" si="7"/>
        <v/>
      </c>
      <c r="F398" s="29" cm="1">
        <f t="array" ref="F398">SUMPRODUCT((ТВ!$A$2:$A$1000='ТВ Каналы'!A398)*(ТВ!$B$2:$B$1000='ТВ Каналы'!D398)*ТВ!$C$2:$C$1000)</f>
        <v>0</v>
      </c>
    </row>
    <row r="399" spans="3:6" x14ac:dyDescent="0.25">
      <c r="C399" s="25" t="str">
        <f t="shared" si="7"/>
        <v/>
      </c>
      <c r="F399" s="29" cm="1">
        <f t="array" ref="F399">SUMPRODUCT((ТВ!$A$2:$A$1000='ТВ Каналы'!A399)*(ТВ!$B$2:$B$1000='ТВ Каналы'!D399)*ТВ!$C$2:$C$1000)</f>
        <v>0</v>
      </c>
    </row>
    <row r="400" spans="3:6" x14ac:dyDescent="0.25">
      <c r="C400" s="25" t="str">
        <f t="shared" si="7"/>
        <v/>
      </c>
      <c r="F400" s="29" cm="1">
        <f t="array" ref="F400">SUMPRODUCT((ТВ!$A$2:$A$1000='ТВ Каналы'!A400)*(ТВ!$B$2:$B$1000='ТВ Каналы'!D400)*ТВ!$C$2:$C$1000)</f>
        <v>0</v>
      </c>
    </row>
    <row r="401" spans="3:6" x14ac:dyDescent="0.25">
      <c r="C401" s="25" t="str">
        <f t="shared" si="7"/>
        <v/>
      </c>
      <c r="F401" s="29" cm="1">
        <f t="array" ref="F401">SUMPRODUCT((ТВ!$A$2:$A$1000='ТВ Каналы'!A401)*(ТВ!$B$2:$B$1000='ТВ Каналы'!D401)*ТВ!$C$2:$C$1000)</f>
        <v>0</v>
      </c>
    </row>
    <row r="402" spans="3:6" x14ac:dyDescent="0.25">
      <c r="C402" s="25" t="str">
        <f t="shared" si="7"/>
        <v/>
      </c>
      <c r="F402" s="29" cm="1">
        <f t="array" ref="F402">SUMPRODUCT((ТВ!$A$2:$A$1000='ТВ Каналы'!A402)*(ТВ!$B$2:$B$1000='ТВ Каналы'!D402)*ТВ!$C$2:$C$1000)</f>
        <v>0</v>
      </c>
    </row>
    <row r="403" spans="3:6" x14ac:dyDescent="0.25">
      <c r="C403" s="25" t="str">
        <f t="shared" si="7"/>
        <v/>
      </c>
      <c r="F403" s="29" cm="1">
        <f t="array" ref="F403">SUMPRODUCT((ТВ!$A$2:$A$1000='ТВ Каналы'!A403)*(ТВ!$B$2:$B$1000='ТВ Каналы'!D403)*ТВ!$C$2:$C$1000)</f>
        <v>0</v>
      </c>
    </row>
    <row r="404" spans="3:6" x14ac:dyDescent="0.25">
      <c r="C404" s="25" t="str">
        <f t="shared" si="7"/>
        <v/>
      </c>
      <c r="F404" s="29" cm="1">
        <f t="array" ref="F404">SUMPRODUCT((ТВ!$A$2:$A$1000='ТВ Каналы'!A404)*(ТВ!$B$2:$B$1000='ТВ Каналы'!D404)*ТВ!$C$2:$C$1000)</f>
        <v>0</v>
      </c>
    </row>
    <row r="405" spans="3:6" x14ac:dyDescent="0.25">
      <c r="C405" s="25" t="str">
        <f t="shared" si="7"/>
        <v/>
      </c>
      <c r="F405" s="29" cm="1">
        <f t="array" ref="F405">SUMPRODUCT((ТВ!$A$2:$A$1000='ТВ Каналы'!A405)*(ТВ!$B$2:$B$1000='ТВ Каналы'!D405)*ТВ!$C$2:$C$1000)</f>
        <v>0</v>
      </c>
    </row>
    <row r="406" spans="3:6" x14ac:dyDescent="0.25">
      <c r="C406" s="25" t="str">
        <f t="shared" si="7"/>
        <v/>
      </c>
      <c r="F406" s="29" cm="1">
        <f t="array" ref="F406">SUMPRODUCT((ТВ!$A$2:$A$1000='ТВ Каналы'!A406)*(ТВ!$B$2:$B$1000='ТВ Каналы'!D406)*ТВ!$C$2:$C$1000)</f>
        <v>0</v>
      </c>
    </row>
    <row r="407" spans="3:6" x14ac:dyDescent="0.25">
      <c r="C407" s="25" t="str">
        <f t="shared" si="7"/>
        <v/>
      </c>
      <c r="F407" s="29" cm="1">
        <f t="array" ref="F407">SUMPRODUCT((ТВ!$A$2:$A$1000='ТВ Каналы'!A407)*(ТВ!$B$2:$B$1000='ТВ Каналы'!D407)*ТВ!$C$2:$C$1000)</f>
        <v>0</v>
      </c>
    </row>
    <row r="408" spans="3:6" x14ac:dyDescent="0.25">
      <c r="C408" s="25" t="str">
        <f t="shared" si="7"/>
        <v/>
      </c>
      <c r="F408" s="29" cm="1">
        <f t="array" ref="F408">SUMPRODUCT((ТВ!$A$2:$A$1000='ТВ Каналы'!A408)*(ТВ!$B$2:$B$1000='ТВ Каналы'!D408)*ТВ!$C$2:$C$1000)</f>
        <v>0</v>
      </c>
    </row>
    <row r="409" spans="3:6" x14ac:dyDescent="0.25">
      <c r="C409" s="25" t="str">
        <f t="shared" si="7"/>
        <v/>
      </c>
      <c r="F409" s="29" cm="1">
        <f t="array" ref="F409">SUMPRODUCT((ТВ!$A$2:$A$1000='ТВ Каналы'!A409)*(ТВ!$B$2:$B$1000='ТВ Каналы'!D409)*ТВ!$C$2:$C$1000)</f>
        <v>0</v>
      </c>
    </row>
    <row r="410" spans="3:6" x14ac:dyDescent="0.25">
      <c r="C410" s="25" t="str">
        <f t="shared" si="7"/>
        <v/>
      </c>
      <c r="F410" s="29" cm="1">
        <f t="array" ref="F410">SUMPRODUCT((ТВ!$A$2:$A$1000='ТВ Каналы'!A410)*(ТВ!$B$2:$B$1000='ТВ Каналы'!D410)*ТВ!$C$2:$C$1000)</f>
        <v>0</v>
      </c>
    </row>
    <row r="411" spans="3:6" x14ac:dyDescent="0.25">
      <c r="C411" s="25" t="str">
        <f t="shared" si="7"/>
        <v/>
      </c>
      <c r="F411" s="29" cm="1">
        <f t="array" ref="F411">SUMPRODUCT((ТВ!$A$2:$A$1000='ТВ Каналы'!A411)*(ТВ!$B$2:$B$1000='ТВ Каналы'!D411)*ТВ!$C$2:$C$1000)</f>
        <v>0</v>
      </c>
    </row>
    <row r="412" spans="3:6" x14ac:dyDescent="0.25">
      <c r="C412" s="25" t="str">
        <f t="shared" si="7"/>
        <v/>
      </c>
      <c r="F412" s="29" cm="1">
        <f t="array" ref="F412">SUMPRODUCT((ТВ!$A$2:$A$1000='ТВ Каналы'!A412)*(ТВ!$B$2:$B$1000='ТВ Каналы'!D412)*ТВ!$C$2:$C$1000)</f>
        <v>0</v>
      </c>
    </row>
    <row r="413" spans="3:6" x14ac:dyDescent="0.25">
      <c r="C413" s="25" t="str">
        <f t="shared" si="7"/>
        <v/>
      </c>
      <c r="F413" s="29" cm="1">
        <f t="array" ref="F413">SUMPRODUCT((ТВ!$A$2:$A$1000='ТВ Каналы'!A413)*(ТВ!$B$2:$B$1000='ТВ Каналы'!D413)*ТВ!$C$2:$C$1000)</f>
        <v>0</v>
      </c>
    </row>
    <row r="414" spans="3:6" x14ac:dyDescent="0.25">
      <c r="C414" s="25" t="str">
        <f t="shared" si="7"/>
        <v/>
      </c>
      <c r="F414" s="29" cm="1">
        <f t="array" ref="F414">SUMPRODUCT((ТВ!$A$2:$A$1000='ТВ Каналы'!A414)*(ТВ!$B$2:$B$1000='ТВ Каналы'!D414)*ТВ!$C$2:$C$1000)</f>
        <v>0</v>
      </c>
    </row>
    <row r="415" spans="3:6" x14ac:dyDescent="0.25">
      <c r="C415" s="25" t="str">
        <f t="shared" si="7"/>
        <v/>
      </c>
      <c r="F415" s="29" cm="1">
        <f t="array" ref="F415">SUMPRODUCT((ТВ!$A$2:$A$1000='ТВ Каналы'!A415)*(ТВ!$B$2:$B$1000='ТВ Каналы'!D415)*ТВ!$C$2:$C$1000)</f>
        <v>0</v>
      </c>
    </row>
    <row r="416" spans="3:6" x14ac:dyDescent="0.25">
      <c r="C416" s="25" t="str">
        <f t="shared" si="7"/>
        <v/>
      </c>
      <c r="F416" s="29" cm="1">
        <f t="array" ref="F416">SUMPRODUCT((ТВ!$A$2:$A$1000='ТВ Каналы'!A416)*(ТВ!$B$2:$B$1000='ТВ Каналы'!D416)*ТВ!$C$2:$C$1000)</f>
        <v>0</v>
      </c>
    </row>
    <row r="417" spans="3:6" x14ac:dyDescent="0.25">
      <c r="C417" s="25" t="str">
        <f t="shared" si="7"/>
        <v/>
      </c>
      <c r="F417" s="29" cm="1">
        <f t="array" ref="F417">SUMPRODUCT((ТВ!$A$2:$A$1000='ТВ Каналы'!A417)*(ТВ!$B$2:$B$1000='ТВ Каналы'!D417)*ТВ!$C$2:$C$1000)</f>
        <v>0</v>
      </c>
    </row>
    <row r="418" spans="3:6" x14ac:dyDescent="0.25">
      <c r="C418" s="25" t="str">
        <f t="shared" si="7"/>
        <v/>
      </c>
      <c r="F418" s="29" cm="1">
        <f t="array" ref="F418">SUMPRODUCT((ТВ!$A$2:$A$1000='ТВ Каналы'!A418)*(ТВ!$B$2:$B$1000='ТВ Каналы'!D418)*ТВ!$C$2:$C$1000)</f>
        <v>0</v>
      </c>
    </row>
    <row r="419" spans="3:6" x14ac:dyDescent="0.25">
      <c r="C419" s="25" t="str">
        <f t="shared" si="7"/>
        <v/>
      </c>
      <c r="F419" s="29" cm="1">
        <f t="array" ref="F419">SUMPRODUCT((ТВ!$A$2:$A$1000='ТВ Каналы'!A419)*(ТВ!$B$2:$B$1000='ТВ Каналы'!D419)*ТВ!$C$2:$C$1000)</f>
        <v>0</v>
      </c>
    </row>
    <row r="420" spans="3:6" x14ac:dyDescent="0.25">
      <c r="C420" s="25" t="str">
        <f t="shared" si="7"/>
        <v/>
      </c>
      <c r="F420" s="29" cm="1">
        <f t="array" ref="F420">SUMPRODUCT((ТВ!$A$2:$A$1000='ТВ Каналы'!A420)*(ТВ!$B$2:$B$1000='ТВ Каналы'!D420)*ТВ!$C$2:$C$1000)</f>
        <v>0</v>
      </c>
    </row>
    <row r="421" spans="3:6" x14ac:dyDescent="0.25">
      <c r="C421" s="25" t="str">
        <f t="shared" si="7"/>
        <v/>
      </c>
      <c r="F421" s="29" cm="1">
        <f t="array" ref="F421">SUMPRODUCT((ТВ!$A$2:$A$1000='ТВ Каналы'!A421)*(ТВ!$B$2:$B$1000='ТВ Каналы'!D421)*ТВ!$C$2:$C$1000)</f>
        <v>0</v>
      </c>
    </row>
    <row r="422" spans="3:6" x14ac:dyDescent="0.25">
      <c r="C422" s="25" t="str">
        <f t="shared" si="7"/>
        <v/>
      </c>
      <c r="F422" s="29" cm="1">
        <f t="array" ref="F422">SUMPRODUCT((ТВ!$A$2:$A$1000='ТВ Каналы'!A422)*(ТВ!$B$2:$B$1000='ТВ Каналы'!D422)*ТВ!$C$2:$C$1000)</f>
        <v>0</v>
      </c>
    </row>
    <row r="423" spans="3:6" x14ac:dyDescent="0.25">
      <c r="C423" s="25" t="str">
        <f t="shared" si="7"/>
        <v/>
      </c>
      <c r="F423" s="29" cm="1">
        <f t="array" ref="F423">SUMPRODUCT((ТВ!$A$2:$A$1000='ТВ Каналы'!A423)*(ТВ!$B$2:$B$1000='ТВ Каналы'!D423)*ТВ!$C$2:$C$1000)</f>
        <v>0</v>
      </c>
    </row>
    <row r="424" spans="3:6" x14ac:dyDescent="0.25">
      <c r="C424" s="25" t="str">
        <f t="shared" si="7"/>
        <v/>
      </c>
      <c r="F424" s="29" cm="1">
        <f t="array" ref="F424">SUMPRODUCT((ТВ!$A$2:$A$1000='ТВ Каналы'!A424)*(ТВ!$B$2:$B$1000='ТВ Каналы'!D424)*ТВ!$C$2:$C$1000)</f>
        <v>0</v>
      </c>
    </row>
    <row r="425" spans="3:6" x14ac:dyDescent="0.25">
      <c r="C425" s="25" t="str">
        <f t="shared" si="7"/>
        <v/>
      </c>
      <c r="F425" s="29" cm="1">
        <f t="array" ref="F425">SUMPRODUCT((ТВ!$A$2:$A$1000='ТВ Каналы'!A425)*(ТВ!$B$2:$B$1000='ТВ Каналы'!D425)*ТВ!$C$2:$C$1000)</f>
        <v>0</v>
      </c>
    </row>
    <row r="426" spans="3:6" x14ac:dyDescent="0.25">
      <c r="C426" s="25" t="str">
        <f t="shared" si="7"/>
        <v/>
      </c>
      <c r="F426" s="29" cm="1">
        <f t="array" ref="F426">SUMPRODUCT((ТВ!$A$2:$A$1000='ТВ Каналы'!A426)*(ТВ!$B$2:$B$1000='ТВ Каналы'!D426)*ТВ!$C$2:$C$1000)</f>
        <v>0</v>
      </c>
    </row>
    <row r="427" spans="3:6" x14ac:dyDescent="0.25">
      <c r="C427" s="25" t="str">
        <f t="shared" si="7"/>
        <v/>
      </c>
      <c r="F427" s="29" cm="1">
        <f t="array" ref="F427">SUMPRODUCT((ТВ!$A$2:$A$1000='ТВ Каналы'!A427)*(ТВ!$B$2:$B$1000='ТВ Каналы'!D427)*ТВ!$C$2:$C$1000)</f>
        <v>0</v>
      </c>
    </row>
    <row r="428" spans="3:6" x14ac:dyDescent="0.25">
      <c r="C428" s="25" t="str">
        <f t="shared" si="7"/>
        <v/>
      </c>
      <c r="F428" s="29" cm="1">
        <f t="array" ref="F428">SUMPRODUCT((ТВ!$A$2:$A$1000='ТВ Каналы'!A428)*(ТВ!$B$2:$B$1000='ТВ Каналы'!D428)*ТВ!$C$2:$C$1000)</f>
        <v>0</v>
      </c>
    </row>
    <row r="429" spans="3:6" x14ac:dyDescent="0.25">
      <c r="C429" s="25" t="str">
        <f t="shared" si="7"/>
        <v/>
      </c>
      <c r="F429" s="29" cm="1">
        <f t="array" ref="F429">SUMPRODUCT((ТВ!$A$2:$A$1000='ТВ Каналы'!A429)*(ТВ!$B$2:$B$1000='ТВ Каналы'!D429)*ТВ!$C$2:$C$1000)</f>
        <v>0</v>
      </c>
    </row>
    <row r="430" spans="3:6" x14ac:dyDescent="0.25">
      <c r="C430" s="25" t="str">
        <f t="shared" si="7"/>
        <v/>
      </c>
      <c r="F430" s="29" cm="1">
        <f t="array" ref="F430">SUMPRODUCT((ТВ!$A$2:$A$1000='ТВ Каналы'!A430)*(ТВ!$B$2:$B$1000='ТВ Каналы'!D430)*ТВ!$C$2:$C$1000)</f>
        <v>0</v>
      </c>
    </row>
    <row r="431" spans="3:6" x14ac:dyDescent="0.25">
      <c r="C431" s="25" t="str">
        <f t="shared" si="7"/>
        <v/>
      </c>
      <c r="F431" s="29" cm="1">
        <f t="array" ref="F431">SUMPRODUCT((ТВ!$A$2:$A$1000='ТВ Каналы'!A431)*(ТВ!$B$2:$B$1000='ТВ Каналы'!D431)*ТВ!$C$2:$C$1000)</f>
        <v>0</v>
      </c>
    </row>
    <row r="432" spans="3:6" x14ac:dyDescent="0.25">
      <c r="C432" s="25" t="str">
        <f t="shared" si="7"/>
        <v/>
      </c>
      <c r="F432" s="29" cm="1">
        <f t="array" ref="F432">SUMPRODUCT((ТВ!$A$2:$A$1000='ТВ Каналы'!A432)*(ТВ!$B$2:$B$1000='ТВ Каналы'!D432)*ТВ!$C$2:$C$1000)</f>
        <v>0</v>
      </c>
    </row>
    <row r="433" spans="3:6" x14ac:dyDescent="0.25">
      <c r="C433" s="25" t="str">
        <f t="shared" si="7"/>
        <v/>
      </c>
      <c r="F433" s="29" cm="1">
        <f t="array" ref="F433">SUMPRODUCT((ТВ!$A$2:$A$1000='ТВ Каналы'!A433)*(ТВ!$B$2:$B$1000='ТВ Каналы'!D433)*ТВ!$C$2:$C$1000)</f>
        <v>0</v>
      </c>
    </row>
    <row r="434" spans="3:6" x14ac:dyDescent="0.25">
      <c r="C434" s="25" t="str">
        <f t="shared" si="7"/>
        <v/>
      </c>
      <c r="F434" s="29" cm="1">
        <f t="array" ref="F434">SUMPRODUCT((ТВ!$A$2:$A$1000='ТВ Каналы'!A434)*(ТВ!$B$2:$B$1000='ТВ Каналы'!D434)*ТВ!$C$2:$C$1000)</f>
        <v>0</v>
      </c>
    </row>
    <row r="435" spans="3:6" x14ac:dyDescent="0.25">
      <c r="C435" s="25" t="str">
        <f t="shared" si="7"/>
        <v/>
      </c>
      <c r="F435" s="29" cm="1">
        <f t="array" ref="F435">SUMPRODUCT((ТВ!$A$2:$A$1000='ТВ Каналы'!A435)*(ТВ!$B$2:$B$1000='ТВ Каналы'!D435)*ТВ!$C$2:$C$1000)</f>
        <v>0</v>
      </c>
    </row>
    <row r="436" spans="3:6" x14ac:dyDescent="0.25">
      <c r="C436" s="25" t="str">
        <f t="shared" si="7"/>
        <v/>
      </c>
      <c r="F436" s="29" cm="1">
        <f t="array" ref="F436">SUMPRODUCT((ТВ!$A$2:$A$1000='ТВ Каналы'!A436)*(ТВ!$B$2:$B$1000='ТВ Каналы'!D436)*ТВ!$C$2:$C$1000)</f>
        <v>0</v>
      </c>
    </row>
    <row r="437" spans="3:6" x14ac:dyDescent="0.25">
      <c r="C437" s="25" t="str">
        <f t="shared" si="7"/>
        <v/>
      </c>
      <c r="F437" s="29" cm="1">
        <f t="array" ref="F437">SUMPRODUCT((ТВ!$A$2:$A$1000='ТВ Каналы'!A437)*(ТВ!$B$2:$B$1000='ТВ Каналы'!D437)*ТВ!$C$2:$C$1000)</f>
        <v>0</v>
      </c>
    </row>
    <row r="438" spans="3:6" x14ac:dyDescent="0.25">
      <c r="C438" s="25" t="str">
        <f t="shared" si="7"/>
        <v/>
      </c>
      <c r="F438" s="29" cm="1">
        <f t="array" ref="F438">SUMPRODUCT((ТВ!$A$2:$A$1000='ТВ Каналы'!A438)*(ТВ!$B$2:$B$1000='ТВ Каналы'!D438)*ТВ!$C$2:$C$1000)</f>
        <v>0</v>
      </c>
    </row>
    <row r="439" spans="3:6" x14ac:dyDescent="0.25">
      <c r="C439" s="25" t="str">
        <f t="shared" si="7"/>
        <v/>
      </c>
      <c r="F439" s="29" cm="1">
        <f t="array" ref="F439">SUMPRODUCT((ТВ!$A$2:$A$1000='ТВ Каналы'!A439)*(ТВ!$B$2:$B$1000='ТВ Каналы'!D439)*ТВ!$C$2:$C$1000)</f>
        <v>0</v>
      </c>
    </row>
    <row r="440" spans="3:6" x14ac:dyDescent="0.25">
      <c r="C440" s="25" t="str">
        <f t="shared" si="7"/>
        <v/>
      </c>
      <c r="F440" s="29" cm="1">
        <f t="array" ref="F440">SUMPRODUCT((ТВ!$A$2:$A$1000='ТВ Каналы'!A440)*(ТВ!$B$2:$B$1000='ТВ Каналы'!D440)*ТВ!$C$2:$C$1000)</f>
        <v>0</v>
      </c>
    </row>
    <row r="441" spans="3:6" x14ac:dyDescent="0.25">
      <c r="C441" s="25" t="str">
        <f t="shared" si="7"/>
        <v/>
      </c>
      <c r="F441" s="29" cm="1">
        <f t="array" ref="F441">SUMPRODUCT((ТВ!$A$2:$A$1000='ТВ Каналы'!A441)*(ТВ!$B$2:$B$1000='ТВ Каналы'!D441)*ТВ!$C$2:$C$1000)</f>
        <v>0</v>
      </c>
    </row>
    <row r="442" spans="3:6" x14ac:dyDescent="0.25">
      <c r="C442" s="25" t="str">
        <f t="shared" si="7"/>
        <v/>
      </c>
      <c r="F442" s="29" cm="1">
        <f t="array" ref="F442">SUMPRODUCT((ТВ!$A$2:$A$1000='ТВ Каналы'!A442)*(ТВ!$B$2:$B$1000='ТВ Каналы'!D442)*ТВ!$C$2:$C$1000)</f>
        <v>0</v>
      </c>
    </row>
    <row r="443" spans="3:6" x14ac:dyDescent="0.25">
      <c r="C443" s="25" t="str">
        <f t="shared" si="7"/>
        <v/>
      </c>
      <c r="F443" s="29" cm="1">
        <f t="array" ref="F443">SUMPRODUCT((ТВ!$A$2:$A$1000='ТВ Каналы'!A443)*(ТВ!$B$2:$B$1000='ТВ Каналы'!D443)*ТВ!$C$2:$C$1000)</f>
        <v>0</v>
      </c>
    </row>
    <row r="444" spans="3:6" x14ac:dyDescent="0.25">
      <c r="C444" s="25" t="str">
        <f t="shared" si="7"/>
        <v/>
      </c>
      <c r="F444" s="29" cm="1">
        <f t="array" ref="F444">SUMPRODUCT((ТВ!$A$2:$A$1000='ТВ Каналы'!A444)*(ТВ!$B$2:$B$1000='ТВ Каналы'!D444)*ТВ!$C$2:$C$1000)</f>
        <v>0</v>
      </c>
    </row>
    <row r="445" spans="3:6" x14ac:dyDescent="0.25">
      <c r="C445" s="25" t="str">
        <f t="shared" si="7"/>
        <v/>
      </c>
      <c r="F445" s="29" cm="1">
        <f t="array" ref="F445">SUMPRODUCT((ТВ!$A$2:$A$1000='ТВ Каналы'!A445)*(ТВ!$B$2:$B$1000='ТВ Каналы'!D445)*ТВ!$C$2:$C$1000)</f>
        <v>0</v>
      </c>
    </row>
    <row r="446" spans="3:6" x14ac:dyDescent="0.25">
      <c r="C446" s="25" t="str">
        <f t="shared" si="7"/>
        <v/>
      </c>
      <c r="F446" s="29" cm="1">
        <f t="array" ref="F446">SUMPRODUCT((ТВ!$A$2:$A$1000='ТВ Каналы'!A446)*(ТВ!$B$2:$B$1000='ТВ Каналы'!D446)*ТВ!$C$2:$C$1000)</f>
        <v>0</v>
      </c>
    </row>
    <row r="447" spans="3:6" x14ac:dyDescent="0.25">
      <c r="C447" s="25" t="str">
        <f t="shared" si="7"/>
        <v/>
      </c>
      <c r="F447" s="29" cm="1">
        <f t="array" ref="F447">SUMPRODUCT((ТВ!$A$2:$A$1000='ТВ Каналы'!A447)*(ТВ!$B$2:$B$1000='ТВ Каналы'!D447)*ТВ!$C$2:$C$1000)</f>
        <v>0</v>
      </c>
    </row>
    <row r="448" spans="3:6" x14ac:dyDescent="0.25">
      <c r="C448" s="25" t="str">
        <f t="shared" si="7"/>
        <v/>
      </c>
      <c r="F448" s="29" cm="1">
        <f t="array" ref="F448">SUMPRODUCT((ТВ!$A$2:$A$1000='ТВ Каналы'!A448)*(ТВ!$B$2:$B$1000='ТВ Каналы'!D448)*ТВ!$C$2:$C$1000)</f>
        <v>0</v>
      </c>
    </row>
    <row r="449" spans="3:6" x14ac:dyDescent="0.25">
      <c r="C449" s="25" t="str">
        <f t="shared" si="7"/>
        <v/>
      </c>
      <c r="F449" s="29" cm="1">
        <f t="array" ref="F449">SUMPRODUCT((ТВ!$A$2:$A$1000='ТВ Каналы'!A449)*(ТВ!$B$2:$B$1000='ТВ Каналы'!D449)*ТВ!$C$2:$C$1000)</f>
        <v>0</v>
      </c>
    </row>
    <row r="450" spans="3:6" x14ac:dyDescent="0.25">
      <c r="C450" s="25" t="str">
        <f t="shared" si="7"/>
        <v/>
      </c>
      <c r="F450" s="29" cm="1">
        <f t="array" ref="F450">SUMPRODUCT((ТВ!$A$2:$A$1000='ТВ Каналы'!A450)*(ТВ!$B$2:$B$1000='ТВ Каналы'!D450)*ТВ!$C$2:$C$1000)</f>
        <v>0</v>
      </c>
    </row>
    <row r="451" spans="3:6" x14ac:dyDescent="0.25">
      <c r="C451" s="25" t="str">
        <f t="shared" ref="C451:C514" si="8">_xlfn.CONCAT(A451,B451)</f>
        <v/>
      </c>
      <c r="F451" s="29" cm="1">
        <f t="array" ref="F451">SUMPRODUCT((ТВ!$A$2:$A$1000='ТВ Каналы'!A451)*(ТВ!$B$2:$B$1000='ТВ Каналы'!D451)*ТВ!$C$2:$C$1000)</f>
        <v>0</v>
      </c>
    </row>
    <row r="452" spans="3:6" x14ac:dyDescent="0.25">
      <c r="C452" s="25" t="str">
        <f t="shared" si="8"/>
        <v/>
      </c>
      <c r="F452" s="29" cm="1">
        <f t="array" ref="F452">SUMPRODUCT((ТВ!$A$2:$A$1000='ТВ Каналы'!A452)*(ТВ!$B$2:$B$1000='ТВ Каналы'!D452)*ТВ!$C$2:$C$1000)</f>
        <v>0</v>
      </c>
    </row>
    <row r="453" spans="3:6" x14ac:dyDescent="0.25">
      <c r="C453" s="25" t="str">
        <f t="shared" si="8"/>
        <v/>
      </c>
      <c r="F453" s="29" cm="1">
        <f t="array" ref="F453">SUMPRODUCT((ТВ!$A$2:$A$1000='ТВ Каналы'!A453)*(ТВ!$B$2:$B$1000='ТВ Каналы'!D453)*ТВ!$C$2:$C$1000)</f>
        <v>0</v>
      </c>
    </row>
    <row r="454" spans="3:6" x14ac:dyDescent="0.25">
      <c r="C454" s="25" t="str">
        <f t="shared" si="8"/>
        <v/>
      </c>
      <c r="F454" s="29" cm="1">
        <f t="array" ref="F454">SUMPRODUCT((ТВ!$A$2:$A$1000='ТВ Каналы'!A454)*(ТВ!$B$2:$B$1000='ТВ Каналы'!D454)*ТВ!$C$2:$C$1000)</f>
        <v>0</v>
      </c>
    </row>
    <row r="455" spans="3:6" x14ac:dyDescent="0.25">
      <c r="C455" s="25" t="str">
        <f t="shared" si="8"/>
        <v/>
      </c>
      <c r="F455" s="29" cm="1">
        <f t="array" ref="F455">SUMPRODUCT((ТВ!$A$2:$A$1000='ТВ Каналы'!A455)*(ТВ!$B$2:$B$1000='ТВ Каналы'!D455)*ТВ!$C$2:$C$1000)</f>
        <v>0</v>
      </c>
    </row>
    <row r="456" spans="3:6" x14ac:dyDescent="0.25">
      <c r="C456" s="25" t="str">
        <f t="shared" si="8"/>
        <v/>
      </c>
      <c r="F456" s="29" cm="1">
        <f t="array" ref="F456">SUMPRODUCT((ТВ!$A$2:$A$1000='ТВ Каналы'!A456)*(ТВ!$B$2:$B$1000='ТВ Каналы'!D456)*ТВ!$C$2:$C$1000)</f>
        <v>0</v>
      </c>
    </row>
    <row r="457" spans="3:6" x14ac:dyDescent="0.25">
      <c r="C457" s="25" t="str">
        <f t="shared" si="8"/>
        <v/>
      </c>
      <c r="F457" s="29" cm="1">
        <f t="array" ref="F457">SUMPRODUCT((ТВ!$A$2:$A$1000='ТВ Каналы'!A457)*(ТВ!$B$2:$B$1000='ТВ Каналы'!D457)*ТВ!$C$2:$C$1000)</f>
        <v>0</v>
      </c>
    </row>
    <row r="458" spans="3:6" x14ac:dyDescent="0.25">
      <c r="C458" s="25" t="str">
        <f t="shared" si="8"/>
        <v/>
      </c>
      <c r="F458" s="29" cm="1">
        <f t="array" ref="F458">SUMPRODUCT((ТВ!$A$2:$A$1000='ТВ Каналы'!A458)*(ТВ!$B$2:$B$1000='ТВ Каналы'!D458)*ТВ!$C$2:$C$1000)</f>
        <v>0</v>
      </c>
    </row>
    <row r="459" spans="3:6" x14ac:dyDescent="0.25">
      <c r="C459" s="25" t="str">
        <f t="shared" si="8"/>
        <v/>
      </c>
      <c r="F459" s="29" cm="1">
        <f t="array" ref="F459">SUMPRODUCT((ТВ!$A$2:$A$1000='ТВ Каналы'!A459)*(ТВ!$B$2:$B$1000='ТВ Каналы'!D459)*ТВ!$C$2:$C$1000)</f>
        <v>0</v>
      </c>
    </row>
    <row r="460" spans="3:6" x14ac:dyDescent="0.25">
      <c r="C460" s="25" t="str">
        <f t="shared" si="8"/>
        <v/>
      </c>
      <c r="F460" s="29" cm="1">
        <f t="array" ref="F460">SUMPRODUCT((ТВ!$A$2:$A$1000='ТВ Каналы'!A460)*(ТВ!$B$2:$B$1000='ТВ Каналы'!D460)*ТВ!$C$2:$C$1000)</f>
        <v>0</v>
      </c>
    </row>
    <row r="461" spans="3:6" x14ac:dyDescent="0.25">
      <c r="C461" s="25" t="str">
        <f t="shared" si="8"/>
        <v/>
      </c>
      <c r="F461" s="29" cm="1">
        <f t="array" ref="F461">SUMPRODUCT((ТВ!$A$2:$A$1000='ТВ Каналы'!A461)*(ТВ!$B$2:$B$1000='ТВ Каналы'!D461)*ТВ!$C$2:$C$1000)</f>
        <v>0</v>
      </c>
    </row>
    <row r="462" spans="3:6" x14ac:dyDescent="0.25">
      <c r="C462" s="25" t="str">
        <f t="shared" si="8"/>
        <v/>
      </c>
      <c r="F462" s="29" cm="1">
        <f t="array" ref="F462">SUMPRODUCT((ТВ!$A$2:$A$1000='ТВ Каналы'!A462)*(ТВ!$B$2:$B$1000='ТВ Каналы'!D462)*ТВ!$C$2:$C$1000)</f>
        <v>0</v>
      </c>
    </row>
    <row r="463" spans="3:6" x14ac:dyDescent="0.25">
      <c r="C463" s="25" t="str">
        <f t="shared" si="8"/>
        <v/>
      </c>
      <c r="F463" s="29" cm="1">
        <f t="array" ref="F463">SUMPRODUCT((ТВ!$A$2:$A$1000='ТВ Каналы'!A463)*(ТВ!$B$2:$B$1000='ТВ Каналы'!D463)*ТВ!$C$2:$C$1000)</f>
        <v>0</v>
      </c>
    </row>
    <row r="464" spans="3:6" x14ac:dyDescent="0.25">
      <c r="C464" s="25" t="str">
        <f t="shared" si="8"/>
        <v/>
      </c>
      <c r="F464" s="29" cm="1">
        <f t="array" ref="F464">SUMPRODUCT((ТВ!$A$2:$A$1000='ТВ Каналы'!A464)*(ТВ!$B$2:$B$1000='ТВ Каналы'!D464)*ТВ!$C$2:$C$1000)</f>
        <v>0</v>
      </c>
    </row>
    <row r="465" spans="3:6" x14ac:dyDescent="0.25">
      <c r="C465" s="25" t="str">
        <f t="shared" si="8"/>
        <v/>
      </c>
      <c r="F465" s="29" cm="1">
        <f t="array" ref="F465">SUMPRODUCT((ТВ!$A$2:$A$1000='ТВ Каналы'!A465)*(ТВ!$B$2:$B$1000='ТВ Каналы'!D465)*ТВ!$C$2:$C$1000)</f>
        <v>0</v>
      </c>
    </row>
    <row r="466" spans="3:6" x14ac:dyDescent="0.25">
      <c r="C466" s="25" t="str">
        <f t="shared" si="8"/>
        <v/>
      </c>
      <c r="F466" s="29" cm="1">
        <f t="array" ref="F466">SUMPRODUCT((ТВ!$A$2:$A$1000='ТВ Каналы'!A466)*(ТВ!$B$2:$B$1000='ТВ Каналы'!D466)*ТВ!$C$2:$C$1000)</f>
        <v>0</v>
      </c>
    </row>
    <row r="467" spans="3:6" x14ac:dyDescent="0.25">
      <c r="C467" s="25" t="str">
        <f t="shared" si="8"/>
        <v/>
      </c>
      <c r="F467" s="29" cm="1">
        <f t="array" ref="F467">SUMPRODUCT((ТВ!$A$2:$A$1000='ТВ Каналы'!A467)*(ТВ!$B$2:$B$1000='ТВ Каналы'!D467)*ТВ!$C$2:$C$1000)</f>
        <v>0</v>
      </c>
    </row>
    <row r="468" spans="3:6" x14ac:dyDescent="0.25">
      <c r="C468" s="25" t="str">
        <f t="shared" si="8"/>
        <v/>
      </c>
      <c r="F468" s="29" cm="1">
        <f t="array" ref="F468">SUMPRODUCT((ТВ!$A$2:$A$1000='ТВ Каналы'!A468)*(ТВ!$B$2:$B$1000='ТВ Каналы'!D468)*ТВ!$C$2:$C$1000)</f>
        <v>0</v>
      </c>
    </row>
    <row r="469" spans="3:6" x14ac:dyDescent="0.25">
      <c r="C469" s="25" t="str">
        <f t="shared" si="8"/>
        <v/>
      </c>
      <c r="F469" s="29" cm="1">
        <f t="array" ref="F469">SUMPRODUCT((ТВ!$A$2:$A$1000='ТВ Каналы'!A469)*(ТВ!$B$2:$B$1000='ТВ Каналы'!D469)*ТВ!$C$2:$C$1000)</f>
        <v>0</v>
      </c>
    </row>
    <row r="470" spans="3:6" x14ac:dyDescent="0.25">
      <c r="C470" s="25" t="str">
        <f t="shared" si="8"/>
        <v/>
      </c>
      <c r="F470" s="29" cm="1">
        <f t="array" ref="F470">SUMPRODUCT((ТВ!$A$2:$A$1000='ТВ Каналы'!A470)*(ТВ!$B$2:$B$1000='ТВ Каналы'!D470)*ТВ!$C$2:$C$1000)</f>
        <v>0</v>
      </c>
    </row>
    <row r="471" spans="3:6" x14ac:dyDescent="0.25">
      <c r="C471" s="25" t="str">
        <f t="shared" si="8"/>
        <v/>
      </c>
      <c r="F471" s="29" cm="1">
        <f t="array" ref="F471">SUMPRODUCT((ТВ!$A$2:$A$1000='ТВ Каналы'!A471)*(ТВ!$B$2:$B$1000='ТВ Каналы'!D471)*ТВ!$C$2:$C$1000)</f>
        <v>0</v>
      </c>
    </row>
    <row r="472" spans="3:6" x14ac:dyDescent="0.25">
      <c r="C472" s="25" t="str">
        <f t="shared" si="8"/>
        <v/>
      </c>
      <c r="F472" s="29" cm="1">
        <f t="array" ref="F472">SUMPRODUCT((ТВ!$A$2:$A$1000='ТВ Каналы'!A472)*(ТВ!$B$2:$B$1000='ТВ Каналы'!D472)*ТВ!$C$2:$C$1000)</f>
        <v>0</v>
      </c>
    </row>
    <row r="473" spans="3:6" x14ac:dyDescent="0.25">
      <c r="C473" s="25" t="str">
        <f t="shared" si="8"/>
        <v/>
      </c>
      <c r="F473" s="29" cm="1">
        <f t="array" ref="F473">SUMPRODUCT((ТВ!$A$2:$A$1000='ТВ Каналы'!A473)*(ТВ!$B$2:$B$1000='ТВ Каналы'!D473)*ТВ!$C$2:$C$1000)</f>
        <v>0</v>
      </c>
    </row>
    <row r="474" spans="3:6" x14ac:dyDescent="0.25">
      <c r="C474" s="25" t="str">
        <f t="shared" si="8"/>
        <v/>
      </c>
      <c r="F474" s="29" cm="1">
        <f t="array" ref="F474">SUMPRODUCT((ТВ!$A$2:$A$1000='ТВ Каналы'!A474)*(ТВ!$B$2:$B$1000='ТВ Каналы'!D474)*ТВ!$C$2:$C$1000)</f>
        <v>0</v>
      </c>
    </row>
    <row r="475" spans="3:6" x14ac:dyDescent="0.25">
      <c r="C475" s="25" t="str">
        <f t="shared" si="8"/>
        <v/>
      </c>
      <c r="F475" s="29" cm="1">
        <f t="array" ref="F475">SUMPRODUCT((ТВ!$A$2:$A$1000='ТВ Каналы'!A475)*(ТВ!$B$2:$B$1000='ТВ Каналы'!D475)*ТВ!$C$2:$C$1000)</f>
        <v>0</v>
      </c>
    </row>
    <row r="476" spans="3:6" x14ac:dyDescent="0.25">
      <c r="C476" s="25" t="str">
        <f t="shared" si="8"/>
        <v/>
      </c>
      <c r="F476" s="29" cm="1">
        <f t="array" ref="F476">SUMPRODUCT((ТВ!$A$2:$A$1000='ТВ Каналы'!A476)*(ТВ!$B$2:$B$1000='ТВ Каналы'!D476)*ТВ!$C$2:$C$1000)</f>
        <v>0</v>
      </c>
    </row>
    <row r="477" spans="3:6" x14ac:dyDescent="0.25">
      <c r="C477" s="25" t="str">
        <f t="shared" si="8"/>
        <v/>
      </c>
      <c r="F477" s="29" cm="1">
        <f t="array" ref="F477">SUMPRODUCT((ТВ!$A$2:$A$1000='ТВ Каналы'!A477)*(ТВ!$B$2:$B$1000='ТВ Каналы'!D477)*ТВ!$C$2:$C$1000)</f>
        <v>0</v>
      </c>
    </row>
    <row r="478" spans="3:6" x14ac:dyDescent="0.25">
      <c r="C478" s="25" t="str">
        <f t="shared" si="8"/>
        <v/>
      </c>
      <c r="F478" s="29" cm="1">
        <f t="array" ref="F478">SUMPRODUCT((ТВ!$A$2:$A$1000='ТВ Каналы'!A478)*(ТВ!$B$2:$B$1000='ТВ Каналы'!D478)*ТВ!$C$2:$C$1000)</f>
        <v>0</v>
      </c>
    </row>
    <row r="479" spans="3:6" x14ac:dyDescent="0.25">
      <c r="C479" s="25" t="str">
        <f t="shared" si="8"/>
        <v/>
      </c>
      <c r="F479" s="29" cm="1">
        <f t="array" ref="F479">SUMPRODUCT((ТВ!$A$2:$A$1000='ТВ Каналы'!A479)*(ТВ!$B$2:$B$1000='ТВ Каналы'!D479)*ТВ!$C$2:$C$1000)</f>
        <v>0</v>
      </c>
    </row>
    <row r="480" spans="3:6" x14ac:dyDescent="0.25">
      <c r="C480" s="25" t="str">
        <f t="shared" si="8"/>
        <v/>
      </c>
      <c r="F480" s="29" cm="1">
        <f t="array" ref="F480">SUMPRODUCT((ТВ!$A$2:$A$1000='ТВ Каналы'!A480)*(ТВ!$B$2:$B$1000='ТВ Каналы'!D480)*ТВ!$C$2:$C$1000)</f>
        <v>0</v>
      </c>
    </row>
    <row r="481" spans="3:6" x14ac:dyDescent="0.25">
      <c r="C481" s="25" t="str">
        <f t="shared" si="8"/>
        <v/>
      </c>
      <c r="F481" s="29" cm="1">
        <f t="array" ref="F481">SUMPRODUCT((ТВ!$A$2:$A$1000='ТВ Каналы'!A481)*(ТВ!$B$2:$B$1000='ТВ Каналы'!D481)*ТВ!$C$2:$C$1000)</f>
        <v>0</v>
      </c>
    </row>
    <row r="482" spans="3:6" x14ac:dyDescent="0.25">
      <c r="C482" s="25" t="str">
        <f t="shared" si="8"/>
        <v/>
      </c>
      <c r="F482" s="29" cm="1">
        <f t="array" ref="F482">SUMPRODUCT((ТВ!$A$2:$A$1000='ТВ Каналы'!A482)*(ТВ!$B$2:$B$1000='ТВ Каналы'!D482)*ТВ!$C$2:$C$1000)</f>
        <v>0</v>
      </c>
    </row>
    <row r="483" spans="3:6" x14ac:dyDescent="0.25">
      <c r="C483" s="25" t="str">
        <f t="shared" si="8"/>
        <v/>
      </c>
      <c r="F483" s="29" cm="1">
        <f t="array" ref="F483">SUMPRODUCT((ТВ!$A$2:$A$1000='ТВ Каналы'!A483)*(ТВ!$B$2:$B$1000='ТВ Каналы'!D483)*ТВ!$C$2:$C$1000)</f>
        <v>0</v>
      </c>
    </row>
    <row r="484" spans="3:6" x14ac:dyDescent="0.25">
      <c r="C484" s="25" t="str">
        <f t="shared" si="8"/>
        <v/>
      </c>
      <c r="F484" s="29" cm="1">
        <f t="array" ref="F484">SUMPRODUCT((ТВ!$A$2:$A$1000='ТВ Каналы'!A484)*(ТВ!$B$2:$B$1000='ТВ Каналы'!D484)*ТВ!$C$2:$C$1000)</f>
        <v>0</v>
      </c>
    </row>
    <row r="485" spans="3:6" x14ac:dyDescent="0.25">
      <c r="C485" s="25" t="str">
        <f t="shared" si="8"/>
        <v/>
      </c>
      <c r="F485" s="29" cm="1">
        <f t="array" ref="F485">SUMPRODUCT((ТВ!$A$2:$A$1000='ТВ Каналы'!A485)*(ТВ!$B$2:$B$1000='ТВ Каналы'!D485)*ТВ!$C$2:$C$1000)</f>
        <v>0</v>
      </c>
    </row>
    <row r="486" spans="3:6" x14ac:dyDescent="0.25">
      <c r="C486" s="25" t="str">
        <f t="shared" si="8"/>
        <v/>
      </c>
      <c r="F486" s="29" cm="1">
        <f t="array" ref="F486">SUMPRODUCT((ТВ!$A$2:$A$1000='ТВ Каналы'!A486)*(ТВ!$B$2:$B$1000='ТВ Каналы'!D486)*ТВ!$C$2:$C$1000)</f>
        <v>0</v>
      </c>
    </row>
    <row r="487" spans="3:6" x14ac:dyDescent="0.25">
      <c r="C487" s="25" t="str">
        <f t="shared" si="8"/>
        <v/>
      </c>
      <c r="F487" s="29" cm="1">
        <f t="array" ref="F487">SUMPRODUCT((ТВ!$A$2:$A$1000='ТВ Каналы'!A487)*(ТВ!$B$2:$B$1000='ТВ Каналы'!D487)*ТВ!$C$2:$C$1000)</f>
        <v>0</v>
      </c>
    </row>
    <row r="488" spans="3:6" x14ac:dyDescent="0.25">
      <c r="C488" s="25" t="str">
        <f t="shared" si="8"/>
        <v/>
      </c>
      <c r="F488" s="29" cm="1">
        <f t="array" ref="F488">SUMPRODUCT((ТВ!$A$2:$A$1000='ТВ Каналы'!A488)*(ТВ!$B$2:$B$1000='ТВ Каналы'!D488)*ТВ!$C$2:$C$1000)</f>
        <v>0</v>
      </c>
    </row>
    <row r="489" spans="3:6" x14ac:dyDescent="0.25">
      <c r="C489" s="25" t="str">
        <f t="shared" si="8"/>
        <v/>
      </c>
      <c r="F489" s="29" cm="1">
        <f t="array" ref="F489">SUMPRODUCT((ТВ!$A$2:$A$1000='ТВ Каналы'!A489)*(ТВ!$B$2:$B$1000='ТВ Каналы'!D489)*ТВ!$C$2:$C$1000)</f>
        <v>0</v>
      </c>
    </row>
    <row r="490" spans="3:6" x14ac:dyDescent="0.25">
      <c r="C490" s="25" t="str">
        <f t="shared" si="8"/>
        <v/>
      </c>
      <c r="F490" s="29" cm="1">
        <f t="array" ref="F490">SUMPRODUCT((ТВ!$A$2:$A$1000='ТВ Каналы'!A490)*(ТВ!$B$2:$B$1000='ТВ Каналы'!D490)*ТВ!$C$2:$C$1000)</f>
        <v>0</v>
      </c>
    </row>
    <row r="491" spans="3:6" x14ac:dyDescent="0.25">
      <c r="C491" s="25" t="str">
        <f t="shared" si="8"/>
        <v/>
      </c>
      <c r="F491" s="29" cm="1">
        <f t="array" ref="F491">SUMPRODUCT((ТВ!$A$2:$A$1000='ТВ Каналы'!A491)*(ТВ!$B$2:$B$1000='ТВ Каналы'!D491)*ТВ!$C$2:$C$1000)</f>
        <v>0</v>
      </c>
    </row>
    <row r="492" spans="3:6" x14ac:dyDescent="0.25">
      <c r="C492" s="25" t="str">
        <f t="shared" si="8"/>
        <v/>
      </c>
      <c r="F492" s="29" cm="1">
        <f t="array" ref="F492">SUMPRODUCT((ТВ!$A$2:$A$1000='ТВ Каналы'!A492)*(ТВ!$B$2:$B$1000='ТВ Каналы'!D492)*ТВ!$C$2:$C$1000)</f>
        <v>0</v>
      </c>
    </row>
    <row r="493" spans="3:6" x14ac:dyDescent="0.25">
      <c r="C493" s="25" t="str">
        <f t="shared" si="8"/>
        <v/>
      </c>
      <c r="F493" s="29" cm="1">
        <f t="array" ref="F493">SUMPRODUCT((ТВ!$A$2:$A$1000='ТВ Каналы'!A493)*(ТВ!$B$2:$B$1000='ТВ Каналы'!D493)*ТВ!$C$2:$C$1000)</f>
        <v>0</v>
      </c>
    </row>
    <row r="494" spans="3:6" x14ac:dyDescent="0.25">
      <c r="C494" s="25" t="str">
        <f t="shared" si="8"/>
        <v/>
      </c>
      <c r="F494" s="29" cm="1">
        <f t="array" ref="F494">SUMPRODUCT((ТВ!$A$2:$A$1000='ТВ Каналы'!A494)*(ТВ!$B$2:$B$1000='ТВ Каналы'!D494)*ТВ!$C$2:$C$1000)</f>
        <v>0</v>
      </c>
    </row>
    <row r="495" spans="3:6" x14ac:dyDescent="0.25">
      <c r="C495" s="25" t="str">
        <f t="shared" si="8"/>
        <v/>
      </c>
      <c r="F495" s="29" cm="1">
        <f t="array" ref="F495">SUMPRODUCT((ТВ!$A$2:$A$1000='ТВ Каналы'!A495)*(ТВ!$B$2:$B$1000='ТВ Каналы'!D495)*ТВ!$C$2:$C$1000)</f>
        <v>0</v>
      </c>
    </row>
    <row r="496" spans="3:6" x14ac:dyDescent="0.25">
      <c r="C496" s="25" t="str">
        <f t="shared" si="8"/>
        <v/>
      </c>
      <c r="F496" s="29" cm="1">
        <f t="array" ref="F496">SUMPRODUCT((ТВ!$A$2:$A$1000='ТВ Каналы'!A496)*(ТВ!$B$2:$B$1000='ТВ Каналы'!D496)*ТВ!$C$2:$C$1000)</f>
        <v>0</v>
      </c>
    </row>
    <row r="497" spans="3:6" x14ac:dyDescent="0.25">
      <c r="C497" s="25" t="str">
        <f t="shared" si="8"/>
        <v/>
      </c>
      <c r="F497" s="29" cm="1">
        <f t="array" ref="F497">SUMPRODUCT((ТВ!$A$2:$A$1000='ТВ Каналы'!A497)*(ТВ!$B$2:$B$1000='ТВ Каналы'!D497)*ТВ!$C$2:$C$1000)</f>
        <v>0</v>
      </c>
    </row>
    <row r="498" spans="3:6" x14ac:dyDescent="0.25">
      <c r="C498" s="25" t="str">
        <f t="shared" si="8"/>
        <v/>
      </c>
      <c r="F498" s="29" cm="1">
        <f t="array" ref="F498">SUMPRODUCT((ТВ!$A$2:$A$1000='ТВ Каналы'!A498)*(ТВ!$B$2:$B$1000='ТВ Каналы'!D498)*ТВ!$C$2:$C$1000)</f>
        <v>0</v>
      </c>
    </row>
    <row r="499" spans="3:6" x14ac:dyDescent="0.25">
      <c r="C499" s="25" t="str">
        <f t="shared" si="8"/>
        <v/>
      </c>
      <c r="F499" s="29" cm="1">
        <f t="array" ref="F499">SUMPRODUCT((ТВ!$A$2:$A$1000='ТВ Каналы'!A499)*(ТВ!$B$2:$B$1000='ТВ Каналы'!D499)*ТВ!$C$2:$C$1000)</f>
        <v>0</v>
      </c>
    </row>
    <row r="500" spans="3:6" x14ac:dyDescent="0.25">
      <c r="C500" s="25" t="str">
        <f t="shared" si="8"/>
        <v/>
      </c>
      <c r="F500" s="29" cm="1">
        <f t="array" ref="F500">SUMPRODUCT((ТВ!$A$2:$A$1000='ТВ Каналы'!A500)*(ТВ!$B$2:$B$1000='ТВ Каналы'!D500)*ТВ!$C$2:$C$1000)</f>
        <v>0</v>
      </c>
    </row>
    <row r="501" spans="3:6" x14ac:dyDescent="0.25">
      <c r="C501" s="25" t="str">
        <f t="shared" si="8"/>
        <v/>
      </c>
      <c r="F501" s="29" cm="1">
        <f t="array" ref="F501">SUMPRODUCT((ТВ!$A$2:$A$1000='ТВ Каналы'!A501)*(ТВ!$B$2:$B$1000='ТВ Каналы'!D501)*ТВ!$C$2:$C$1000)</f>
        <v>0</v>
      </c>
    </row>
    <row r="502" spans="3:6" x14ac:dyDescent="0.25">
      <c r="C502" s="25" t="str">
        <f t="shared" si="8"/>
        <v/>
      </c>
      <c r="F502" s="29" cm="1">
        <f t="array" ref="F502">SUMPRODUCT((ТВ!$A$2:$A$1000='ТВ Каналы'!A502)*(ТВ!$B$2:$B$1000='ТВ Каналы'!D502)*ТВ!$C$2:$C$1000)</f>
        <v>0</v>
      </c>
    </row>
    <row r="503" spans="3:6" x14ac:dyDescent="0.25">
      <c r="C503" s="25" t="str">
        <f t="shared" si="8"/>
        <v/>
      </c>
      <c r="F503" s="29" cm="1">
        <f t="array" ref="F503">SUMPRODUCT((ТВ!$A$2:$A$1000='ТВ Каналы'!A503)*(ТВ!$B$2:$B$1000='ТВ Каналы'!D503)*ТВ!$C$2:$C$1000)</f>
        <v>0</v>
      </c>
    </row>
    <row r="504" spans="3:6" x14ac:dyDescent="0.25">
      <c r="C504" s="25" t="str">
        <f t="shared" si="8"/>
        <v/>
      </c>
      <c r="F504" s="29" cm="1">
        <f t="array" ref="F504">SUMPRODUCT((ТВ!$A$2:$A$1000='ТВ Каналы'!A504)*(ТВ!$B$2:$B$1000='ТВ Каналы'!D504)*ТВ!$C$2:$C$1000)</f>
        <v>0</v>
      </c>
    </row>
    <row r="505" spans="3:6" x14ac:dyDescent="0.25">
      <c r="C505" s="25" t="str">
        <f t="shared" si="8"/>
        <v/>
      </c>
      <c r="F505" s="29" cm="1">
        <f t="array" ref="F505">SUMPRODUCT((ТВ!$A$2:$A$1000='ТВ Каналы'!A505)*(ТВ!$B$2:$B$1000='ТВ Каналы'!D505)*ТВ!$C$2:$C$1000)</f>
        <v>0</v>
      </c>
    </row>
    <row r="506" spans="3:6" x14ac:dyDescent="0.25">
      <c r="C506" s="25" t="str">
        <f t="shared" si="8"/>
        <v/>
      </c>
      <c r="F506" s="29" cm="1">
        <f t="array" ref="F506">SUMPRODUCT((ТВ!$A$2:$A$1000='ТВ Каналы'!A506)*(ТВ!$B$2:$B$1000='ТВ Каналы'!D506)*ТВ!$C$2:$C$1000)</f>
        <v>0</v>
      </c>
    </row>
    <row r="507" spans="3:6" x14ac:dyDescent="0.25">
      <c r="C507" s="25" t="str">
        <f t="shared" si="8"/>
        <v/>
      </c>
      <c r="F507" s="29" cm="1">
        <f t="array" ref="F507">SUMPRODUCT((ТВ!$A$2:$A$1000='ТВ Каналы'!A507)*(ТВ!$B$2:$B$1000='ТВ Каналы'!D507)*ТВ!$C$2:$C$1000)</f>
        <v>0</v>
      </c>
    </row>
    <row r="508" spans="3:6" x14ac:dyDescent="0.25">
      <c r="C508" s="25" t="str">
        <f t="shared" si="8"/>
        <v/>
      </c>
      <c r="F508" s="29" cm="1">
        <f t="array" ref="F508">SUMPRODUCT((ТВ!$A$2:$A$1000='ТВ Каналы'!A508)*(ТВ!$B$2:$B$1000='ТВ Каналы'!D508)*ТВ!$C$2:$C$1000)</f>
        <v>0</v>
      </c>
    </row>
    <row r="509" spans="3:6" x14ac:dyDescent="0.25">
      <c r="C509" s="25" t="str">
        <f t="shared" si="8"/>
        <v/>
      </c>
      <c r="F509" s="29" cm="1">
        <f t="array" ref="F509">SUMPRODUCT((ТВ!$A$2:$A$1000='ТВ Каналы'!A509)*(ТВ!$B$2:$B$1000='ТВ Каналы'!D509)*ТВ!$C$2:$C$1000)</f>
        <v>0</v>
      </c>
    </row>
    <row r="510" spans="3:6" x14ac:dyDescent="0.25">
      <c r="C510" s="25" t="str">
        <f t="shared" si="8"/>
        <v/>
      </c>
      <c r="F510" s="29" cm="1">
        <f t="array" ref="F510">SUMPRODUCT((ТВ!$A$2:$A$1000='ТВ Каналы'!A510)*(ТВ!$B$2:$B$1000='ТВ Каналы'!D510)*ТВ!$C$2:$C$1000)</f>
        <v>0</v>
      </c>
    </row>
    <row r="511" spans="3:6" x14ac:dyDescent="0.25">
      <c r="C511" s="25" t="str">
        <f t="shared" si="8"/>
        <v/>
      </c>
      <c r="F511" s="29" cm="1">
        <f t="array" ref="F511">SUMPRODUCT((ТВ!$A$2:$A$1000='ТВ Каналы'!A511)*(ТВ!$B$2:$B$1000='ТВ Каналы'!D511)*ТВ!$C$2:$C$1000)</f>
        <v>0</v>
      </c>
    </row>
    <row r="512" spans="3:6" x14ac:dyDescent="0.25">
      <c r="C512" s="25" t="str">
        <f t="shared" si="8"/>
        <v/>
      </c>
      <c r="F512" s="29" cm="1">
        <f t="array" ref="F512">SUMPRODUCT((ТВ!$A$2:$A$1000='ТВ Каналы'!A512)*(ТВ!$B$2:$B$1000='ТВ Каналы'!D512)*ТВ!$C$2:$C$1000)</f>
        <v>0</v>
      </c>
    </row>
    <row r="513" spans="3:6" x14ac:dyDescent="0.25">
      <c r="C513" s="25" t="str">
        <f t="shared" si="8"/>
        <v/>
      </c>
      <c r="F513" s="29" cm="1">
        <f t="array" ref="F513">SUMPRODUCT((ТВ!$A$2:$A$1000='ТВ Каналы'!A513)*(ТВ!$B$2:$B$1000='ТВ Каналы'!D513)*ТВ!$C$2:$C$1000)</f>
        <v>0</v>
      </c>
    </row>
    <row r="514" spans="3:6" x14ac:dyDescent="0.25">
      <c r="C514" s="25" t="str">
        <f t="shared" si="8"/>
        <v/>
      </c>
      <c r="F514" s="29" cm="1">
        <f t="array" ref="F514">SUMPRODUCT((ТВ!$A$2:$A$1000='ТВ Каналы'!A514)*(ТВ!$B$2:$B$1000='ТВ Каналы'!D514)*ТВ!$C$2:$C$1000)</f>
        <v>0</v>
      </c>
    </row>
    <row r="515" spans="3:6" x14ac:dyDescent="0.25">
      <c r="C515" s="25" t="str">
        <f t="shared" ref="C515:C578" si="9">_xlfn.CONCAT(A515,B515)</f>
        <v/>
      </c>
      <c r="F515" s="29" cm="1">
        <f t="array" ref="F515">SUMPRODUCT((ТВ!$A$2:$A$1000='ТВ Каналы'!A515)*(ТВ!$B$2:$B$1000='ТВ Каналы'!D515)*ТВ!$C$2:$C$1000)</f>
        <v>0</v>
      </c>
    </row>
    <row r="516" spans="3:6" x14ac:dyDescent="0.25">
      <c r="C516" s="25" t="str">
        <f t="shared" si="9"/>
        <v/>
      </c>
      <c r="F516" s="29" cm="1">
        <f t="array" ref="F516">SUMPRODUCT((ТВ!$A$2:$A$1000='ТВ Каналы'!A516)*(ТВ!$B$2:$B$1000='ТВ Каналы'!D516)*ТВ!$C$2:$C$1000)</f>
        <v>0</v>
      </c>
    </row>
    <row r="517" spans="3:6" x14ac:dyDescent="0.25">
      <c r="C517" s="25" t="str">
        <f t="shared" si="9"/>
        <v/>
      </c>
      <c r="F517" s="29" cm="1">
        <f t="array" ref="F517">SUMPRODUCT((ТВ!$A$2:$A$1000='ТВ Каналы'!A517)*(ТВ!$B$2:$B$1000='ТВ Каналы'!D517)*ТВ!$C$2:$C$1000)</f>
        <v>0</v>
      </c>
    </row>
    <row r="518" spans="3:6" x14ac:dyDescent="0.25">
      <c r="C518" s="25" t="str">
        <f t="shared" si="9"/>
        <v/>
      </c>
      <c r="F518" s="29" cm="1">
        <f t="array" ref="F518">SUMPRODUCT((ТВ!$A$2:$A$1000='ТВ Каналы'!A518)*(ТВ!$B$2:$B$1000='ТВ Каналы'!D518)*ТВ!$C$2:$C$1000)</f>
        <v>0</v>
      </c>
    </row>
    <row r="519" spans="3:6" x14ac:dyDescent="0.25">
      <c r="C519" s="25" t="str">
        <f t="shared" si="9"/>
        <v/>
      </c>
      <c r="F519" s="29" cm="1">
        <f t="array" ref="F519">SUMPRODUCT((ТВ!$A$2:$A$1000='ТВ Каналы'!A519)*(ТВ!$B$2:$B$1000='ТВ Каналы'!D519)*ТВ!$C$2:$C$1000)</f>
        <v>0</v>
      </c>
    </row>
    <row r="520" spans="3:6" x14ac:dyDescent="0.25">
      <c r="C520" s="25" t="str">
        <f t="shared" si="9"/>
        <v/>
      </c>
      <c r="F520" s="29" cm="1">
        <f t="array" ref="F520">SUMPRODUCT((ТВ!$A$2:$A$1000='ТВ Каналы'!A520)*(ТВ!$B$2:$B$1000='ТВ Каналы'!D520)*ТВ!$C$2:$C$1000)</f>
        <v>0</v>
      </c>
    </row>
    <row r="521" spans="3:6" x14ac:dyDescent="0.25">
      <c r="C521" s="25" t="str">
        <f t="shared" si="9"/>
        <v/>
      </c>
      <c r="F521" s="29" cm="1">
        <f t="array" ref="F521">SUMPRODUCT((ТВ!$A$2:$A$1000='ТВ Каналы'!A521)*(ТВ!$B$2:$B$1000='ТВ Каналы'!D521)*ТВ!$C$2:$C$1000)</f>
        <v>0</v>
      </c>
    </row>
    <row r="522" spans="3:6" x14ac:dyDescent="0.25">
      <c r="C522" s="25" t="str">
        <f t="shared" si="9"/>
        <v/>
      </c>
      <c r="F522" s="29" cm="1">
        <f t="array" ref="F522">SUMPRODUCT((ТВ!$A$2:$A$1000='ТВ Каналы'!A522)*(ТВ!$B$2:$B$1000='ТВ Каналы'!D522)*ТВ!$C$2:$C$1000)</f>
        <v>0</v>
      </c>
    </row>
    <row r="523" spans="3:6" x14ac:dyDescent="0.25">
      <c r="C523" s="25" t="str">
        <f t="shared" si="9"/>
        <v/>
      </c>
      <c r="F523" s="29" cm="1">
        <f t="array" ref="F523">SUMPRODUCT((ТВ!$A$2:$A$1000='ТВ Каналы'!A523)*(ТВ!$B$2:$B$1000='ТВ Каналы'!D523)*ТВ!$C$2:$C$1000)</f>
        <v>0</v>
      </c>
    </row>
    <row r="524" spans="3:6" x14ac:dyDescent="0.25">
      <c r="C524" s="25" t="str">
        <f t="shared" si="9"/>
        <v/>
      </c>
      <c r="F524" s="29" cm="1">
        <f t="array" ref="F524">SUMPRODUCT((ТВ!$A$2:$A$1000='ТВ Каналы'!A524)*(ТВ!$B$2:$B$1000='ТВ Каналы'!D524)*ТВ!$C$2:$C$1000)</f>
        <v>0</v>
      </c>
    </row>
    <row r="525" spans="3:6" x14ac:dyDescent="0.25">
      <c r="C525" s="25" t="str">
        <f t="shared" si="9"/>
        <v/>
      </c>
      <c r="F525" s="29" cm="1">
        <f t="array" ref="F525">SUMPRODUCT((ТВ!$A$2:$A$1000='ТВ Каналы'!A525)*(ТВ!$B$2:$B$1000='ТВ Каналы'!D525)*ТВ!$C$2:$C$1000)</f>
        <v>0</v>
      </c>
    </row>
    <row r="526" spans="3:6" x14ac:dyDescent="0.25">
      <c r="C526" s="25" t="str">
        <f t="shared" si="9"/>
        <v/>
      </c>
      <c r="F526" s="29" cm="1">
        <f t="array" ref="F526">SUMPRODUCT((ТВ!$A$2:$A$1000='ТВ Каналы'!A526)*(ТВ!$B$2:$B$1000='ТВ Каналы'!D526)*ТВ!$C$2:$C$1000)</f>
        <v>0</v>
      </c>
    </row>
    <row r="527" spans="3:6" x14ac:dyDescent="0.25">
      <c r="C527" s="25" t="str">
        <f t="shared" si="9"/>
        <v/>
      </c>
      <c r="F527" s="29" cm="1">
        <f t="array" ref="F527">SUMPRODUCT((ТВ!$A$2:$A$1000='ТВ Каналы'!A527)*(ТВ!$B$2:$B$1000='ТВ Каналы'!D527)*ТВ!$C$2:$C$1000)</f>
        <v>0</v>
      </c>
    </row>
    <row r="528" spans="3:6" x14ac:dyDescent="0.25">
      <c r="C528" s="25" t="str">
        <f t="shared" si="9"/>
        <v/>
      </c>
      <c r="F528" s="29" cm="1">
        <f t="array" ref="F528">SUMPRODUCT((ТВ!$A$2:$A$1000='ТВ Каналы'!A528)*(ТВ!$B$2:$B$1000='ТВ Каналы'!D528)*ТВ!$C$2:$C$1000)</f>
        <v>0</v>
      </c>
    </row>
    <row r="529" spans="3:6" x14ac:dyDescent="0.25">
      <c r="C529" s="25" t="str">
        <f t="shared" si="9"/>
        <v/>
      </c>
      <c r="F529" s="29" cm="1">
        <f t="array" ref="F529">SUMPRODUCT((ТВ!$A$2:$A$1000='ТВ Каналы'!A529)*(ТВ!$B$2:$B$1000='ТВ Каналы'!D529)*ТВ!$C$2:$C$1000)</f>
        <v>0</v>
      </c>
    </row>
    <row r="530" spans="3:6" x14ac:dyDescent="0.25">
      <c r="C530" s="25" t="str">
        <f t="shared" si="9"/>
        <v/>
      </c>
      <c r="F530" s="29" cm="1">
        <f t="array" ref="F530">SUMPRODUCT((ТВ!$A$2:$A$1000='ТВ Каналы'!A530)*(ТВ!$B$2:$B$1000='ТВ Каналы'!D530)*ТВ!$C$2:$C$1000)</f>
        <v>0</v>
      </c>
    </row>
    <row r="531" spans="3:6" x14ac:dyDescent="0.25">
      <c r="C531" s="25" t="str">
        <f t="shared" si="9"/>
        <v/>
      </c>
      <c r="F531" s="29" cm="1">
        <f t="array" ref="F531">SUMPRODUCT((ТВ!$A$2:$A$1000='ТВ Каналы'!A531)*(ТВ!$B$2:$B$1000='ТВ Каналы'!D531)*ТВ!$C$2:$C$1000)</f>
        <v>0</v>
      </c>
    </row>
    <row r="532" spans="3:6" x14ac:dyDescent="0.25">
      <c r="C532" s="25" t="str">
        <f t="shared" si="9"/>
        <v/>
      </c>
      <c r="F532" s="29" cm="1">
        <f t="array" ref="F532">SUMPRODUCT((ТВ!$A$2:$A$1000='ТВ Каналы'!A532)*(ТВ!$B$2:$B$1000='ТВ Каналы'!D532)*ТВ!$C$2:$C$1000)</f>
        <v>0</v>
      </c>
    </row>
    <row r="533" spans="3:6" x14ac:dyDescent="0.25">
      <c r="C533" s="25" t="str">
        <f t="shared" si="9"/>
        <v/>
      </c>
      <c r="F533" s="29" cm="1">
        <f t="array" ref="F533">SUMPRODUCT((ТВ!$A$2:$A$1000='ТВ Каналы'!A533)*(ТВ!$B$2:$B$1000='ТВ Каналы'!D533)*ТВ!$C$2:$C$1000)</f>
        <v>0</v>
      </c>
    </row>
    <row r="534" spans="3:6" x14ac:dyDescent="0.25">
      <c r="C534" s="25" t="str">
        <f t="shared" si="9"/>
        <v/>
      </c>
      <c r="F534" s="29" cm="1">
        <f t="array" ref="F534">SUMPRODUCT((ТВ!$A$2:$A$1000='ТВ Каналы'!A534)*(ТВ!$B$2:$B$1000='ТВ Каналы'!D534)*ТВ!$C$2:$C$1000)</f>
        <v>0</v>
      </c>
    </row>
    <row r="535" spans="3:6" x14ac:dyDescent="0.25">
      <c r="C535" s="25" t="str">
        <f t="shared" si="9"/>
        <v/>
      </c>
      <c r="F535" s="29" cm="1">
        <f t="array" ref="F535">SUMPRODUCT((ТВ!$A$2:$A$1000='ТВ Каналы'!A535)*(ТВ!$B$2:$B$1000='ТВ Каналы'!D535)*ТВ!$C$2:$C$1000)</f>
        <v>0</v>
      </c>
    </row>
    <row r="536" spans="3:6" x14ac:dyDescent="0.25">
      <c r="C536" s="25" t="str">
        <f t="shared" si="9"/>
        <v/>
      </c>
      <c r="F536" s="29" cm="1">
        <f t="array" ref="F536">SUMPRODUCT((ТВ!$A$2:$A$1000='ТВ Каналы'!A536)*(ТВ!$B$2:$B$1000='ТВ Каналы'!D536)*ТВ!$C$2:$C$1000)</f>
        <v>0</v>
      </c>
    </row>
    <row r="537" spans="3:6" x14ac:dyDescent="0.25">
      <c r="C537" s="25" t="str">
        <f t="shared" si="9"/>
        <v/>
      </c>
      <c r="F537" s="29" cm="1">
        <f t="array" ref="F537">SUMPRODUCT((ТВ!$A$2:$A$1000='ТВ Каналы'!A537)*(ТВ!$B$2:$B$1000='ТВ Каналы'!D537)*ТВ!$C$2:$C$1000)</f>
        <v>0</v>
      </c>
    </row>
    <row r="538" spans="3:6" x14ac:dyDescent="0.25">
      <c r="C538" s="25" t="str">
        <f t="shared" si="9"/>
        <v/>
      </c>
      <c r="F538" s="29" cm="1">
        <f t="array" ref="F538">SUMPRODUCT((ТВ!$A$2:$A$1000='ТВ Каналы'!A538)*(ТВ!$B$2:$B$1000='ТВ Каналы'!D538)*ТВ!$C$2:$C$1000)</f>
        <v>0</v>
      </c>
    </row>
    <row r="539" spans="3:6" x14ac:dyDescent="0.25">
      <c r="C539" s="25" t="str">
        <f t="shared" si="9"/>
        <v/>
      </c>
      <c r="F539" s="29" cm="1">
        <f t="array" ref="F539">SUMPRODUCT((ТВ!$A$2:$A$1000='ТВ Каналы'!A539)*(ТВ!$B$2:$B$1000='ТВ Каналы'!D539)*ТВ!$C$2:$C$1000)</f>
        <v>0</v>
      </c>
    </row>
    <row r="540" spans="3:6" x14ac:dyDescent="0.25">
      <c r="C540" s="25" t="str">
        <f t="shared" si="9"/>
        <v/>
      </c>
      <c r="F540" s="29" cm="1">
        <f t="array" ref="F540">SUMPRODUCT((ТВ!$A$2:$A$1000='ТВ Каналы'!A540)*(ТВ!$B$2:$B$1000='ТВ Каналы'!D540)*ТВ!$C$2:$C$1000)</f>
        <v>0</v>
      </c>
    </row>
    <row r="541" spans="3:6" x14ac:dyDescent="0.25">
      <c r="C541" s="25" t="str">
        <f t="shared" si="9"/>
        <v/>
      </c>
      <c r="F541" s="29" cm="1">
        <f t="array" ref="F541">SUMPRODUCT((ТВ!$A$2:$A$1000='ТВ Каналы'!A541)*(ТВ!$B$2:$B$1000='ТВ Каналы'!D541)*ТВ!$C$2:$C$1000)</f>
        <v>0</v>
      </c>
    </row>
    <row r="542" spans="3:6" x14ac:dyDescent="0.25">
      <c r="C542" s="25" t="str">
        <f t="shared" si="9"/>
        <v/>
      </c>
      <c r="F542" s="29" cm="1">
        <f t="array" ref="F542">SUMPRODUCT((ТВ!$A$2:$A$1000='ТВ Каналы'!A542)*(ТВ!$B$2:$B$1000='ТВ Каналы'!D542)*ТВ!$C$2:$C$1000)</f>
        <v>0</v>
      </c>
    </row>
    <row r="543" spans="3:6" x14ac:dyDescent="0.25">
      <c r="C543" s="25" t="str">
        <f t="shared" si="9"/>
        <v/>
      </c>
      <c r="F543" s="29" cm="1">
        <f t="array" ref="F543">SUMPRODUCT((ТВ!$A$2:$A$1000='ТВ Каналы'!A543)*(ТВ!$B$2:$B$1000='ТВ Каналы'!D543)*ТВ!$C$2:$C$1000)</f>
        <v>0</v>
      </c>
    </row>
    <row r="544" spans="3:6" x14ac:dyDescent="0.25">
      <c r="C544" s="25" t="str">
        <f t="shared" si="9"/>
        <v/>
      </c>
      <c r="F544" s="29" cm="1">
        <f t="array" ref="F544">SUMPRODUCT((ТВ!$A$2:$A$1000='ТВ Каналы'!A544)*(ТВ!$B$2:$B$1000='ТВ Каналы'!D544)*ТВ!$C$2:$C$1000)</f>
        <v>0</v>
      </c>
    </row>
    <row r="545" spans="3:6" x14ac:dyDescent="0.25">
      <c r="C545" s="25" t="str">
        <f t="shared" si="9"/>
        <v/>
      </c>
      <c r="F545" s="29" cm="1">
        <f t="array" ref="F545">SUMPRODUCT((ТВ!$A$2:$A$1000='ТВ Каналы'!A545)*(ТВ!$B$2:$B$1000='ТВ Каналы'!D545)*ТВ!$C$2:$C$1000)</f>
        <v>0</v>
      </c>
    </row>
    <row r="546" spans="3:6" x14ac:dyDescent="0.25">
      <c r="C546" s="25" t="str">
        <f t="shared" si="9"/>
        <v/>
      </c>
      <c r="F546" s="29" cm="1">
        <f t="array" ref="F546">SUMPRODUCT((ТВ!$A$2:$A$1000='ТВ Каналы'!A546)*(ТВ!$B$2:$B$1000='ТВ Каналы'!D546)*ТВ!$C$2:$C$1000)</f>
        <v>0</v>
      </c>
    </row>
    <row r="547" spans="3:6" x14ac:dyDescent="0.25">
      <c r="C547" s="25" t="str">
        <f t="shared" si="9"/>
        <v/>
      </c>
      <c r="F547" s="29" cm="1">
        <f t="array" ref="F547">SUMPRODUCT((ТВ!$A$2:$A$1000='ТВ Каналы'!A547)*(ТВ!$B$2:$B$1000='ТВ Каналы'!D547)*ТВ!$C$2:$C$1000)</f>
        <v>0</v>
      </c>
    </row>
    <row r="548" spans="3:6" x14ac:dyDescent="0.25">
      <c r="C548" s="25" t="str">
        <f t="shared" si="9"/>
        <v/>
      </c>
      <c r="F548" s="29" cm="1">
        <f t="array" ref="F548">SUMPRODUCT((ТВ!$A$2:$A$1000='ТВ Каналы'!A548)*(ТВ!$B$2:$B$1000='ТВ Каналы'!D548)*ТВ!$C$2:$C$1000)</f>
        <v>0</v>
      </c>
    </row>
    <row r="549" spans="3:6" x14ac:dyDescent="0.25">
      <c r="C549" s="25" t="str">
        <f t="shared" si="9"/>
        <v/>
      </c>
      <c r="F549" s="29" cm="1">
        <f t="array" ref="F549">SUMPRODUCT((ТВ!$A$2:$A$1000='ТВ Каналы'!A549)*(ТВ!$B$2:$B$1000='ТВ Каналы'!D549)*ТВ!$C$2:$C$1000)</f>
        <v>0</v>
      </c>
    </row>
    <row r="550" spans="3:6" x14ac:dyDescent="0.25">
      <c r="C550" s="25" t="str">
        <f t="shared" si="9"/>
        <v/>
      </c>
      <c r="F550" s="29" cm="1">
        <f t="array" ref="F550">SUMPRODUCT((ТВ!$A$2:$A$1000='ТВ Каналы'!A550)*(ТВ!$B$2:$B$1000='ТВ Каналы'!D550)*ТВ!$C$2:$C$1000)</f>
        <v>0</v>
      </c>
    </row>
    <row r="551" spans="3:6" x14ac:dyDescent="0.25">
      <c r="C551" s="25" t="str">
        <f t="shared" si="9"/>
        <v/>
      </c>
      <c r="F551" s="29" cm="1">
        <f t="array" ref="F551">SUMPRODUCT((ТВ!$A$2:$A$1000='ТВ Каналы'!A551)*(ТВ!$B$2:$B$1000='ТВ Каналы'!D551)*ТВ!$C$2:$C$1000)</f>
        <v>0</v>
      </c>
    </row>
    <row r="552" spans="3:6" x14ac:dyDescent="0.25">
      <c r="C552" s="25" t="str">
        <f t="shared" si="9"/>
        <v/>
      </c>
      <c r="F552" s="29" cm="1">
        <f t="array" ref="F552">SUMPRODUCT((ТВ!$A$2:$A$1000='ТВ Каналы'!A552)*(ТВ!$B$2:$B$1000='ТВ Каналы'!D552)*ТВ!$C$2:$C$1000)</f>
        <v>0</v>
      </c>
    </row>
    <row r="553" spans="3:6" x14ac:dyDescent="0.25">
      <c r="C553" s="25" t="str">
        <f t="shared" si="9"/>
        <v/>
      </c>
      <c r="F553" s="29" cm="1">
        <f t="array" ref="F553">SUMPRODUCT((ТВ!$A$2:$A$1000='ТВ Каналы'!A553)*(ТВ!$B$2:$B$1000='ТВ Каналы'!D553)*ТВ!$C$2:$C$1000)</f>
        <v>0</v>
      </c>
    </row>
    <row r="554" spans="3:6" x14ac:dyDescent="0.25">
      <c r="C554" s="25" t="str">
        <f t="shared" si="9"/>
        <v/>
      </c>
      <c r="F554" s="29" cm="1">
        <f t="array" ref="F554">SUMPRODUCT((ТВ!$A$2:$A$1000='ТВ Каналы'!A554)*(ТВ!$B$2:$B$1000='ТВ Каналы'!D554)*ТВ!$C$2:$C$1000)</f>
        <v>0</v>
      </c>
    </row>
    <row r="555" spans="3:6" x14ac:dyDescent="0.25">
      <c r="C555" s="25" t="str">
        <f t="shared" si="9"/>
        <v/>
      </c>
      <c r="F555" s="29" cm="1">
        <f t="array" ref="F555">SUMPRODUCT((ТВ!$A$2:$A$1000='ТВ Каналы'!A555)*(ТВ!$B$2:$B$1000='ТВ Каналы'!D555)*ТВ!$C$2:$C$1000)</f>
        <v>0</v>
      </c>
    </row>
    <row r="556" spans="3:6" x14ac:dyDescent="0.25">
      <c r="C556" s="25" t="str">
        <f t="shared" si="9"/>
        <v/>
      </c>
      <c r="F556" s="29" cm="1">
        <f t="array" ref="F556">SUMPRODUCT((ТВ!$A$2:$A$1000='ТВ Каналы'!A556)*(ТВ!$B$2:$B$1000='ТВ Каналы'!D556)*ТВ!$C$2:$C$1000)</f>
        <v>0</v>
      </c>
    </row>
    <row r="557" spans="3:6" x14ac:dyDescent="0.25">
      <c r="C557" s="25" t="str">
        <f t="shared" si="9"/>
        <v/>
      </c>
      <c r="F557" s="29" cm="1">
        <f t="array" ref="F557">SUMPRODUCT((ТВ!$A$2:$A$1000='ТВ Каналы'!A557)*(ТВ!$B$2:$B$1000='ТВ Каналы'!D557)*ТВ!$C$2:$C$1000)</f>
        <v>0</v>
      </c>
    </row>
    <row r="558" spans="3:6" x14ac:dyDescent="0.25">
      <c r="C558" s="25" t="str">
        <f t="shared" si="9"/>
        <v/>
      </c>
      <c r="F558" s="29" cm="1">
        <f t="array" ref="F558">SUMPRODUCT((ТВ!$A$2:$A$1000='ТВ Каналы'!A558)*(ТВ!$B$2:$B$1000='ТВ Каналы'!D558)*ТВ!$C$2:$C$1000)</f>
        <v>0</v>
      </c>
    </row>
    <row r="559" spans="3:6" x14ac:dyDescent="0.25">
      <c r="C559" s="25" t="str">
        <f t="shared" si="9"/>
        <v/>
      </c>
      <c r="F559" s="29" cm="1">
        <f t="array" ref="F559">SUMPRODUCT((ТВ!$A$2:$A$1000='ТВ Каналы'!A559)*(ТВ!$B$2:$B$1000='ТВ Каналы'!D559)*ТВ!$C$2:$C$1000)</f>
        <v>0</v>
      </c>
    </row>
    <row r="560" spans="3:6" x14ac:dyDescent="0.25">
      <c r="C560" s="25" t="str">
        <f t="shared" si="9"/>
        <v/>
      </c>
      <c r="F560" s="29" cm="1">
        <f t="array" ref="F560">SUMPRODUCT((ТВ!$A$2:$A$1000='ТВ Каналы'!A560)*(ТВ!$B$2:$B$1000='ТВ Каналы'!D560)*ТВ!$C$2:$C$1000)</f>
        <v>0</v>
      </c>
    </row>
    <row r="561" spans="3:6" x14ac:dyDescent="0.25">
      <c r="C561" s="25" t="str">
        <f t="shared" si="9"/>
        <v/>
      </c>
      <c r="F561" s="29" cm="1">
        <f t="array" ref="F561">SUMPRODUCT((ТВ!$A$2:$A$1000='ТВ Каналы'!A561)*(ТВ!$B$2:$B$1000='ТВ Каналы'!D561)*ТВ!$C$2:$C$1000)</f>
        <v>0</v>
      </c>
    </row>
    <row r="562" spans="3:6" x14ac:dyDescent="0.25">
      <c r="C562" s="25" t="str">
        <f t="shared" si="9"/>
        <v/>
      </c>
      <c r="F562" s="29" cm="1">
        <f t="array" ref="F562">SUMPRODUCT((ТВ!$A$2:$A$1000='ТВ Каналы'!A562)*(ТВ!$B$2:$B$1000='ТВ Каналы'!D562)*ТВ!$C$2:$C$1000)</f>
        <v>0</v>
      </c>
    </row>
    <row r="563" spans="3:6" x14ac:dyDescent="0.25">
      <c r="C563" s="25" t="str">
        <f t="shared" si="9"/>
        <v/>
      </c>
      <c r="F563" s="29" cm="1">
        <f t="array" ref="F563">SUMPRODUCT((ТВ!$A$2:$A$1000='ТВ Каналы'!A563)*(ТВ!$B$2:$B$1000='ТВ Каналы'!D563)*ТВ!$C$2:$C$1000)</f>
        <v>0</v>
      </c>
    </row>
    <row r="564" spans="3:6" x14ac:dyDescent="0.25">
      <c r="C564" s="25" t="str">
        <f t="shared" si="9"/>
        <v/>
      </c>
      <c r="F564" s="29" cm="1">
        <f t="array" ref="F564">SUMPRODUCT((ТВ!$A$2:$A$1000='ТВ Каналы'!A564)*(ТВ!$B$2:$B$1000='ТВ Каналы'!D564)*ТВ!$C$2:$C$1000)</f>
        <v>0</v>
      </c>
    </row>
    <row r="565" spans="3:6" x14ac:dyDescent="0.25">
      <c r="C565" s="25" t="str">
        <f t="shared" si="9"/>
        <v/>
      </c>
      <c r="F565" s="29" cm="1">
        <f t="array" ref="F565">SUMPRODUCT((ТВ!$A$2:$A$1000='ТВ Каналы'!A565)*(ТВ!$B$2:$B$1000='ТВ Каналы'!D565)*ТВ!$C$2:$C$1000)</f>
        <v>0</v>
      </c>
    </row>
    <row r="566" spans="3:6" x14ac:dyDescent="0.25">
      <c r="C566" s="25" t="str">
        <f t="shared" si="9"/>
        <v/>
      </c>
      <c r="F566" s="29" cm="1">
        <f t="array" ref="F566">SUMPRODUCT((ТВ!$A$2:$A$1000='ТВ Каналы'!A566)*(ТВ!$B$2:$B$1000='ТВ Каналы'!D566)*ТВ!$C$2:$C$1000)</f>
        <v>0</v>
      </c>
    </row>
    <row r="567" spans="3:6" x14ac:dyDescent="0.25">
      <c r="C567" s="25" t="str">
        <f t="shared" si="9"/>
        <v/>
      </c>
      <c r="F567" s="29" cm="1">
        <f t="array" ref="F567">SUMPRODUCT((ТВ!$A$2:$A$1000='ТВ Каналы'!A567)*(ТВ!$B$2:$B$1000='ТВ Каналы'!D567)*ТВ!$C$2:$C$1000)</f>
        <v>0</v>
      </c>
    </row>
    <row r="568" spans="3:6" x14ac:dyDescent="0.25">
      <c r="C568" s="25" t="str">
        <f t="shared" si="9"/>
        <v/>
      </c>
      <c r="F568" s="29" cm="1">
        <f t="array" ref="F568">SUMPRODUCT((ТВ!$A$2:$A$1000='ТВ Каналы'!A568)*(ТВ!$B$2:$B$1000='ТВ Каналы'!D568)*ТВ!$C$2:$C$1000)</f>
        <v>0</v>
      </c>
    </row>
    <row r="569" spans="3:6" x14ac:dyDescent="0.25">
      <c r="C569" s="25" t="str">
        <f t="shared" si="9"/>
        <v/>
      </c>
      <c r="F569" s="29" cm="1">
        <f t="array" ref="F569">SUMPRODUCT((ТВ!$A$2:$A$1000='ТВ Каналы'!A569)*(ТВ!$B$2:$B$1000='ТВ Каналы'!D569)*ТВ!$C$2:$C$1000)</f>
        <v>0</v>
      </c>
    </row>
    <row r="570" spans="3:6" x14ac:dyDescent="0.25">
      <c r="C570" s="25" t="str">
        <f t="shared" si="9"/>
        <v/>
      </c>
      <c r="F570" s="29" cm="1">
        <f t="array" ref="F570">SUMPRODUCT((ТВ!$A$2:$A$1000='ТВ Каналы'!A570)*(ТВ!$B$2:$B$1000='ТВ Каналы'!D570)*ТВ!$C$2:$C$1000)</f>
        <v>0</v>
      </c>
    </row>
    <row r="571" spans="3:6" x14ac:dyDescent="0.25">
      <c r="C571" s="25" t="str">
        <f t="shared" si="9"/>
        <v/>
      </c>
      <c r="F571" s="29" cm="1">
        <f t="array" ref="F571">SUMPRODUCT((ТВ!$A$2:$A$1000='ТВ Каналы'!A571)*(ТВ!$B$2:$B$1000='ТВ Каналы'!D571)*ТВ!$C$2:$C$1000)</f>
        <v>0</v>
      </c>
    </row>
    <row r="572" spans="3:6" x14ac:dyDescent="0.25">
      <c r="C572" s="25" t="str">
        <f t="shared" si="9"/>
        <v/>
      </c>
      <c r="F572" s="29" cm="1">
        <f t="array" ref="F572">SUMPRODUCT((ТВ!$A$2:$A$1000='ТВ Каналы'!A572)*(ТВ!$B$2:$B$1000='ТВ Каналы'!D572)*ТВ!$C$2:$C$1000)</f>
        <v>0</v>
      </c>
    </row>
    <row r="573" spans="3:6" x14ac:dyDescent="0.25">
      <c r="C573" s="25" t="str">
        <f t="shared" si="9"/>
        <v/>
      </c>
      <c r="F573" s="29" cm="1">
        <f t="array" ref="F573">SUMPRODUCT((ТВ!$A$2:$A$1000='ТВ Каналы'!A573)*(ТВ!$B$2:$B$1000='ТВ Каналы'!D573)*ТВ!$C$2:$C$1000)</f>
        <v>0</v>
      </c>
    </row>
    <row r="574" spans="3:6" x14ac:dyDescent="0.25">
      <c r="C574" s="25" t="str">
        <f t="shared" si="9"/>
        <v/>
      </c>
      <c r="F574" s="29" cm="1">
        <f t="array" ref="F574">SUMPRODUCT((ТВ!$A$2:$A$1000='ТВ Каналы'!A574)*(ТВ!$B$2:$B$1000='ТВ Каналы'!D574)*ТВ!$C$2:$C$1000)</f>
        <v>0</v>
      </c>
    </row>
    <row r="575" spans="3:6" x14ac:dyDescent="0.25">
      <c r="C575" s="25" t="str">
        <f t="shared" si="9"/>
        <v/>
      </c>
      <c r="F575" s="29" cm="1">
        <f t="array" ref="F575">SUMPRODUCT((ТВ!$A$2:$A$1000='ТВ Каналы'!A575)*(ТВ!$B$2:$B$1000='ТВ Каналы'!D575)*ТВ!$C$2:$C$1000)</f>
        <v>0</v>
      </c>
    </row>
    <row r="576" spans="3:6" x14ac:dyDescent="0.25">
      <c r="C576" s="25" t="str">
        <f t="shared" si="9"/>
        <v/>
      </c>
      <c r="F576" s="29" cm="1">
        <f t="array" ref="F576">SUMPRODUCT((ТВ!$A$2:$A$1000='ТВ Каналы'!A576)*(ТВ!$B$2:$B$1000='ТВ Каналы'!D576)*ТВ!$C$2:$C$1000)</f>
        <v>0</v>
      </c>
    </row>
    <row r="577" spans="3:6" x14ac:dyDescent="0.25">
      <c r="C577" s="25" t="str">
        <f t="shared" si="9"/>
        <v/>
      </c>
      <c r="F577" s="29" cm="1">
        <f t="array" ref="F577">SUMPRODUCT((ТВ!$A$2:$A$1000='ТВ Каналы'!A577)*(ТВ!$B$2:$B$1000='ТВ Каналы'!D577)*ТВ!$C$2:$C$1000)</f>
        <v>0</v>
      </c>
    </row>
    <row r="578" spans="3:6" x14ac:dyDescent="0.25">
      <c r="C578" s="25" t="str">
        <f t="shared" si="9"/>
        <v/>
      </c>
      <c r="F578" s="29" cm="1">
        <f t="array" ref="F578">SUMPRODUCT((ТВ!$A$2:$A$1000='ТВ Каналы'!A578)*(ТВ!$B$2:$B$1000='ТВ Каналы'!D578)*ТВ!$C$2:$C$1000)</f>
        <v>0</v>
      </c>
    </row>
    <row r="579" spans="3:6" x14ac:dyDescent="0.25">
      <c r="C579" s="25" t="str">
        <f t="shared" ref="C579:C642" si="10">_xlfn.CONCAT(A579,B579)</f>
        <v/>
      </c>
      <c r="F579" s="29" cm="1">
        <f t="array" ref="F579">SUMPRODUCT((ТВ!$A$2:$A$1000='ТВ Каналы'!A579)*(ТВ!$B$2:$B$1000='ТВ Каналы'!D579)*ТВ!$C$2:$C$1000)</f>
        <v>0</v>
      </c>
    </row>
    <row r="580" spans="3:6" x14ac:dyDescent="0.25">
      <c r="C580" s="25" t="str">
        <f t="shared" si="10"/>
        <v/>
      </c>
      <c r="F580" s="29" cm="1">
        <f t="array" ref="F580">SUMPRODUCT((ТВ!$A$2:$A$1000='ТВ Каналы'!A580)*(ТВ!$B$2:$B$1000='ТВ Каналы'!D580)*ТВ!$C$2:$C$1000)</f>
        <v>0</v>
      </c>
    </row>
    <row r="581" spans="3:6" x14ac:dyDescent="0.25">
      <c r="C581" s="25" t="str">
        <f t="shared" si="10"/>
        <v/>
      </c>
      <c r="F581" s="29" cm="1">
        <f t="array" ref="F581">SUMPRODUCT((ТВ!$A$2:$A$1000='ТВ Каналы'!A581)*(ТВ!$B$2:$B$1000='ТВ Каналы'!D581)*ТВ!$C$2:$C$1000)</f>
        <v>0</v>
      </c>
    </row>
    <row r="582" spans="3:6" x14ac:dyDescent="0.25">
      <c r="C582" s="25" t="str">
        <f t="shared" si="10"/>
        <v/>
      </c>
      <c r="F582" s="29" cm="1">
        <f t="array" ref="F582">SUMPRODUCT((ТВ!$A$2:$A$1000='ТВ Каналы'!A582)*(ТВ!$B$2:$B$1000='ТВ Каналы'!D582)*ТВ!$C$2:$C$1000)</f>
        <v>0</v>
      </c>
    </row>
    <row r="583" spans="3:6" x14ac:dyDescent="0.25">
      <c r="C583" s="25" t="str">
        <f t="shared" si="10"/>
        <v/>
      </c>
      <c r="F583" s="29" cm="1">
        <f t="array" ref="F583">SUMPRODUCT((ТВ!$A$2:$A$1000='ТВ Каналы'!A583)*(ТВ!$B$2:$B$1000='ТВ Каналы'!D583)*ТВ!$C$2:$C$1000)</f>
        <v>0</v>
      </c>
    </row>
    <row r="584" spans="3:6" x14ac:dyDescent="0.25">
      <c r="C584" s="25" t="str">
        <f t="shared" si="10"/>
        <v/>
      </c>
      <c r="F584" s="29" cm="1">
        <f t="array" ref="F584">SUMPRODUCT((ТВ!$A$2:$A$1000='ТВ Каналы'!A584)*(ТВ!$B$2:$B$1000='ТВ Каналы'!D584)*ТВ!$C$2:$C$1000)</f>
        <v>0</v>
      </c>
    </row>
    <row r="585" spans="3:6" x14ac:dyDescent="0.25">
      <c r="C585" s="25" t="str">
        <f t="shared" si="10"/>
        <v/>
      </c>
      <c r="F585" s="29" cm="1">
        <f t="array" ref="F585">SUMPRODUCT((ТВ!$A$2:$A$1000='ТВ Каналы'!A585)*(ТВ!$B$2:$B$1000='ТВ Каналы'!D585)*ТВ!$C$2:$C$1000)</f>
        <v>0</v>
      </c>
    </row>
    <row r="586" spans="3:6" x14ac:dyDescent="0.25">
      <c r="C586" s="25" t="str">
        <f t="shared" si="10"/>
        <v/>
      </c>
      <c r="F586" s="29" cm="1">
        <f t="array" ref="F586">SUMPRODUCT((ТВ!$A$2:$A$1000='ТВ Каналы'!A586)*(ТВ!$B$2:$B$1000='ТВ Каналы'!D586)*ТВ!$C$2:$C$1000)</f>
        <v>0</v>
      </c>
    </row>
    <row r="587" spans="3:6" x14ac:dyDescent="0.25">
      <c r="C587" s="25" t="str">
        <f t="shared" si="10"/>
        <v/>
      </c>
      <c r="F587" s="29" cm="1">
        <f t="array" ref="F587">SUMPRODUCT((ТВ!$A$2:$A$1000='ТВ Каналы'!A587)*(ТВ!$B$2:$B$1000='ТВ Каналы'!D587)*ТВ!$C$2:$C$1000)</f>
        <v>0</v>
      </c>
    </row>
    <row r="588" spans="3:6" x14ac:dyDescent="0.25">
      <c r="C588" s="25" t="str">
        <f t="shared" si="10"/>
        <v/>
      </c>
      <c r="F588" s="29" cm="1">
        <f t="array" ref="F588">SUMPRODUCT((ТВ!$A$2:$A$1000='ТВ Каналы'!A588)*(ТВ!$B$2:$B$1000='ТВ Каналы'!D588)*ТВ!$C$2:$C$1000)</f>
        <v>0</v>
      </c>
    </row>
    <row r="589" spans="3:6" x14ac:dyDescent="0.25">
      <c r="C589" s="25" t="str">
        <f t="shared" si="10"/>
        <v/>
      </c>
      <c r="F589" s="29" cm="1">
        <f t="array" ref="F589">SUMPRODUCT((ТВ!$A$2:$A$1000='ТВ Каналы'!A589)*(ТВ!$B$2:$B$1000='ТВ Каналы'!D589)*ТВ!$C$2:$C$1000)</f>
        <v>0</v>
      </c>
    </row>
    <row r="590" spans="3:6" x14ac:dyDescent="0.25">
      <c r="C590" s="25" t="str">
        <f t="shared" si="10"/>
        <v/>
      </c>
      <c r="F590" s="29" cm="1">
        <f t="array" ref="F590">SUMPRODUCT((ТВ!$A$2:$A$1000='ТВ Каналы'!A590)*(ТВ!$B$2:$B$1000='ТВ Каналы'!D590)*ТВ!$C$2:$C$1000)</f>
        <v>0</v>
      </c>
    </row>
    <row r="591" spans="3:6" x14ac:dyDescent="0.25">
      <c r="C591" s="25" t="str">
        <f t="shared" si="10"/>
        <v/>
      </c>
      <c r="F591" s="29" cm="1">
        <f t="array" ref="F591">SUMPRODUCT((ТВ!$A$2:$A$1000='ТВ Каналы'!A591)*(ТВ!$B$2:$B$1000='ТВ Каналы'!D591)*ТВ!$C$2:$C$1000)</f>
        <v>0</v>
      </c>
    </row>
    <row r="592" spans="3:6" x14ac:dyDescent="0.25">
      <c r="C592" s="25" t="str">
        <f t="shared" si="10"/>
        <v/>
      </c>
      <c r="F592" s="29" cm="1">
        <f t="array" ref="F592">SUMPRODUCT((ТВ!$A$2:$A$1000='ТВ Каналы'!A592)*(ТВ!$B$2:$B$1000='ТВ Каналы'!D592)*ТВ!$C$2:$C$1000)</f>
        <v>0</v>
      </c>
    </row>
    <row r="593" spans="3:6" x14ac:dyDescent="0.25">
      <c r="C593" s="25" t="str">
        <f t="shared" si="10"/>
        <v/>
      </c>
      <c r="F593" s="29" cm="1">
        <f t="array" ref="F593">SUMPRODUCT((ТВ!$A$2:$A$1000='ТВ Каналы'!A593)*(ТВ!$B$2:$B$1000='ТВ Каналы'!D593)*ТВ!$C$2:$C$1000)</f>
        <v>0</v>
      </c>
    </row>
    <row r="594" spans="3:6" x14ac:dyDescent="0.25">
      <c r="C594" s="25" t="str">
        <f t="shared" si="10"/>
        <v/>
      </c>
      <c r="F594" s="29" cm="1">
        <f t="array" ref="F594">SUMPRODUCT((ТВ!$A$2:$A$1000='ТВ Каналы'!A594)*(ТВ!$B$2:$B$1000='ТВ Каналы'!D594)*ТВ!$C$2:$C$1000)</f>
        <v>0</v>
      </c>
    </row>
    <row r="595" spans="3:6" x14ac:dyDescent="0.25">
      <c r="C595" s="25" t="str">
        <f t="shared" si="10"/>
        <v/>
      </c>
      <c r="F595" s="29" cm="1">
        <f t="array" ref="F595">SUMPRODUCT((ТВ!$A$2:$A$1000='ТВ Каналы'!A595)*(ТВ!$B$2:$B$1000='ТВ Каналы'!D595)*ТВ!$C$2:$C$1000)</f>
        <v>0</v>
      </c>
    </row>
    <row r="596" spans="3:6" x14ac:dyDescent="0.25">
      <c r="C596" s="25" t="str">
        <f t="shared" si="10"/>
        <v/>
      </c>
      <c r="F596" s="29" cm="1">
        <f t="array" ref="F596">SUMPRODUCT((ТВ!$A$2:$A$1000='ТВ Каналы'!A596)*(ТВ!$B$2:$B$1000='ТВ Каналы'!D596)*ТВ!$C$2:$C$1000)</f>
        <v>0</v>
      </c>
    </row>
    <row r="597" spans="3:6" x14ac:dyDescent="0.25">
      <c r="C597" s="25" t="str">
        <f t="shared" si="10"/>
        <v/>
      </c>
      <c r="F597" s="29" cm="1">
        <f t="array" ref="F597">SUMPRODUCT((ТВ!$A$2:$A$1000='ТВ Каналы'!A597)*(ТВ!$B$2:$B$1000='ТВ Каналы'!D597)*ТВ!$C$2:$C$1000)</f>
        <v>0</v>
      </c>
    </row>
    <row r="598" spans="3:6" x14ac:dyDescent="0.25">
      <c r="C598" s="25" t="str">
        <f t="shared" si="10"/>
        <v/>
      </c>
      <c r="F598" s="29" cm="1">
        <f t="array" ref="F598">SUMPRODUCT((ТВ!$A$2:$A$1000='ТВ Каналы'!A598)*(ТВ!$B$2:$B$1000='ТВ Каналы'!D598)*ТВ!$C$2:$C$1000)</f>
        <v>0</v>
      </c>
    </row>
    <row r="599" spans="3:6" x14ac:dyDescent="0.25">
      <c r="C599" s="25" t="str">
        <f t="shared" si="10"/>
        <v/>
      </c>
      <c r="F599" s="29" cm="1">
        <f t="array" ref="F599">SUMPRODUCT((ТВ!$A$2:$A$1000='ТВ Каналы'!A599)*(ТВ!$B$2:$B$1000='ТВ Каналы'!D599)*ТВ!$C$2:$C$1000)</f>
        <v>0</v>
      </c>
    </row>
    <row r="600" spans="3:6" x14ac:dyDescent="0.25">
      <c r="C600" s="25" t="str">
        <f t="shared" si="10"/>
        <v/>
      </c>
      <c r="F600" s="29" cm="1">
        <f t="array" ref="F600">SUMPRODUCT((ТВ!$A$2:$A$1000='ТВ Каналы'!A600)*(ТВ!$B$2:$B$1000='ТВ Каналы'!D600)*ТВ!$C$2:$C$1000)</f>
        <v>0</v>
      </c>
    </row>
    <row r="601" spans="3:6" x14ac:dyDescent="0.25">
      <c r="C601" s="25" t="str">
        <f t="shared" si="10"/>
        <v/>
      </c>
      <c r="F601" s="29" cm="1">
        <f t="array" ref="F601">SUMPRODUCT((ТВ!$A$2:$A$1000='ТВ Каналы'!A601)*(ТВ!$B$2:$B$1000='ТВ Каналы'!D601)*ТВ!$C$2:$C$1000)</f>
        <v>0</v>
      </c>
    </row>
    <row r="602" spans="3:6" x14ac:dyDescent="0.25">
      <c r="C602" s="25" t="str">
        <f t="shared" si="10"/>
        <v/>
      </c>
      <c r="F602" s="29" cm="1">
        <f t="array" ref="F602">SUMPRODUCT((ТВ!$A$2:$A$1000='ТВ Каналы'!A602)*(ТВ!$B$2:$B$1000='ТВ Каналы'!D602)*ТВ!$C$2:$C$1000)</f>
        <v>0</v>
      </c>
    </row>
    <row r="603" spans="3:6" x14ac:dyDescent="0.25">
      <c r="C603" s="25" t="str">
        <f t="shared" si="10"/>
        <v/>
      </c>
      <c r="F603" s="29" cm="1">
        <f t="array" ref="F603">SUMPRODUCT((ТВ!$A$2:$A$1000='ТВ Каналы'!A603)*(ТВ!$B$2:$B$1000='ТВ Каналы'!D603)*ТВ!$C$2:$C$1000)</f>
        <v>0</v>
      </c>
    </row>
    <row r="604" spans="3:6" x14ac:dyDescent="0.25">
      <c r="C604" s="25" t="str">
        <f t="shared" si="10"/>
        <v/>
      </c>
      <c r="F604" s="29" cm="1">
        <f t="array" ref="F604">SUMPRODUCT((ТВ!$A$2:$A$1000='ТВ Каналы'!A604)*(ТВ!$B$2:$B$1000='ТВ Каналы'!D604)*ТВ!$C$2:$C$1000)</f>
        <v>0</v>
      </c>
    </row>
    <row r="605" spans="3:6" x14ac:dyDescent="0.25">
      <c r="C605" s="25" t="str">
        <f t="shared" si="10"/>
        <v/>
      </c>
      <c r="F605" s="29" cm="1">
        <f t="array" ref="F605">SUMPRODUCT((ТВ!$A$2:$A$1000='ТВ Каналы'!A605)*(ТВ!$B$2:$B$1000='ТВ Каналы'!D605)*ТВ!$C$2:$C$1000)</f>
        <v>0</v>
      </c>
    </row>
    <row r="606" spans="3:6" x14ac:dyDescent="0.25">
      <c r="C606" s="25" t="str">
        <f t="shared" si="10"/>
        <v/>
      </c>
      <c r="F606" s="29" cm="1">
        <f t="array" ref="F606">SUMPRODUCT((ТВ!$A$2:$A$1000='ТВ Каналы'!A606)*(ТВ!$B$2:$B$1000='ТВ Каналы'!D606)*ТВ!$C$2:$C$1000)</f>
        <v>0</v>
      </c>
    </row>
    <row r="607" spans="3:6" x14ac:dyDescent="0.25">
      <c r="C607" s="25" t="str">
        <f t="shared" si="10"/>
        <v/>
      </c>
      <c r="F607" s="29" cm="1">
        <f t="array" ref="F607">SUMPRODUCT((ТВ!$A$2:$A$1000='ТВ Каналы'!A607)*(ТВ!$B$2:$B$1000='ТВ Каналы'!D607)*ТВ!$C$2:$C$1000)</f>
        <v>0</v>
      </c>
    </row>
    <row r="608" spans="3:6" x14ac:dyDescent="0.25">
      <c r="C608" s="25" t="str">
        <f t="shared" si="10"/>
        <v/>
      </c>
      <c r="F608" s="29" cm="1">
        <f t="array" ref="F608">SUMPRODUCT((ТВ!$A$2:$A$1000='ТВ Каналы'!A608)*(ТВ!$B$2:$B$1000='ТВ Каналы'!D608)*ТВ!$C$2:$C$1000)</f>
        <v>0</v>
      </c>
    </row>
    <row r="609" spans="3:6" x14ac:dyDescent="0.25">
      <c r="C609" s="25" t="str">
        <f t="shared" si="10"/>
        <v/>
      </c>
      <c r="F609" s="29" cm="1">
        <f t="array" ref="F609">SUMPRODUCT((ТВ!$A$2:$A$1000='ТВ Каналы'!A609)*(ТВ!$B$2:$B$1000='ТВ Каналы'!D609)*ТВ!$C$2:$C$1000)</f>
        <v>0</v>
      </c>
    </row>
    <row r="610" spans="3:6" x14ac:dyDescent="0.25">
      <c r="C610" s="25" t="str">
        <f t="shared" si="10"/>
        <v/>
      </c>
      <c r="F610" s="29" cm="1">
        <f t="array" ref="F610">SUMPRODUCT((ТВ!$A$2:$A$1000='ТВ Каналы'!A610)*(ТВ!$B$2:$B$1000='ТВ Каналы'!D610)*ТВ!$C$2:$C$1000)</f>
        <v>0</v>
      </c>
    </row>
    <row r="611" spans="3:6" x14ac:dyDescent="0.25">
      <c r="C611" s="25" t="str">
        <f t="shared" si="10"/>
        <v/>
      </c>
      <c r="F611" s="29" cm="1">
        <f t="array" ref="F611">SUMPRODUCT((ТВ!$A$2:$A$1000='ТВ Каналы'!A611)*(ТВ!$B$2:$B$1000='ТВ Каналы'!D611)*ТВ!$C$2:$C$1000)</f>
        <v>0</v>
      </c>
    </row>
    <row r="612" spans="3:6" x14ac:dyDescent="0.25">
      <c r="C612" s="25" t="str">
        <f t="shared" si="10"/>
        <v/>
      </c>
      <c r="F612" s="29" cm="1">
        <f t="array" ref="F612">SUMPRODUCT((ТВ!$A$2:$A$1000='ТВ Каналы'!A612)*(ТВ!$B$2:$B$1000='ТВ Каналы'!D612)*ТВ!$C$2:$C$1000)</f>
        <v>0</v>
      </c>
    </row>
    <row r="613" spans="3:6" x14ac:dyDescent="0.25">
      <c r="C613" s="25" t="str">
        <f t="shared" si="10"/>
        <v/>
      </c>
      <c r="F613" s="29" cm="1">
        <f t="array" ref="F613">SUMPRODUCT((ТВ!$A$2:$A$1000='ТВ Каналы'!A613)*(ТВ!$B$2:$B$1000='ТВ Каналы'!D613)*ТВ!$C$2:$C$1000)</f>
        <v>0</v>
      </c>
    </row>
    <row r="614" spans="3:6" x14ac:dyDescent="0.25">
      <c r="C614" s="25" t="str">
        <f t="shared" si="10"/>
        <v/>
      </c>
      <c r="F614" s="29" cm="1">
        <f t="array" ref="F614">SUMPRODUCT((ТВ!$A$2:$A$1000='ТВ Каналы'!A614)*(ТВ!$B$2:$B$1000='ТВ Каналы'!D614)*ТВ!$C$2:$C$1000)</f>
        <v>0</v>
      </c>
    </row>
    <row r="615" spans="3:6" x14ac:dyDescent="0.25">
      <c r="C615" s="25" t="str">
        <f t="shared" si="10"/>
        <v/>
      </c>
      <c r="F615" s="29" cm="1">
        <f t="array" ref="F615">SUMPRODUCT((ТВ!$A$2:$A$1000='ТВ Каналы'!A615)*(ТВ!$B$2:$B$1000='ТВ Каналы'!D615)*ТВ!$C$2:$C$1000)</f>
        <v>0</v>
      </c>
    </row>
    <row r="616" spans="3:6" x14ac:dyDescent="0.25">
      <c r="C616" s="25" t="str">
        <f t="shared" si="10"/>
        <v/>
      </c>
      <c r="F616" s="29" cm="1">
        <f t="array" ref="F616">SUMPRODUCT((ТВ!$A$2:$A$1000='ТВ Каналы'!A616)*(ТВ!$B$2:$B$1000='ТВ Каналы'!D616)*ТВ!$C$2:$C$1000)</f>
        <v>0</v>
      </c>
    </row>
    <row r="617" spans="3:6" x14ac:dyDescent="0.25">
      <c r="C617" s="25" t="str">
        <f t="shared" si="10"/>
        <v/>
      </c>
      <c r="F617" s="29" cm="1">
        <f t="array" ref="F617">SUMPRODUCT((ТВ!$A$2:$A$1000='ТВ Каналы'!A617)*(ТВ!$B$2:$B$1000='ТВ Каналы'!D617)*ТВ!$C$2:$C$1000)</f>
        <v>0</v>
      </c>
    </row>
    <row r="618" spans="3:6" x14ac:dyDescent="0.25">
      <c r="C618" s="25" t="str">
        <f t="shared" si="10"/>
        <v/>
      </c>
      <c r="F618" s="29" cm="1">
        <f t="array" ref="F618">SUMPRODUCT((ТВ!$A$2:$A$1000='ТВ Каналы'!A618)*(ТВ!$B$2:$B$1000='ТВ Каналы'!D618)*ТВ!$C$2:$C$1000)</f>
        <v>0</v>
      </c>
    </row>
    <row r="619" spans="3:6" x14ac:dyDescent="0.25">
      <c r="C619" s="25" t="str">
        <f t="shared" si="10"/>
        <v/>
      </c>
      <c r="F619" s="29" cm="1">
        <f t="array" ref="F619">SUMPRODUCT((ТВ!$A$2:$A$1000='ТВ Каналы'!A619)*(ТВ!$B$2:$B$1000='ТВ Каналы'!D619)*ТВ!$C$2:$C$1000)</f>
        <v>0</v>
      </c>
    </row>
    <row r="620" spans="3:6" x14ac:dyDescent="0.25">
      <c r="C620" s="25" t="str">
        <f t="shared" si="10"/>
        <v/>
      </c>
      <c r="F620" s="29" cm="1">
        <f t="array" ref="F620">SUMPRODUCT((ТВ!$A$2:$A$1000='ТВ Каналы'!A620)*(ТВ!$B$2:$B$1000='ТВ Каналы'!D620)*ТВ!$C$2:$C$1000)</f>
        <v>0</v>
      </c>
    </row>
    <row r="621" spans="3:6" x14ac:dyDescent="0.25">
      <c r="C621" s="25" t="str">
        <f t="shared" si="10"/>
        <v/>
      </c>
      <c r="F621" s="29" cm="1">
        <f t="array" ref="F621">SUMPRODUCT((ТВ!$A$2:$A$1000='ТВ Каналы'!A621)*(ТВ!$B$2:$B$1000='ТВ Каналы'!D621)*ТВ!$C$2:$C$1000)</f>
        <v>0</v>
      </c>
    </row>
    <row r="622" spans="3:6" x14ac:dyDescent="0.25">
      <c r="C622" s="25" t="str">
        <f t="shared" si="10"/>
        <v/>
      </c>
      <c r="F622" s="29" cm="1">
        <f t="array" ref="F622">SUMPRODUCT((ТВ!$A$2:$A$1000='ТВ Каналы'!A622)*(ТВ!$B$2:$B$1000='ТВ Каналы'!D622)*ТВ!$C$2:$C$1000)</f>
        <v>0</v>
      </c>
    </row>
    <row r="623" spans="3:6" x14ac:dyDescent="0.25">
      <c r="C623" s="25" t="str">
        <f t="shared" si="10"/>
        <v/>
      </c>
      <c r="F623" s="29" cm="1">
        <f t="array" ref="F623">SUMPRODUCT((ТВ!$A$2:$A$1000='ТВ Каналы'!A623)*(ТВ!$B$2:$B$1000='ТВ Каналы'!D623)*ТВ!$C$2:$C$1000)</f>
        <v>0</v>
      </c>
    </row>
    <row r="624" spans="3:6" x14ac:dyDescent="0.25">
      <c r="C624" s="25" t="str">
        <f t="shared" si="10"/>
        <v/>
      </c>
      <c r="F624" s="29" cm="1">
        <f t="array" ref="F624">SUMPRODUCT((ТВ!$A$2:$A$1000='ТВ Каналы'!A624)*(ТВ!$B$2:$B$1000='ТВ Каналы'!D624)*ТВ!$C$2:$C$1000)</f>
        <v>0</v>
      </c>
    </row>
    <row r="625" spans="3:6" x14ac:dyDescent="0.25">
      <c r="C625" s="25" t="str">
        <f t="shared" si="10"/>
        <v/>
      </c>
      <c r="F625" s="29" cm="1">
        <f t="array" ref="F625">SUMPRODUCT((ТВ!$A$2:$A$1000='ТВ Каналы'!A625)*(ТВ!$B$2:$B$1000='ТВ Каналы'!D625)*ТВ!$C$2:$C$1000)</f>
        <v>0</v>
      </c>
    </row>
    <row r="626" spans="3:6" x14ac:dyDescent="0.25">
      <c r="C626" s="25" t="str">
        <f t="shared" si="10"/>
        <v/>
      </c>
      <c r="F626" s="29" cm="1">
        <f t="array" ref="F626">SUMPRODUCT((ТВ!$A$2:$A$1000='ТВ Каналы'!A626)*(ТВ!$B$2:$B$1000='ТВ Каналы'!D626)*ТВ!$C$2:$C$1000)</f>
        <v>0</v>
      </c>
    </row>
    <row r="627" spans="3:6" x14ac:dyDescent="0.25">
      <c r="C627" s="25" t="str">
        <f t="shared" si="10"/>
        <v/>
      </c>
      <c r="F627" s="29" cm="1">
        <f t="array" ref="F627">SUMPRODUCT((ТВ!$A$2:$A$1000='ТВ Каналы'!A627)*(ТВ!$B$2:$B$1000='ТВ Каналы'!D627)*ТВ!$C$2:$C$1000)</f>
        <v>0</v>
      </c>
    </row>
    <row r="628" spans="3:6" x14ac:dyDescent="0.25">
      <c r="C628" s="25" t="str">
        <f t="shared" si="10"/>
        <v/>
      </c>
      <c r="F628" s="29" cm="1">
        <f t="array" ref="F628">SUMPRODUCT((ТВ!$A$2:$A$1000='ТВ Каналы'!A628)*(ТВ!$B$2:$B$1000='ТВ Каналы'!D628)*ТВ!$C$2:$C$1000)</f>
        <v>0</v>
      </c>
    </row>
    <row r="629" spans="3:6" x14ac:dyDescent="0.25">
      <c r="C629" s="25" t="str">
        <f t="shared" si="10"/>
        <v/>
      </c>
      <c r="F629" s="29" cm="1">
        <f t="array" ref="F629">SUMPRODUCT((ТВ!$A$2:$A$1000='ТВ Каналы'!A629)*(ТВ!$B$2:$B$1000='ТВ Каналы'!D629)*ТВ!$C$2:$C$1000)</f>
        <v>0</v>
      </c>
    </row>
    <row r="630" spans="3:6" x14ac:dyDescent="0.25">
      <c r="C630" s="25" t="str">
        <f t="shared" si="10"/>
        <v/>
      </c>
      <c r="F630" s="29" cm="1">
        <f t="array" ref="F630">SUMPRODUCT((ТВ!$A$2:$A$1000='ТВ Каналы'!A630)*(ТВ!$B$2:$B$1000='ТВ Каналы'!D630)*ТВ!$C$2:$C$1000)</f>
        <v>0</v>
      </c>
    </row>
    <row r="631" spans="3:6" x14ac:dyDescent="0.25">
      <c r="C631" s="25" t="str">
        <f t="shared" si="10"/>
        <v/>
      </c>
      <c r="F631" s="29" cm="1">
        <f t="array" ref="F631">SUMPRODUCT((ТВ!$A$2:$A$1000='ТВ Каналы'!A631)*(ТВ!$B$2:$B$1000='ТВ Каналы'!D631)*ТВ!$C$2:$C$1000)</f>
        <v>0</v>
      </c>
    </row>
    <row r="632" spans="3:6" x14ac:dyDescent="0.25">
      <c r="C632" s="25" t="str">
        <f t="shared" si="10"/>
        <v/>
      </c>
      <c r="F632" s="29" cm="1">
        <f t="array" ref="F632">SUMPRODUCT((ТВ!$A$2:$A$1000='ТВ Каналы'!A632)*(ТВ!$B$2:$B$1000='ТВ Каналы'!D632)*ТВ!$C$2:$C$1000)</f>
        <v>0</v>
      </c>
    </row>
    <row r="633" spans="3:6" x14ac:dyDescent="0.25">
      <c r="C633" s="25" t="str">
        <f t="shared" si="10"/>
        <v/>
      </c>
      <c r="F633" s="29" cm="1">
        <f t="array" ref="F633">SUMPRODUCT((ТВ!$A$2:$A$1000='ТВ Каналы'!A633)*(ТВ!$B$2:$B$1000='ТВ Каналы'!D633)*ТВ!$C$2:$C$1000)</f>
        <v>0</v>
      </c>
    </row>
    <row r="634" spans="3:6" x14ac:dyDescent="0.25">
      <c r="C634" s="25" t="str">
        <f t="shared" si="10"/>
        <v/>
      </c>
      <c r="F634" s="29" cm="1">
        <f t="array" ref="F634">SUMPRODUCT((ТВ!$A$2:$A$1000='ТВ Каналы'!A634)*(ТВ!$B$2:$B$1000='ТВ Каналы'!D634)*ТВ!$C$2:$C$1000)</f>
        <v>0</v>
      </c>
    </row>
    <row r="635" spans="3:6" x14ac:dyDescent="0.25">
      <c r="C635" s="25" t="str">
        <f t="shared" si="10"/>
        <v/>
      </c>
      <c r="F635" s="29" cm="1">
        <f t="array" ref="F635">SUMPRODUCT((ТВ!$A$2:$A$1000='ТВ Каналы'!A635)*(ТВ!$B$2:$B$1000='ТВ Каналы'!D635)*ТВ!$C$2:$C$1000)</f>
        <v>0</v>
      </c>
    </row>
    <row r="636" spans="3:6" x14ac:dyDescent="0.25">
      <c r="C636" s="25" t="str">
        <f t="shared" si="10"/>
        <v/>
      </c>
      <c r="F636" s="29" cm="1">
        <f t="array" ref="F636">SUMPRODUCT((ТВ!$A$2:$A$1000='ТВ Каналы'!A636)*(ТВ!$B$2:$B$1000='ТВ Каналы'!D636)*ТВ!$C$2:$C$1000)</f>
        <v>0</v>
      </c>
    </row>
    <row r="637" spans="3:6" x14ac:dyDescent="0.25">
      <c r="C637" s="25" t="str">
        <f t="shared" si="10"/>
        <v/>
      </c>
      <c r="F637" s="29" cm="1">
        <f t="array" ref="F637">SUMPRODUCT((ТВ!$A$2:$A$1000='ТВ Каналы'!A637)*(ТВ!$B$2:$B$1000='ТВ Каналы'!D637)*ТВ!$C$2:$C$1000)</f>
        <v>0</v>
      </c>
    </row>
    <row r="638" spans="3:6" x14ac:dyDescent="0.25">
      <c r="C638" s="25" t="str">
        <f t="shared" si="10"/>
        <v/>
      </c>
      <c r="F638" s="29" cm="1">
        <f t="array" ref="F638">SUMPRODUCT((ТВ!$A$2:$A$1000='ТВ Каналы'!A638)*(ТВ!$B$2:$B$1000='ТВ Каналы'!D638)*ТВ!$C$2:$C$1000)</f>
        <v>0</v>
      </c>
    </row>
    <row r="639" spans="3:6" x14ac:dyDescent="0.25">
      <c r="C639" s="25" t="str">
        <f t="shared" si="10"/>
        <v/>
      </c>
      <c r="F639" s="29" cm="1">
        <f t="array" ref="F639">SUMPRODUCT((ТВ!$A$2:$A$1000='ТВ Каналы'!A639)*(ТВ!$B$2:$B$1000='ТВ Каналы'!D639)*ТВ!$C$2:$C$1000)</f>
        <v>0</v>
      </c>
    </row>
    <row r="640" spans="3:6" x14ac:dyDescent="0.25">
      <c r="C640" s="25" t="str">
        <f t="shared" si="10"/>
        <v/>
      </c>
      <c r="F640" s="29" cm="1">
        <f t="array" ref="F640">SUMPRODUCT((ТВ!$A$2:$A$1000='ТВ Каналы'!A640)*(ТВ!$B$2:$B$1000='ТВ Каналы'!D640)*ТВ!$C$2:$C$1000)</f>
        <v>0</v>
      </c>
    </row>
    <row r="641" spans="3:6" x14ac:dyDescent="0.25">
      <c r="C641" s="25" t="str">
        <f t="shared" si="10"/>
        <v/>
      </c>
      <c r="F641" s="29" cm="1">
        <f t="array" ref="F641">SUMPRODUCT((ТВ!$A$2:$A$1000='ТВ Каналы'!A641)*(ТВ!$B$2:$B$1000='ТВ Каналы'!D641)*ТВ!$C$2:$C$1000)</f>
        <v>0</v>
      </c>
    </row>
    <row r="642" spans="3:6" x14ac:dyDescent="0.25">
      <c r="C642" s="25" t="str">
        <f t="shared" si="10"/>
        <v/>
      </c>
      <c r="F642" s="29" cm="1">
        <f t="array" ref="F642">SUMPRODUCT((ТВ!$A$2:$A$1000='ТВ Каналы'!A642)*(ТВ!$B$2:$B$1000='ТВ Каналы'!D642)*ТВ!$C$2:$C$1000)</f>
        <v>0</v>
      </c>
    </row>
    <row r="643" spans="3:6" x14ac:dyDescent="0.25">
      <c r="C643" s="25" t="str">
        <f t="shared" ref="C643:C706" si="11">_xlfn.CONCAT(A643,B643)</f>
        <v/>
      </c>
      <c r="F643" s="29" cm="1">
        <f t="array" ref="F643">SUMPRODUCT((ТВ!$A$2:$A$1000='ТВ Каналы'!A643)*(ТВ!$B$2:$B$1000='ТВ Каналы'!D643)*ТВ!$C$2:$C$1000)</f>
        <v>0</v>
      </c>
    </row>
    <row r="644" spans="3:6" x14ac:dyDescent="0.25">
      <c r="C644" s="25" t="str">
        <f t="shared" si="11"/>
        <v/>
      </c>
      <c r="F644" s="29" cm="1">
        <f t="array" ref="F644">SUMPRODUCT((ТВ!$A$2:$A$1000='ТВ Каналы'!A644)*(ТВ!$B$2:$B$1000='ТВ Каналы'!D644)*ТВ!$C$2:$C$1000)</f>
        <v>0</v>
      </c>
    </row>
    <row r="645" spans="3:6" x14ac:dyDescent="0.25">
      <c r="C645" s="25" t="str">
        <f t="shared" si="11"/>
        <v/>
      </c>
      <c r="F645" s="29" cm="1">
        <f t="array" ref="F645">SUMPRODUCT((ТВ!$A$2:$A$1000='ТВ Каналы'!A645)*(ТВ!$B$2:$B$1000='ТВ Каналы'!D645)*ТВ!$C$2:$C$1000)</f>
        <v>0</v>
      </c>
    </row>
    <row r="646" spans="3:6" x14ac:dyDescent="0.25">
      <c r="C646" s="25" t="str">
        <f t="shared" si="11"/>
        <v/>
      </c>
      <c r="F646" s="29" cm="1">
        <f t="array" ref="F646">SUMPRODUCT((ТВ!$A$2:$A$1000='ТВ Каналы'!A646)*(ТВ!$B$2:$B$1000='ТВ Каналы'!D646)*ТВ!$C$2:$C$1000)</f>
        <v>0</v>
      </c>
    </row>
    <row r="647" spans="3:6" x14ac:dyDescent="0.25">
      <c r="C647" s="25" t="str">
        <f t="shared" si="11"/>
        <v/>
      </c>
      <c r="F647" s="29" cm="1">
        <f t="array" ref="F647">SUMPRODUCT((ТВ!$A$2:$A$1000='ТВ Каналы'!A647)*(ТВ!$B$2:$B$1000='ТВ Каналы'!D647)*ТВ!$C$2:$C$1000)</f>
        <v>0</v>
      </c>
    </row>
    <row r="648" spans="3:6" x14ac:dyDescent="0.25">
      <c r="C648" s="25" t="str">
        <f t="shared" si="11"/>
        <v/>
      </c>
      <c r="F648" s="29" cm="1">
        <f t="array" ref="F648">SUMPRODUCT((ТВ!$A$2:$A$1000='ТВ Каналы'!A648)*(ТВ!$B$2:$B$1000='ТВ Каналы'!D648)*ТВ!$C$2:$C$1000)</f>
        <v>0</v>
      </c>
    </row>
    <row r="649" spans="3:6" x14ac:dyDescent="0.25">
      <c r="C649" s="25" t="str">
        <f t="shared" si="11"/>
        <v/>
      </c>
      <c r="F649" s="29" cm="1">
        <f t="array" ref="F649">SUMPRODUCT((ТВ!$A$2:$A$1000='ТВ Каналы'!A649)*(ТВ!$B$2:$B$1000='ТВ Каналы'!D649)*ТВ!$C$2:$C$1000)</f>
        <v>0</v>
      </c>
    </row>
    <row r="650" spans="3:6" x14ac:dyDescent="0.25">
      <c r="C650" s="25" t="str">
        <f t="shared" si="11"/>
        <v/>
      </c>
      <c r="F650" s="29" cm="1">
        <f t="array" ref="F650">SUMPRODUCT((ТВ!$A$2:$A$1000='ТВ Каналы'!A650)*(ТВ!$B$2:$B$1000='ТВ Каналы'!D650)*ТВ!$C$2:$C$1000)</f>
        <v>0</v>
      </c>
    </row>
    <row r="651" spans="3:6" x14ac:dyDescent="0.25">
      <c r="C651" s="25" t="str">
        <f t="shared" si="11"/>
        <v/>
      </c>
      <c r="F651" s="29" cm="1">
        <f t="array" ref="F651">SUMPRODUCT((ТВ!$A$2:$A$1000='ТВ Каналы'!A651)*(ТВ!$B$2:$B$1000='ТВ Каналы'!D651)*ТВ!$C$2:$C$1000)</f>
        <v>0</v>
      </c>
    </row>
    <row r="652" spans="3:6" x14ac:dyDescent="0.25">
      <c r="C652" s="25" t="str">
        <f t="shared" si="11"/>
        <v/>
      </c>
      <c r="F652" s="29" cm="1">
        <f t="array" ref="F652">SUMPRODUCT((ТВ!$A$2:$A$1000='ТВ Каналы'!A652)*(ТВ!$B$2:$B$1000='ТВ Каналы'!D652)*ТВ!$C$2:$C$1000)</f>
        <v>0</v>
      </c>
    </row>
    <row r="653" spans="3:6" x14ac:dyDescent="0.25">
      <c r="C653" s="25" t="str">
        <f t="shared" si="11"/>
        <v/>
      </c>
      <c r="F653" s="29" cm="1">
        <f t="array" ref="F653">SUMPRODUCT((ТВ!$A$2:$A$1000='ТВ Каналы'!A653)*(ТВ!$B$2:$B$1000='ТВ Каналы'!D653)*ТВ!$C$2:$C$1000)</f>
        <v>0</v>
      </c>
    </row>
    <row r="654" spans="3:6" x14ac:dyDescent="0.25">
      <c r="C654" s="25" t="str">
        <f t="shared" si="11"/>
        <v/>
      </c>
      <c r="F654" s="29" cm="1">
        <f t="array" ref="F654">SUMPRODUCT((ТВ!$A$2:$A$1000='ТВ Каналы'!A654)*(ТВ!$B$2:$B$1000='ТВ Каналы'!D654)*ТВ!$C$2:$C$1000)</f>
        <v>0</v>
      </c>
    </row>
    <row r="655" spans="3:6" x14ac:dyDescent="0.25">
      <c r="C655" s="25" t="str">
        <f t="shared" si="11"/>
        <v/>
      </c>
      <c r="F655" s="29" cm="1">
        <f t="array" ref="F655">SUMPRODUCT((ТВ!$A$2:$A$1000='ТВ Каналы'!A655)*(ТВ!$B$2:$B$1000='ТВ Каналы'!D655)*ТВ!$C$2:$C$1000)</f>
        <v>0</v>
      </c>
    </row>
    <row r="656" spans="3:6" x14ac:dyDescent="0.25">
      <c r="C656" s="25" t="str">
        <f t="shared" si="11"/>
        <v/>
      </c>
      <c r="F656" s="29" cm="1">
        <f t="array" ref="F656">SUMPRODUCT((ТВ!$A$2:$A$1000='ТВ Каналы'!A656)*(ТВ!$B$2:$B$1000='ТВ Каналы'!D656)*ТВ!$C$2:$C$1000)</f>
        <v>0</v>
      </c>
    </row>
    <row r="657" spans="3:6" x14ac:dyDescent="0.25">
      <c r="C657" s="25" t="str">
        <f t="shared" si="11"/>
        <v/>
      </c>
      <c r="F657" s="29" cm="1">
        <f t="array" ref="F657">SUMPRODUCT((ТВ!$A$2:$A$1000='ТВ Каналы'!A657)*(ТВ!$B$2:$B$1000='ТВ Каналы'!D657)*ТВ!$C$2:$C$1000)</f>
        <v>0</v>
      </c>
    </row>
    <row r="658" spans="3:6" x14ac:dyDescent="0.25">
      <c r="C658" s="25" t="str">
        <f t="shared" si="11"/>
        <v/>
      </c>
      <c r="F658" s="29" cm="1">
        <f t="array" ref="F658">SUMPRODUCT((ТВ!$A$2:$A$1000='ТВ Каналы'!A658)*(ТВ!$B$2:$B$1000='ТВ Каналы'!D658)*ТВ!$C$2:$C$1000)</f>
        <v>0</v>
      </c>
    </row>
    <row r="659" spans="3:6" x14ac:dyDescent="0.25">
      <c r="C659" s="25" t="str">
        <f t="shared" si="11"/>
        <v/>
      </c>
      <c r="F659" s="29" cm="1">
        <f t="array" ref="F659">SUMPRODUCT((ТВ!$A$2:$A$1000='ТВ Каналы'!A659)*(ТВ!$B$2:$B$1000='ТВ Каналы'!D659)*ТВ!$C$2:$C$1000)</f>
        <v>0</v>
      </c>
    </row>
    <row r="660" spans="3:6" x14ac:dyDescent="0.25">
      <c r="C660" s="25" t="str">
        <f t="shared" si="11"/>
        <v/>
      </c>
      <c r="F660" s="29" cm="1">
        <f t="array" ref="F660">SUMPRODUCT((ТВ!$A$2:$A$1000='ТВ Каналы'!A660)*(ТВ!$B$2:$B$1000='ТВ Каналы'!D660)*ТВ!$C$2:$C$1000)</f>
        <v>0</v>
      </c>
    </row>
    <row r="661" spans="3:6" x14ac:dyDescent="0.25">
      <c r="C661" s="25" t="str">
        <f t="shared" si="11"/>
        <v/>
      </c>
      <c r="F661" s="29" cm="1">
        <f t="array" ref="F661">SUMPRODUCT((ТВ!$A$2:$A$1000='ТВ Каналы'!A661)*(ТВ!$B$2:$B$1000='ТВ Каналы'!D661)*ТВ!$C$2:$C$1000)</f>
        <v>0</v>
      </c>
    </row>
    <row r="662" spans="3:6" x14ac:dyDescent="0.25">
      <c r="C662" s="25" t="str">
        <f t="shared" si="11"/>
        <v/>
      </c>
      <c r="F662" s="29" cm="1">
        <f t="array" ref="F662">SUMPRODUCT((ТВ!$A$2:$A$1000='ТВ Каналы'!A662)*(ТВ!$B$2:$B$1000='ТВ Каналы'!D662)*ТВ!$C$2:$C$1000)</f>
        <v>0</v>
      </c>
    </row>
    <row r="663" spans="3:6" x14ac:dyDescent="0.25">
      <c r="C663" s="25" t="str">
        <f t="shared" si="11"/>
        <v/>
      </c>
      <c r="F663" s="29" cm="1">
        <f t="array" ref="F663">SUMPRODUCT((ТВ!$A$2:$A$1000='ТВ Каналы'!A663)*(ТВ!$B$2:$B$1000='ТВ Каналы'!D663)*ТВ!$C$2:$C$1000)</f>
        <v>0</v>
      </c>
    </row>
    <row r="664" spans="3:6" x14ac:dyDescent="0.25">
      <c r="C664" s="25" t="str">
        <f t="shared" si="11"/>
        <v/>
      </c>
      <c r="F664" s="29" cm="1">
        <f t="array" ref="F664">SUMPRODUCT((ТВ!$A$2:$A$1000='ТВ Каналы'!A664)*(ТВ!$B$2:$B$1000='ТВ Каналы'!D664)*ТВ!$C$2:$C$1000)</f>
        <v>0</v>
      </c>
    </row>
    <row r="665" spans="3:6" x14ac:dyDescent="0.25">
      <c r="C665" s="25" t="str">
        <f t="shared" si="11"/>
        <v/>
      </c>
      <c r="F665" s="29" cm="1">
        <f t="array" ref="F665">SUMPRODUCT((ТВ!$A$2:$A$1000='ТВ Каналы'!A665)*(ТВ!$B$2:$B$1000='ТВ Каналы'!D665)*ТВ!$C$2:$C$1000)</f>
        <v>0</v>
      </c>
    </row>
    <row r="666" spans="3:6" x14ac:dyDescent="0.25">
      <c r="C666" s="25" t="str">
        <f t="shared" si="11"/>
        <v/>
      </c>
      <c r="F666" s="29" cm="1">
        <f t="array" ref="F666">SUMPRODUCT((ТВ!$A$2:$A$1000='ТВ Каналы'!A666)*(ТВ!$B$2:$B$1000='ТВ Каналы'!D666)*ТВ!$C$2:$C$1000)</f>
        <v>0</v>
      </c>
    </row>
    <row r="667" spans="3:6" x14ac:dyDescent="0.25">
      <c r="C667" s="25" t="str">
        <f t="shared" si="11"/>
        <v/>
      </c>
      <c r="F667" s="29" cm="1">
        <f t="array" ref="F667">SUMPRODUCT((ТВ!$A$2:$A$1000='ТВ Каналы'!A667)*(ТВ!$B$2:$B$1000='ТВ Каналы'!D667)*ТВ!$C$2:$C$1000)</f>
        <v>0</v>
      </c>
    </row>
    <row r="668" spans="3:6" x14ac:dyDescent="0.25">
      <c r="C668" s="25" t="str">
        <f t="shared" si="11"/>
        <v/>
      </c>
      <c r="F668" s="29" cm="1">
        <f t="array" ref="F668">SUMPRODUCT((ТВ!$A$2:$A$1000='ТВ Каналы'!A668)*(ТВ!$B$2:$B$1000='ТВ Каналы'!D668)*ТВ!$C$2:$C$1000)</f>
        <v>0</v>
      </c>
    </row>
    <row r="669" spans="3:6" x14ac:dyDescent="0.25">
      <c r="C669" s="25" t="str">
        <f t="shared" si="11"/>
        <v/>
      </c>
      <c r="F669" s="29" cm="1">
        <f t="array" ref="F669">SUMPRODUCT((ТВ!$A$2:$A$1000='ТВ Каналы'!A669)*(ТВ!$B$2:$B$1000='ТВ Каналы'!D669)*ТВ!$C$2:$C$1000)</f>
        <v>0</v>
      </c>
    </row>
    <row r="670" spans="3:6" x14ac:dyDescent="0.25">
      <c r="C670" s="25" t="str">
        <f t="shared" si="11"/>
        <v/>
      </c>
      <c r="F670" s="29" cm="1">
        <f t="array" ref="F670">SUMPRODUCT((ТВ!$A$2:$A$1000='ТВ Каналы'!A670)*(ТВ!$B$2:$B$1000='ТВ Каналы'!D670)*ТВ!$C$2:$C$1000)</f>
        <v>0</v>
      </c>
    </row>
    <row r="671" spans="3:6" x14ac:dyDescent="0.25">
      <c r="C671" s="25" t="str">
        <f t="shared" si="11"/>
        <v/>
      </c>
      <c r="F671" s="29" cm="1">
        <f t="array" ref="F671">SUMPRODUCT((ТВ!$A$2:$A$1000='ТВ Каналы'!A671)*(ТВ!$B$2:$B$1000='ТВ Каналы'!D671)*ТВ!$C$2:$C$1000)</f>
        <v>0</v>
      </c>
    </row>
    <row r="672" spans="3:6" x14ac:dyDescent="0.25">
      <c r="C672" s="25" t="str">
        <f t="shared" si="11"/>
        <v/>
      </c>
      <c r="F672" s="29" cm="1">
        <f t="array" ref="F672">SUMPRODUCT((ТВ!$A$2:$A$1000='ТВ Каналы'!A672)*(ТВ!$B$2:$B$1000='ТВ Каналы'!D672)*ТВ!$C$2:$C$1000)</f>
        <v>0</v>
      </c>
    </row>
    <row r="673" spans="3:6" x14ac:dyDescent="0.25">
      <c r="C673" s="25" t="str">
        <f t="shared" si="11"/>
        <v/>
      </c>
      <c r="F673" s="29" cm="1">
        <f t="array" ref="F673">SUMPRODUCT((ТВ!$A$2:$A$1000='ТВ Каналы'!A673)*(ТВ!$B$2:$B$1000='ТВ Каналы'!D673)*ТВ!$C$2:$C$1000)</f>
        <v>0</v>
      </c>
    </row>
    <row r="674" spans="3:6" x14ac:dyDescent="0.25">
      <c r="C674" s="25" t="str">
        <f t="shared" si="11"/>
        <v/>
      </c>
      <c r="F674" s="29" cm="1">
        <f t="array" ref="F674">SUMPRODUCT((ТВ!$A$2:$A$1000='ТВ Каналы'!A674)*(ТВ!$B$2:$B$1000='ТВ Каналы'!D674)*ТВ!$C$2:$C$1000)</f>
        <v>0</v>
      </c>
    </row>
    <row r="675" spans="3:6" x14ac:dyDescent="0.25">
      <c r="C675" s="25" t="str">
        <f t="shared" si="11"/>
        <v/>
      </c>
      <c r="F675" s="29" cm="1">
        <f t="array" ref="F675">SUMPRODUCT((ТВ!$A$2:$A$1000='ТВ Каналы'!A675)*(ТВ!$B$2:$B$1000='ТВ Каналы'!D675)*ТВ!$C$2:$C$1000)</f>
        <v>0</v>
      </c>
    </row>
    <row r="676" spans="3:6" x14ac:dyDescent="0.25">
      <c r="C676" s="25" t="str">
        <f t="shared" si="11"/>
        <v/>
      </c>
      <c r="F676" s="29" cm="1">
        <f t="array" ref="F676">SUMPRODUCT((ТВ!$A$2:$A$1000='ТВ Каналы'!A676)*(ТВ!$B$2:$B$1000='ТВ Каналы'!D676)*ТВ!$C$2:$C$1000)</f>
        <v>0</v>
      </c>
    </row>
    <row r="677" spans="3:6" x14ac:dyDescent="0.25">
      <c r="C677" s="25" t="str">
        <f t="shared" si="11"/>
        <v/>
      </c>
      <c r="F677" s="29" cm="1">
        <f t="array" ref="F677">SUMPRODUCT((ТВ!$A$2:$A$1000='ТВ Каналы'!A677)*(ТВ!$B$2:$B$1000='ТВ Каналы'!D677)*ТВ!$C$2:$C$1000)</f>
        <v>0</v>
      </c>
    </row>
    <row r="678" spans="3:6" x14ac:dyDescent="0.25">
      <c r="C678" s="25" t="str">
        <f t="shared" si="11"/>
        <v/>
      </c>
      <c r="F678" s="29" cm="1">
        <f t="array" ref="F678">SUMPRODUCT((ТВ!$A$2:$A$1000='ТВ Каналы'!A678)*(ТВ!$B$2:$B$1000='ТВ Каналы'!D678)*ТВ!$C$2:$C$1000)</f>
        <v>0</v>
      </c>
    </row>
    <row r="679" spans="3:6" x14ac:dyDescent="0.25">
      <c r="C679" s="25" t="str">
        <f t="shared" si="11"/>
        <v/>
      </c>
      <c r="F679" s="29" cm="1">
        <f t="array" ref="F679">SUMPRODUCT((ТВ!$A$2:$A$1000='ТВ Каналы'!A679)*(ТВ!$B$2:$B$1000='ТВ Каналы'!D679)*ТВ!$C$2:$C$1000)</f>
        <v>0</v>
      </c>
    </row>
    <row r="680" spans="3:6" x14ac:dyDescent="0.25">
      <c r="C680" s="25" t="str">
        <f t="shared" si="11"/>
        <v/>
      </c>
      <c r="F680" s="29" cm="1">
        <f t="array" ref="F680">SUMPRODUCT((ТВ!$A$2:$A$1000='ТВ Каналы'!A680)*(ТВ!$B$2:$B$1000='ТВ Каналы'!D680)*ТВ!$C$2:$C$1000)</f>
        <v>0</v>
      </c>
    </row>
    <row r="681" spans="3:6" x14ac:dyDescent="0.25">
      <c r="C681" s="25" t="str">
        <f t="shared" si="11"/>
        <v/>
      </c>
      <c r="F681" s="29" cm="1">
        <f t="array" ref="F681">SUMPRODUCT((ТВ!$A$2:$A$1000='ТВ Каналы'!A681)*(ТВ!$B$2:$B$1000='ТВ Каналы'!D681)*ТВ!$C$2:$C$1000)</f>
        <v>0</v>
      </c>
    </row>
    <row r="682" spans="3:6" x14ac:dyDescent="0.25">
      <c r="C682" s="25" t="str">
        <f t="shared" si="11"/>
        <v/>
      </c>
      <c r="F682" s="29" cm="1">
        <f t="array" ref="F682">SUMPRODUCT((ТВ!$A$2:$A$1000='ТВ Каналы'!A682)*(ТВ!$B$2:$B$1000='ТВ Каналы'!D682)*ТВ!$C$2:$C$1000)</f>
        <v>0</v>
      </c>
    </row>
    <row r="683" spans="3:6" x14ac:dyDescent="0.25">
      <c r="C683" s="25" t="str">
        <f t="shared" si="11"/>
        <v/>
      </c>
      <c r="F683" s="29" cm="1">
        <f t="array" ref="F683">SUMPRODUCT((ТВ!$A$2:$A$1000='ТВ Каналы'!A683)*(ТВ!$B$2:$B$1000='ТВ Каналы'!D683)*ТВ!$C$2:$C$1000)</f>
        <v>0</v>
      </c>
    </row>
    <row r="684" spans="3:6" x14ac:dyDescent="0.25">
      <c r="C684" s="25" t="str">
        <f t="shared" si="11"/>
        <v/>
      </c>
      <c r="F684" s="29" cm="1">
        <f t="array" ref="F684">SUMPRODUCT((ТВ!$A$2:$A$1000='ТВ Каналы'!A684)*(ТВ!$B$2:$B$1000='ТВ Каналы'!D684)*ТВ!$C$2:$C$1000)</f>
        <v>0</v>
      </c>
    </row>
    <row r="685" spans="3:6" x14ac:dyDescent="0.25">
      <c r="C685" s="25" t="str">
        <f t="shared" si="11"/>
        <v/>
      </c>
      <c r="F685" s="29" cm="1">
        <f t="array" ref="F685">SUMPRODUCT((ТВ!$A$2:$A$1000='ТВ Каналы'!A685)*(ТВ!$B$2:$B$1000='ТВ Каналы'!D685)*ТВ!$C$2:$C$1000)</f>
        <v>0</v>
      </c>
    </row>
    <row r="686" spans="3:6" x14ac:dyDescent="0.25">
      <c r="C686" s="25" t="str">
        <f t="shared" si="11"/>
        <v/>
      </c>
      <c r="F686" s="29" cm="1">
        <f t="array" ref="F686">SUMPRODUCT((ТВ!$A$2:$A$1000='ТВ Каналы'!A686)*(ТВ!$B$2:$B$1000='ТВ Каналы'!D686)*ТВ!$C$2:$C$1000)</f>
        <v>0</v>
      </c>
    </row>
    <row r="687" spans="3:6" x14ac:dyDescent="0.25">
      <c r="C687" s="25" t="str">
        <f t="shared" si="11"/>
        <v/>
      </c>
      <c r="F687" s="29" cm="1">
        <f t="array" ref="F687">SUMPRODUCT((ТВ!$A$2:$A$1000='ТВ Каналы'!A687)*(ТВ!$B$2:$B$1000='ТВ Каналы'!D687)*ТВ!$C$2:$C$1000)</f>
        <v>0</v>
      </c>
    </row>
    <row r="688" spans="3:6" x14ac:dyDescent="0.25">
      <c r="C688" s="25" t="str">
        <f t="shared" si="11"/>
        <v/>
      </c>
      <c r="F688" s="29" cm="1">
        <f t="array" ref="F688">SUMPRODUCT((ТВ!$A$2:$A$1000='ТВ Каналы'!A688)*(ТВ!$B$2:$B$1000='ТВ Каналы'!D688)*ТВ!$C$2:$C$1000)</f>
        <v>0</v>
      </c>
    </row>
    <row r="689" spans="3:6" x14ac:dyDescent="0.25">
      <c r="C689" s="25" t="str">
        <f t="shared" si="11"/>
        <v/>
      </c>
      <c r="F689" s="29" cm="1">
        <f t="array" ref="F689">SUMPRODUCT((ТВ!$A$2:$A$1000='ТВ Каналы'!A689)*(ТВ!$B$2:$B$1000='ТВ Каналы'!D689)*ТВ!$C$2:$C$1000)</f>
        <v>0</v>
      </c>
    </row>
    <row r="690" spans="3:6" x14ac:dyDescent="0.25">
      <c r="C690" s="25" t="str">
        <f t="shared" si="11"/>
        <v/>
      </c>
      <c r="F690" s="29" cm="1">
        <f t="array" ref="F690">SUMPRODUCT((ТВ!$A$2:$A$1000='ТВ Каналы'!A690)*(ТВ!$B$2:$B$1000='ТВ Каналы'!D690)*ТВ!$C$2:$C$1000)</f>
        <v>0</v>
      </c>
    </row>
    <row r="691" spans="3:6" x14ac:dyDescent="0.25">
      <c r="C691" s="25" t="str">
        <f t="shared" si="11"/>
        <v/>
      </c>
      <c r="F691" s="29" cm="1">
        <f t="array" ref="F691">SUMPRODUCT((ТВ!$A$2:$A$1000='ТВ Каналы'!A691)*(ТВ!$B$2:$B$1000='ТВ Каналы'!D691)*ТВ!$C$2:$C$1000)</f>
        <v>0</v>
      </c>
    </row>
    <row r="692" spans="3:6" x14ac:dyDescent="0.25">
      <c r="C692" s="25" t="str">
        <f t="shared" si="11"/>
        <v/>
      </c>
      <c r="F692" s="29" cm="1">
        <f t="array" ref="F692">SUMPRODUCT((ТВ!$A$2:$A$1000='ТВ Каналы'!A692)*(ТВ!$B$2:$B$1000='ТВ Каналы'!D692)*ТВ!$C$2:$C$1000)</f>
        <v>0</v>
      </c>
    </row>
    <row r="693" spans="3:6" x14ac:dyDescent="0.25">
      <c r="C693" s="25" t="str">
        <f t="shared" si="11"/>
        <v/>
      </c>
      <c r="F693" s="29" cm="1">
        <f t="array" ref="F693">SUMPRODUCT((ТВ!$A$2:$A$1000='ТВ Каналы'!A693)*(ТВ!$B$2:$B$1000='ТВ Каналы'!D693)*ТВ!$C$2:$C$1000)</f>
        <v>0</v>
      </c>
    </row>
    <row r="694" spans="3:6" x14ac:dyDescent="0.25">
      <c r="C694" s="25" t="str">
        <f t="shared" si="11"/>
        <v/>
      </c>
      <c r="F694" s="29" cm="1">
        <f t="array" ref="F694">SUMPRODUCT((ТВ!$A$2:$A$1000='ТВ Каналы'!A694)*(ТВ!$B$2:$B$1000='ТВ Каналы'!D694)*ТВ!$C$2:$C$1000)</f>
        <v>0</v>
      </c>
    </row>
    <row r="695" spans="3:6" x14ac:dyDescent="0.25">
      <c r="C695" s="25" t="str">
        <f t="shared" si="11"/>
        <v/>
      </c>
      <c r="F695" s="29" cm="1">
        <f t="array" ref="F695">SUMPRODUCT((ТВ!$A$2:$A$1000='ТВ Каналы'!A695)*(ТВ!$B$2:$B$1000='ТВ Каналы'!D695)*ТВ!$C$2:$C$1000)</f>
        <v>0</v>
      </c>
    </row>
    <row r="696" spans="3:6" x14ac:dyDescent="0.25">
      <c r="C696" s="25" t="str">
        <f t="shared" si="11"/>
        <v/>
      </c>
      <c r="F696" s="29" cm="1">
        <f t="array" ref="F696">SUMPRODUCT((ТВ!$A$2:$A$1000='ТВ Каналы'!A696)*(ТВ!$B$2:$B$1000='ТВ Каналы'!D696)*ТВ!$C$2:$C$1000)</f>
        <v>0</v>
      </c>
    </row>
    <row r="697" spans="3:6" x14ac:dyDescent="0.25">
      <c r="C697" s="25" t="str">
        <f t="shared" si="11"/>
        <v/>
      </c>
      <c r="F697" s="29" cm="1">
        <f t="array" ref="F697">SUMPRODUCT((ТВ!$A$2:$A$1000='ТВ Каналы'!A697)*(ТВ!$B$2:$B$1000='ТВ Каналы'!D697)*ТВ!$C$2:$C$1000)</f>
        <v>0</v>
      </c>
    </row>
    <row r="698" spans="3:6" x14ac:dyDescent="0.25">
      <c r="C698" s="25" t="str">
        <f t="shared" si="11"/>
        <v/>
      </c>
      <c r="F698" s="29" cm="1">
        <f t="array" ref="F698">SUMPRODUCT((ТВ!$A$2:$A$1000='ТВ Каналы'!A698)*(ТВ!$B$2:$B$1000='ТВ Каналы'!D698)*ТВ!$C$2:$C$1000)</f>
        <v>0</v>
      </c>
    </row>
    <row r="699" spans="3:6" x14ac:dyDescent="0.25">
      <c r="C699" s="25" t="str">
        <f t="shared" si="11"/>
        <v/>
      </c>
      <c r="F699" s="29" cm="1">
        <f t="array" ref="F699">SUMPRODUCT((ТВ!$A$2:$A$1000='ТВ Каналы'!A699)*(ТВ!$B$2:$B$1000='ТВ Каналы'!D699)*ТВ!$C$2:$C$1000)</f>
        <v>0</v>
      </c>
    </row>
    <row r="700" spans="3:6" x14ac:dyDescent="0.25">
      <c r="C700" s="25" t="str">
        <f t="shared" si="11"/>
        <v/>
      </c>
      <c r="F700" s="29" cm="1">
        <f t="array" ref="F700">SUMPRODUCT((ТВ!$A$2:$A$1000='ТВ Каналы'!A700)*(ТВ!$B$2:$B$1000='ТВ Каналы'!D700)*ТВ!$C$2:$C$1000)</f>
        <v>0</v>
      </c>
    </row>
    <row r="701" spans="3:6" x14ac:dyDescent="0.25">
      <c r="C701" s="25" t="str">
        <f t="shared" si="11"/>
        <v/>
      </c>
      <c r="F701" s="29" cm="1">
        <f t="array" ref="F701">SUMPRODUCT((ТВ!$A$2:$A$1000='ТВ Каналы'!A701)*(ТВ!$B$2:$B$1000='ТВ Каналы'!D701)*ТВ!$C$2:$C$1000)</f>
        <v>0</v>
      </c>
    </row>
    <row r="702" spans="3:6" x14ac:dyDescent="0.25">
      <c r="C702" s="25" t="str">
        <f t="shared" si="11"/>
        <v/>
      </c>
      <c r="F702" s="29" cm="1">
        <f t="array" ref="F702">SUMPRODUCT((ТВ!$A$2:$A$1000='ТВ Каналы'!A702)*(ТВ!$B$2:$B$1000='ТВ Каналы'!D702)*ТВ!$C$2:$C$1000)</f>
        <v>0</v>
      </c>
    </row>
    <row r="703" spans="3:6" x14ac:dyDescent="0.25">
      <c r="C703" s="25" t="str">
        <f t="shared" si="11"/>
        <v/>
      </c>
      <c r="F703" s="29" cm="1">
        <f t="array" ref="F703">SUMPRODUCT((ТВ!$A$2:$A$1000='ТВ Каналы'!A703)*(ТВ!$B$2:$B$1000='ТВ Каналы'!D703)*ТВ!$C$2:$C$1000)</f>
        <v>0</v>
      </c>
    </row>
    <row r="704" spans="3:6" x14ac:dyDescent="0.25">
      <c r="C704" s="25" t="str">
        <f t="shared" si="11"/>
        <v/>
      </c>
      <c r="F704" s="29" cm="1">
        <f t="array" ref="F704">SUMPRODUCT((ТВ!$A$2:$A$1000='ТВ Каналы'!A704)*(ТВ!$B$2:$B$1000='ТВ Каналы'!D704)*ТВ!$C$2:$C$1000)</f>
        <v>0</v>
      </c>
    </row>
    <row r="705" spans="3:6" x14ac:dyDescent="0.25">
      <c r="C705" s="25" t="str">
        <f t="shared" si="11"/>
        <v/>
      </c>
      <c r="F705" s="29" cm="1">
        <f t="array" ref="F705">SUMPRODUCT((ТВ!$A$2:$A$1000='ТВ Каналы'!A705)*(ТВ!$B$2:$B$1000='ТВ Каналы'!D705)*ТВ!$C$2:$C$1000)</f>
        <v>0</v>
      </c>
    </row>
    <row r="706" spans="3:6" x14ac:dyDescent="0.25">
      <c r="C706" s="25" t="str">
        <f t="shared" si="11"/>
        <v/>
      </c>
      <c r="F706" s="29" cm="1">
        <f t="array" ref="F706">SUMPRODUCT((ТВ!$A$2:$A$1000='ТВ Каналы'!A706)*(ТВ!$B$2:$B$1000='ТВ Каналы'!D706)*ТВ!$C$2:$C$1000)</f>
        <v>0</v>
      </c>
    </row>
    <row r="707" spans="3:6" x14ac:dyDescent="0.25">
      <c r="C707" s="25" t="str">
        <f t="shared" ref="C707:C770" si="12">_xlfn.CONCAT(A707,B707)</f>
        <v/>
      </c>
      <c r="F707" s="29" cm="1">
        <f t="array" ref="F707">SUMPRODUCT((ТВ!$A$2:$A$1000='ТВ Каналы'!A707)*(ТВ!$B$2:$B$1000='ТВ Каналы'!D707)*ТВ!$C$2:$C$1000)</f>
        <v>0</v>
      </c>
    </row>
    <row r="708" spans="3:6" x14ac:dyDescent="0.25">
      <c r="C708" s="25" t="str">
        <f t="shared" si="12"/>
        <v/>
      </c>
      <c r="F708" s="29" cm="1">
        <f t="array" ref="F708">SUMPRODUCT((ТВ!$A$2:$A$1000='ТВ Каналы'!A708)*(ТВ!$B$2:$B$1000='ТВ Каналы'!D708)*ТВ!$C$2:$C$1000)</f>
        <v>0</v>
      </c>
    </row>
    <row r="709" spans="3:6" x14ac:dyDescent="0.25">
      <c r="C709" s="25" t="str">
        <f t="shared" si="12"/>
        <v/>
      </c>
      <c r="F709" s="29" cm="1">
        <f t="array" ref="F709">SUMPRODUCT((ТВ!$A$2:$A$1000='ТВ Каналы'!A709)*(ТВ!$B$2:$B$1000='ТВ Каналы'!D709)*ТВ!$C$2:$C$1000)</f>
        <v>0</v>
      </c>
    </row>
    <row r="710" spans="3:6" x14ac:dyDescent="0.25">
      <c r="C710" s="25" t="str">
        <f t="shared" si="12"/>
        <v/>
      </c>
      <c r="F710" s="29" cm="1">
        <f t="array" ref="F710">SUMPRODUCT((ТВ!$A$2:$A$1000='ТВ Каналы'!A710)*(ТВ!$B$2:$B$1000='ТВ Каналы'!D710)*ТВ!$C$2:$C$1000)</f>
        <v>0</v>
      </c>
    </row>
    <row r="711" spans="3:6" x14ac:dyDescent="0.25">
      <c r="C711" s="25" t="str">
        <f t="shared" si="12"/>
        <v/>
      </c>
      <c r="F711" s="29" cm="1">
        <f t="array" ref="F711">SUMPRODUCT((ТВ!$A$2:$A$1000='ТВ Каналы'!A711)*(ТВ!$B$2:$B$1000='ТВ Каналы'!D711)*ТВ!$C$2:$C$1000)</f>
        <v>0</v>
      </c>
    </row>
    <row r="712" spans="3:6" x14ac:dyDescent="0.25">
      <c r="C712" s="25" t="str">
        <f t="shared" si="12"/>
        <v/>
      </c>
      <c r="F712" s="29" cm="1">
        <f t="array" ref="F712">SUMPRODUCT((ТВ!$A$2:$A$1000='ТВ Каналы'!A712)*(ТВ!$B$2:$B$1000='ТВ Каналы'!D712)*ТВ!$C$2:$C$1000)</f>
        <v>0</v>
      </c>
    </row>
    <row r="713" spans="3:6" x14ac:dyDescent="0.25">
      <c r="C713" s="25" t="str">
        <f t="shared" si="12"/>
        <v/>
      </c>
      <c r="F713" s="29" cm="1">
        <f t="array" ref="F713">SUMPRODUCT((ТВ!$A$2:$A$1000='ТВ Каналы'!A713)*(ТВ!$B$2:$B$1000='ТВ Каналы'!D713)*ТВ!$C$2:$C$1000)</f>
        <v>0</v>
      </c>
    </row>
    <row r="714" spans="3:6" x14ac:dyDescent="0.25">
      <c r="C714" s="25" t="str">
        <f t="shared" si="12"/>
        <v/>
      </c>
      <c r="F714" s="29" cm="1">
        <f t="array" ref="F714">SUMPRODUCT((ТВ!$A$2:$A$1000='ТВ Каналы'!A714)*(ТВ!$B$2:$B$1000='ТВ Каналы'!D714)*ТВ!$C$2:$C$1000)</f>
        <v>0</v>
      </c>
    </row>
    <row r="715" spans="3:6" x14ac:dyDescent="0.25">
      <c r="C715" s="25" t="str">
        <f t="shared" si="12"/>
        <v/>
      </c>
      <c r="F715" s="29" cm="1">
        <f t="array" ref="F715">SUMPRODUCT((ТВ!$A$2:$A$1000='ТВ Каналы'!A715)*(ТВ!$B$2:$B$1000='ТВ Каналы'!D715)*ТВ!$C$2:$C$1000)</f>
        <v>0</v>
      </c>
    </row>
    <row r="716" spans="3:6" x14ac:dyDescent="0.25">
      <c r="C716" s="25" t="str">
        <f t="shared" si="12"/>
        <v/>
      </c>
      <c r="F716" s="29" cm="1">
        <f t="array" ref="F716">SUMPRODUCT((ТВ!$A$2:$A$1000='ТВ Каналы'!A716)*(ТВ!$B$2:$B$1000='ТВ Каналы'!D716)*ТВ!$C$2:$C$1000)</f>
        <v>0</v>
      </c>
    </row>
    <row r="717" spans="3:6" x14ac:dyDescent="0.25">
      <c r="C717" s="25" t="str">
        <f t="shared" si="12"/>
        <v/>
      </c>
      <c r="F717" s="29" cm="1">
        <f t="array" ref="F717">SUMPRODUCT((ТВ!$A$2:$A$1000='ТВ Каналы'!A717)*(ТВ!$B$2:$B$1000='ТВ Каналы'!D717)*ТВ!$C$2:$C$1000)</f>
        <v>0</v>
      </c>
    </row>
    <row r="718" spans="3:6" x14ac:dyDescent="0.25">
      <c r="C718" s="25" t="str">
        <f t="shared" si="12"/>
        <v/>
      </c>
      <c r="F718" s="29" cm="1">
        <f t="array" ref="F718">SUMPRODUCT((ТВ!$A$2:$A$1000='ТВ Каналы'!A718)*(ТВ!$B$2:$B$1000='ТВ Каналы'!D718)*ТВ!$C$2:$C$1000)</f>
        <v>0</v>
      </c>
    </row>
    <row r="719" spans="3:6" x14ac:dyDescent="0.25">
      <c r="C719" s="25" t="str">
        <f t="shared" si="12"/>
        <v/>
      </c>
      <c r="F719" s="29" cm="1">
        <f t="array" ref="F719">SUMPRODUCT((ТВ!$A$2:$A$1000='ТВ Каналы'!A719)*(ТВ!$B$2:$B$1000='ТВ Каналы'!D719)*ТВ!$C$2:$C$1000)</f>
        <v>0</v>
      </c>
    </row>
    <row r="720" spans="3:6" x14ac:dyDescent="0.25">
      <c r="C720" s="25" t="str">
        <f t="shared" si="12"/>
        <v/>
      </c>
      <c r="F720" s="29" cm="1">
        <f t="array" ref="F720">SUMPRODUCT((ТВ!$A$2:$A$1000='ТВ Каналы'!A720)*(ТВ!$B$2:$B$1000='ТВ Каналы'!D720)*ТВ!$C$2:$C$1000)</f>
        <v>0</v>
      </c>
    </row>
    <row r="721" spans="3:6" x14ac:dyDescent="0.25">
      <c r="C721" s="25" t="str">
        <f t="shared" si="12"/>
        <v/>
      </c>
      <c r="F721" s="29" cm="1">
        <f t="array" ref="F721">SUMPRODUCT((ТВ!$A$2:$A$1000='ТВ Каналы'!A721)*(ТВ!$B$2:$B$1000='ТВ Каналы'!D721)*ТВ!$C$2:$C$1000)</f>
        <v>0</v>
      </c>
    </row>
    <row r="722" spans="3:6" x14ac:dyDescent="0.25">
      <c r="C722" s="25" t="str">
        <f t="shared" si="12"/>
        <v/>
      </c>
      <c r="F722" s="29" cm="1">
        <f t="array" ref="F722">SUMPRODUCT((ТВ!$A$2:$A$1000='ТВ Каналы'!A722)*(ТВ!$B$2:$B$1000='ТВ Каналы'!D722)*ТВ!$C$2:$C$1000)</f>
        <v>0</v>
      </c>
    </row>
    <row r="723" spans="3:6" x14ac:dyDescent="0.25">
      <c r="C723" s="25" t="str">
        <f t="shared" si="12"/>
        <v/>
      </c>
      <c r="F723" s="29" cm="1">
        <f t="array" ref="F723">SUMPRODUCT((ТВ!$A$2:$A$1000='ТВ Каналы'!A723)*(ТВ!$B$2:$B$1000='ТВ Каналы'!D723)*ТВ!$C$2:$C$1000)</f>
        <v>0</v>
      </c>
    </row>
    <row r="724" spans="3:6" x14ac:dyDescent="0.25">
      <c r="C724" s="25" t="str">
        <f t="shared" si="12"/>
        <v/>
      </c>
      <c r="F724" s="29" cm="1">
        <f t="array" ref="F724">SUMPRODUCT((ТВ!$A$2:$A$1000='ТВ Каналы'!A724)*(ТВ!$B$2:$B$1000='ТВ Каналы'!D724)*ТВ!$C$2:$C$1000)</f>
        <v>0</v>
      </c>
    </row>
    <row r="725" spans="3:6" x14ac:dyDescent="0.25">
      <c r="C725" s="25" t="str">
        <f t="shared" si="12"/>
        <v/>
      </c>
      <c r="F725" s="29" cm="1">
        <f t="array" ref="F725">SUMPRODUCT((ТВ!$A$2:$A$1000='ТВ Каналы'!A725)*(ТВ!$B$2:$B$1000='ТВ Каналы'!D725)*ТВ!$C$2:$C$1000)</f>
        <v>0</v>
      </c>
    </row>
    <row r="726" spans="3:6" x14ac:dyDescent="0.25">
      <c r="C726" s="25" t="str">
        <f t="shared" si="12"/>
        <v/>
      </c>
      <c r="F726" s="29" cm="1">
        <f t="array" ref="F726">SUMPRODUCT((ТВ!$A$2:$A$1000='ТВ Каналы'!A726)*(ТВ!$B$2:$B$1000='ТВ Каналы'!D726)*ТВ!$C$2:$C$1000)</f>
        <v>0</v>
      </c>
    </row>
    <row r="727" spans="3:6" x14ac:dyDescent="0.25">
      <c r="C727" s="25" t="str">
        <f t="shared" si="12"/>
        <v/>
      </c>
      <c r="F727" s="29" cm="1">
        <f t="array" ref="F727">SUMPRODUCT((ТВ!$A$2:$A$1000='ТВ Каналы'!A727)*(ТВ!$B$2:$B$1000='ТВ Каналы'!D727)*ТВ!$C$2:$C$1000)</f>
        <v>0</v>
      </c>
    </row>
    <row r="728" spans="3:6" x14ac:dyDescent="0.25">
      <c r="C728" s="25" t="str">
        <f t="shared" si="12"/>
        <v/>
      </c>
      <c r="F728" s="29" cm="1">
        <f t="array" ref="F728">SUMPRODUCT((ТВ!$A$2:$A$1000='ТВ Каналы'!A728)*(ТВ!$B$2:$B$1000='ТВ Каналы'!D728)*ТВ!$C$2:$C$1000)</f>
        <v>0</v>
      </c>
    </row>
    <row r="729" spans="3:6" x14ac:dyDescent="0.25">
      <c r="C729" s="25" t="str">
        <f t="shared" si="12"/>
        <v/>
      </c>
      <c r="F729" s="29" cm="1">
        <f t="array" ref="F729">SUMPRODUCT((ТВ!$A$2:$A$1000='ТВ Каналы'!A729)*(ТВ!$B$2:$B$1000='ТВ Каналы'!D729)*ТВ!$C$2:$C$1000)</f>
        <v>0</v>
      </c>
    </row>
    <row r="730" spans="3:6" x14ac:dyDescent="0.25">
      <c r="C730" s="25" t="str">
        <f t="shared" si="12"/>
        <v/>
      </c>
      <c r="F730" s="29" cm="1">
        <f t="array" ref="F730">SUMPRODUCT((ТВ!$A$2:$A$1000='ТВ Каналы'!A730)*(ТВ!$B$2:$B$1000='ТВ Каналы'!D730)*ТВ!$C$2:$C$1000)</f>
        <v>0</v>
      </c>
    </row>
    <row r="731" spans="3:6" x14ac:dyDescent="0.25">
      <c r="C731" s="25" t="str">
        <f t="shared" si="12"/>
        <v/>
      </c>
      <c r="F731" s="29" cm="1">
        <f t="array" ref="F731">SUMPRODUCT((ТВ!$A$2:$A$1000='ТВ Каналы'!A731)*(ТВ!$B$2:$B$1000='ТВ Каналы'!D731)*ТВ!$C$2:$C$1000)</f>
        <v>0</v>
      </c>
    </row>
    <row r="732" spans="3:6" x14ac:dyDescent="0.25">
      <c r="C732" s="25" t="str">
        <f t="shared" si="12"/>
        <v/>
      </c>
      <c r="F732" s="29" cm="1">
        <f t="array" ref="F732">SUMPRODUCT((ТВ!$A$2:$A$1000='ТВ Каналы'!A732)*(ТВ!$B$2:$B$1000='ТВ Каналы'!D732)*ТВ!$C$2:$C$1000)</f>
        <v>0</v>
      </c>
    </row>
    <row r="733" spans="3:6" x14ac:dyDescent="0.25">
      <c r="C733" s="25" t="str">
        <f t="shared" si="12"/>
        <v/>
      </c>
      <c r="F733" s="29" cm="1">
        <f t="array" ref="F733">SUMPRODUCT((ТВ!$A$2:$A$1000='ТВ Каналы'!A733)*(ТВ!$B$2:$B$1000='ТВ Каналы'!D733)*ТВ!$C$2:$C$1000)</f>
        <v>0</v>
      </c>
    </row>
    <row r="734" spans="3:6" x14ac:dyDescent="0.25">
      <c r="C734" s="25" t="str">
        <f t="shared" si="12"/>
        <v/>
      </c>
      <c r="F734" s="29" cm="1">
        <f t="array" ref="F734">SUMPRODUCT((ТВ!$A$2:$A$1000='ТВ Каналы'!A734)*(ТВ!$B$2:$B$1000='ТВ Каналы'!D734)*ТВ!$C$2:$C$1000)</f>
        <v>0</v>
      </c>
    </row>
    <row r="735" spans="3:6" x14ac:dyDescent="0.25">
      <c r="C735" s="25" t="str">
        <f t="shared" si="12"/>
        <v/>
      </c>
      <c r="F735" s="29" cm="1">
        <f t="array" ref="F735">SUMPRODUCT((ТВ!$A$2:$A$1000='ТВ Каналы'!A735)*(ТВ!$B$2:$B$1000='ТВ Каналы'!D735)*ТВ!$C$2:$C$1000)</f>
        <v>0</v>
      </c>
    </row>
    <row r="736" spans="3:6" x14ac:dyDescent="0.25">
      <c r="C736" s="25" t="str">
        <f t="shared" si="12"/>
        <v/>
      </c>
      <c r="F736" s="29" cm="1">
        <f t="array" ref="F736">SUMPRODUCT((ТВ!$A$2:$A$1000='ТВ Каналы'!A736)*(ТВ!$B$2:$B$1000='ТВ Каналы'!D736)*ТВ!$C$2:$C$1000)</f>
        <v>0</v>
      </c>
    </row>
    <row r="737" spans="3:6" x14ac:dyDescent="0.25">
      <c r="C737" s="25" t="str">
        <f t="shared" si="12"/>
        <v/>
      </c>
      <c r="F737" s="29" cm="1">
        <f t="array" ref="F737">SUMPRODUCT((ТВ!$A$2:$A$1000='ТВ Каналы'!A737)*(ТВ!$B$2:$B$1000='ТВ Каналы'!D737)*ТВ!$C$2:$C$1000)</f>
        <v>0</v>
      </c>
    </row>
    <row r="738" spans="3:6" x14ac:dyDescent="0.25">
      <c r="C738" s="25" t="str">
        <f t="shared" si="12"/>
        <v/>
      </c>
      <c r="F738" s="29" cm="1">
        <f t="array" ref="F738">SUMPRODUCT((ТВ!$A$2:$A$1000='ТВ Каналы'!A738)*(ТВ!$B$2:$B$1000='ТВ Каналы'!D738)*ТВ!$C$2:$C$1000)</f>
        <v>0</v>
      </c>
    </row>
    <row r="739" spans="3:6" x14ac:dyDescent="0.25">
      <c r="C739" s="25" t="str">
        <f t="shared" si="12"/>
        <v/>
      </c>
      <c r="F739" s="29" cm="1">
        <f t="array" ref="F739">SUMPRODUCT((ТВ!$A$2:$A$1000='ТВ Каналы'!A739)*(ТВ!$B$2:$B$1000='ТВ Каналы'!D739)*ТВ!$C$2:$C$1000)</f>
        <v>0</v>
      </c>
    </row>
    <row r="740" spans="3:6" x14ac:dyDescent="0.25">
      <c r="C740" s="25" t="str">
        <f t="shared" si="12"/>
        <v/>
      </c>
      <c r="F740" s="29" cm="1">
        <f t="array" ref="F740">SUMPRODUCT((ТВ!$A$2:$A$1000='ТВ Каналы'!A740)*(ТВ!$B$2:$B$1000='ТВ Каналы'!D740)*ТВ!$C$2:$C$1000)</f>
        <v>0</v>
      </c>
    </row>
    <row r="741" spans="3:6" x14ac:dyDescent="0.25">
      <c r="C741" s="25" t="str">
        <f t="shared" si="12"/>
        <v/>
      </c>
      <c r="F741" s="29" cm="1">
        <f t="array" ref="F741">SUMPRODUCT((ТВ!$A$2:$A$1000='ТВ Каналы'!A741)*(ТВ!$B$2:$B$1000='ТВ Каналы'!D741)*ТВ!$C$2:$C$1000)</f>
        <v>0</v>
      </c>
    </row>
    <row r="742" spans="3:6" x14ac:dyDescent="0.25">
      <c r="C742" s="25" t="str">
        <f t="shared" si="12"/>
        <v/>
      </c>
      <c r="F742" s="29" cm="1">
        <f t="array" ref="F742">SUMPRODUCT((ТВ!$A$2:$A$1000='ТВ Каналы'!A742)*(ТВ!$B$2:$B$1000='ТВ Каналы'!D742)*ТВ!$C$2:$C$1000)</f>
        <v>0</v>
      </c>
    </row>
    <row r="743" spans="3:6" x14ac:dyDescent="0.25">
      <c r="C743" s="25" t="str">
        <f t="shared" si="12"/>
        <v/>
      </c>
      <c r="F743" s="29" cm="1">
        <f t="array" ref="F743">SUMPRODUCT((ТВ!$A$2:$A$1000='ТВ Каналы'!A743)*(ТВ!$B$2:$B$1000='ТВ Каналы'!D743)*ТВ!$C$2:$C$1000)</f>
        <v>0</v>
      </c>
    </row>
    <row r="744" spans="3:6" x14ac:dyDescent="0.25">
      <c r="C744" s="25" t="str">
        <f t="shared" si="12"/>
        <v/>
      </c>
      <c r="F744" s="29" cm="1">
        <f t="array" ref="F744">SUMPRODUCT((ТВ!$A$2:$A$1000='ТВ Каналы'!A744)*(ТВ!$B$2:$B$1000='ТВ Каналы'!D744)*ТВ!$C$2:$C$1000)</f>
        <v>0</v>
      </c>
    </row>
    <row r="745" spans="3:6" x14ac:dyDescent="0.25">
      <c r="C745" s="25" t="str">
        <f t="shared" si="12"/>
        <v/>
      </c>
      <c r="F745" s="29" cm="1">
        <f t="array" ref="F745">SUMPRODUCT((ТВ!$A$2:$A$1000='ТВ Каналы'!A745)*(ТВ!$B$2:$B$1000='ТВ Каналы'!D745)*ТВ!$C$2:$C$1000)</f>
        <v>0</v>
      </c>
    </row>
    <row r="746" spans="3:6" x14ac:dyDescent="0.25">
      <c r="C746" s="25" t="str">
        <f t="shared" si="12"/>
        <v/>
      </c>
      <c r="F746" s="29" cm="1">
        <f t="array" ref="F746">SUMPRODUCT((ТВ!$A$2:$A$1000='ТВ Каналы'!A746)*(ТВ!$B$2:$B$1000='ТВ Каналы'!D746)*ТВ!$C$2:$C$1000)</f>
        <v>0</v>
      </c>
    </row>
    <row r="747" spans="3:6" x14ac:dyDescent="0.25">
      <c r="C747" s="25" t="str">
        <f t="shared" si="12"/>
        <v/>
      </c>
      <c r="F747" s="29" cm="1">
        <f t="array" ref="F747">SUMPRODUCT((ТВ!$A$2:$A$1000='ТВ Каналы'!A747)*(ТВ!$B$2:$B$1000='ТВ Каналы'!D747)*ТВ!$C$2:$C$1000)</f>
        <v>0</v>
      </c>
    </row>
    <row r="748" spans="3:6" x14ac:dyDescent="0.25">
      <c r="C748" s="25" t="str">
        <f t="shared" si="12"/>
        <v/>
      </c>
      <c r="F748" s="29" cm="1">
        <f t="array" ref="F748">SUMPRODUCT((ТВ!$A$2:$A$1000='ТВ Каналы'!A748)*(ТВ!$B$2:$B$1000='ТВ Каналы'!D748)*ТВ!$C$2:$C$1000)</f>
        <v>0</v>
      </c>
    </row>
    <row r="749" spans="3:6" x14ac:dyDescent="0.25">
      <c r="C749" s="25" t="str">
        <f t="shared" si="12"/>
        <v/>
      </c>
      <c r="F749" s="29" cm="1">
        <f t="array" ref="F749">SUMPRODUCT((ТВ!$A$2:$A$1000='ТВ Каналы'!A749)*(ТВ!$B$2:$B$1000='ТВ Каналы'!D749)*ТВ!$C$2:$C$1000)</f>
        <v>0</v>
      </c>
    </row>
    <row r="750" spans="3:6" x14ac:dyDescent="0.25">
      <c r="C750" s="25" t="str">
        <f t="shared" si="12"/>
        <v/>
      </c>
      <c r="F750" s="29" cm="1">
        <f t="array" ref="F750">SUMPRODUCT((ТВ!$A$2:$A$1000='ТВ Каналы'!A750)*(ТВ!$B$2:$B$1000='ТВ Каналы'!D750)*ТВ!$C$2:$C$1000)</f>
        <v>0</v>
      </c>
    </row>
    <row r="751" spans="3:6" x14ac:dyDescent="0.25">
      <c r="C751" s="25" t="str">
        <f t="shared" si="12"/>
        <v/>
      </c>
      <c r="F751" s="29" cm="1">
        <f t="array" ref="F751">SUMPRODUCT((ТВ!$A$2:$A$1000='ТВ Каналы'!A751)*(ТВ!$B$2:$B$1000='ТВ Каналы'!D751)*ТВ!$C$2:$C$1000)</f>
        <v>0</v>
      </c>
    </row>
    <row r="752" spans="3:6" x14ac:dyDescent="0.25">
      <c r="C752" s="25" t="str">
        <f t="shared" si="12"/>
        <v/>
      </c>
      <c r="F752" s="29" cm="1">
        <f t="array" ref="F752">SUMPRODUCT((ТВ!$A$2:$A$1000='ТВ Каналы'!A752)*(ТВ!$B$2:$B$1000='ТВ Каналы'!D752)*ТВ!$C$2:$C$1000)</f>
        <v>0</v>
      </c>
    </row>
    <row r="753" spans="3:6" x14ac:dyDescent="0.25">
      <c r="C753" s="25" t="str">
        <f t="shared" si="12"/>
        <v/>
      </c>
      <c r="F753" s="29" cm="1">
        <f t="array" ref="F753">SUMPRODUCT((ТВ!$A$2:$A$1000='ТВ Каналы'!A753)*(ТВ!$B$2:$B$1000='ТВ Каналы'!D753)*ТВ!$C$2:$C$1000)</f>
        <v>0</v>
      </c>
    </row>
    <row r="754" spans="3:6" x14ac:dyDescent="0.25">
      <c r="C754" s="25" t="str">
        <f t="shared" si="12"/>
        <v/>
      </c>
      <c r="F754" s="29" cm="1">
        <f t="array" ref="F754">SUMPRODUCT((ТВ!$A$2:$A$1000='ТВ Каналы'!A754)*(ТВ!$B$2:$B$1000='ТВ Каналы'!D754)*ТВ!$C$2:$C$1000)</f>
        <v>0</v>
      </c>
    </row>
    <row r="755" spans="3:6" x14ac:dyDescent="0.25">
      <c r="C755" s="25" t="str">
        <f t="shared" si="12"/>
        <v/>
      </c>
      <c r="F755" s="29" cm="1">
        <f t="array" ref="F755">SUMPRODUCT((ТВ!$A$2:$A$1000='ТВ Каналы'!A755)*(ТВ!$B$2:$B$1000='ТВ Каналы'!D755)*ТВ!$C$2:$C$1000)</f>
        <v>0</v>
      </c>
    </row>
    <row r="756" spans="3:6" x14ac:dyDescent="0.25">
      <c r="C756" s="25" t="str">
        <f t="shared" si="12"/>
        <v/>
      </c>
      <c r="F756" s="29" cm="1">
        <f t="array" ref="F756">SUMPRODUCT((ТВ!$A$2:$A$1000='ТВ Каналы'!A756)*(ТВ!$B$2:$B$1000='ТВ Каналы'!D756)*ТВ!$C$2:$C$1000)</f>
        <v>0</v>
      </c>
    </row>
    <row r="757" spans="3:6" x14ac:dyDescent="0.25">
      <c r="C757" s="25" t="str">
        <f t="shared" si="12"/>
        <v/>
      </c>
      <c r="F757" s="29" cm="1">
        <f t="array" ref="F757">SUMPRODUCT((ТВ!$A$2:$A$1000='ТВ Каналы'!A757)*(ТВ!$B$2:$B$1000='ТВ Каналы'!D757)*ТВ!$C$2:$C$1000)</f>
        <v>0</v>
      </c>
    </row>
    <row r="758" spans="3:6" x14ac:dyDescent="0.25">
      <c r="C758" s="25" t="str">
        <f t="shared" si="12"/>
        <v/>
      </c>
      <c r="F758" s="29" cm="1">
        <f t="array" ref="F758">SUMPRODUCT((ТВ!$A$2:$A$1000='ТВ Каналы'!A758)*(ТВ!$B$2:$B$1000='ТВ Каналы'!D758)*ТВ!$C$2:$C$1000)</f>
        <v>0</v>
      </c>
    </row>
    <row r="759" spans="3:6" x14ac:dyDescent="0.25">
      <c r="C759" s="25" t="str">
        <f t="shared" si="12"/>
        <v/>
      </c>
      <c r="F759" s="29" cm="1">
        <f t="array" ref="F759">SUMPRODUCT((ТВ!$A$2:$A$1000='ТВ Каналы'!A759)*(ТВ!$B$2:$B$1000='ТВ Каналы'!D759)*ТВ!$C$2:$C$1000)</f>
        <v>0</v>
      </c>
    </row>
    <row r="760" spans="3:6" x14ac:dyDescent="0.25">
      <c r="C760" s="25" t="str">
        <f t="shared" si="12"/>
        <v/>
      </c>
      <c r="F760" s="29" cm="1">
        <f t="array" ref="F760">SUMPRODUCT((ТВ!$A$2:$A$1000='ТВ Каналы'!A760)*(ТВ!$B$2:$B$1000='ТВ Каналы'!D760)*ТВ!$C$2:$C$1000)</f>
        <v>0</v>
      </c>
    </row>
    <row r="761" spans="3:6" x14ac:dyDescent="0.25">
      <c r="C761" s="25" t="str">
        <f t="shared" si="12"/>
        <v/>
      </c>
      <c r="F761" s="29" cm="1">
        <f t="array" ref="F761">SUMPRODUCT((ТВ!$A$2:$A$1000='ТВ Каналы'!A761)*(ТВ!$B$2:$B$1000='ТВ Каналы'!D761)*ТВ!$C$2:$C$1000)</f>
        <v>0</v>
      </c>
    </row>
    <row r="762" spans="3:6" x14ac:dyDescent="0.25">
      <c r="C762" s="25" t="str">
        <f t="shared" si="12"/>
        <v/>
      </c>
      <c r="F762" s="29" cm="1">
        <f t="array" ref="F762">SUMPRODUCT((ТВ!$A$2:$A$1000='ТВ Каналы'!A762)*(ТВ!$B$2:$B$1000='ТВ Каналы'!D762)*ТВ!$C$2:$C$1000)</f>
        <v>0</v>
      </c>
    </row>
    <row r="763" spans="3:6" x14ac:dyDescent="0.25">
      <c r="C763" s="25" t="str">
        <f t="shared" si="12"/>
        <v/>
      </c>
      <c r="F763" s="29" cm="1">
        <f t="array" ref="F763">SUMPRODUCT((ТВ!$A$2:$A$1000='ТВ Каналы'!A763)*(ТВ!$B$2:$B$1000='ТВ Каналы'!D763)*ТВ!$C$2:$C$1000)</f>
        <v>0</v>
      </c>
    </row>
    <row r="764" spans="3:6" x14ac:dyDescent="0.25">
      <c r="C764" s="25" t="str">
        <f t="shared" si="12"/>
        <v/>
      </c>
      <c r="F764" s="29" cm="1">
        <f t="array" ref="F764">SUMPRODUCT((ТВ!$A$2:$A$1000='ТВ Каналы'!A764)*(ТВ!$B$2:$B$1000='ТВ Каналы'!D764)*ТВ!$C$2:$C$1000)</f>
        <v>0</v>
      </c>
    </row>
    <row r="765" spans="3:6" x14ac:dyDescent="0.25">
      <c r="C765" s="25" t="str">
        <f t="shared" si="12"/>
        <v/>
      </c>
      <c r="F765" s="29" cm="1">
        <f t="array" ref="F765">SUMPRODUCT((ТВ!$A$2:$A$1000='ТВ Каналы'!A765)*(ТВ!$B$2:$B$1000='ТВ Каналы'!D765)*ТВ!$C$2:$C$1000)</f>
        <v>0</v>
      </c>
    </row>
    <row r="766" spans="3:6" x14ac:dyDescent="0.25">
      <c r="C766" s="25" t="str">
        <f t="shared" si="12"/>
        <v/>
      </c>
      <c r="F766" s="29" cm="1">
        <f t="array" ref="F766">SUMPRODUCT((ТВ!$A$2:$A$1000='ТВ Каналы'!A766)*(ТВ!$B$2:$B$1000='ТВ Каналы'!D766)*ТВ!$C$2:$C$1000)</f>
        <v>0</v>
      </c>
    </row>
    <row r="767" spans="3:6" x14ac:dyDescent="0.25">
      <c r="C767" s="25" t="str">
        <f t="shared" si="12"/>
        <v/>
      </c>
      <c r="F767" s="29" cm="1">
        <f t="array" ref="F767">SUMPRODUCT((ТВ!$A$2:$A$1000='ТВ Каналы'!A767)*(ТВ!$B$2:$B$1000='ТВ Каналы'!D767)*ТВ!$C$2:$C$1000)</f>
        <v>0</v>
      </c>
    </row>
    <row r="768" spans="3:6" x14ac:dyDescent="0.25">
      <c r="C768" s="25" t="str">
        <f t="shared" si="12"/>
        <v/>
      </c>
      <c r="F768" s="29" cm="1">
        <f t="array" ref="F768">SUMPRODUCT((ТВ!$A$2:$A$1000='ТВ Каналы'!A768)*(ТВ!$B$2:$B$1000='ТВ Каналы'!D768)*ТВ!$C$2:$C$1000)</f>
        <v>0</v>
      </c>
    </row>
    <row r="769" spans="3:6" x14ac:dyDescent="0.25">
      <c r="C769" s="25" t="str">
        <f t="shared" si="12"/>
        <v/>
      </c>
      <c r="F769" s="29" cm="1">
        <f t="array" ref="F769">SUMPRODUCT((ТВ!$A$2:$A$1000='ТВ Каналы'!A769)*(ТВ!$B$2:$B$1000='ТВ Каналы'!D769)*ТВ!$C$2:$C$1000)</f>
        <v>0</v>
      </c>
    </row>
    <row r="770" spans="3:6" x14ac:dyDescent="0.25">
      <c r="C770" s="25" t="str">
        <f t="shared" si="12"/>
        <v/>
      </c>
      <c r="F770" s="29" cm="1">
        <f t="array" ref="F770">SUMPRODUCT((ТВ!$A$2:$A$1000='ТВ Каналы'!A770)*(ТВ!$B$2:$B$1000='ТВ Каналы'!D770)*ТВ!$C$2:$C$1000)</f>
        <v>0</v>
      </c>
    </row>
    <row r="771" spans="3:6" x14ac:dyDescent="0.25">
      <c r="C771" s="25" t="str">
        <f t="shared" ref="C771:C834" si="13">_xlfn.CONCAT(A771,B771)</f>
        <v/>
      </c>
      <c r="F771" s="29" cm="1">
        <f t="array" ref="F771">SUMPRODUCT((ТВ!$A$2:$A$1000='ТВ Каналы'!A771)*(ТВ!$B$2:$B$1000='ТВ Каналы'!D771)*ТВ!$C$2:$C$1000)</f>
        <v>0</v>
      </c>
    </row>
    <row r="772" spans="3:6" x14ac:dyDescent="0.25">
      <c r="C772" s="25" t="str">
        <f t="shared" si="13"/>
        <v/>
      </c>
      <c r="F772" s="29" cm="1">
        <f t="array" ref="F772">SUMPRODUCT((ТВ!$A$2:$A$1000='ТВ Каналы'!A772)*(ТВ!$B$2:$B$1000='ТВ Каналы'!D772)*ТВ!$C$2:$C$1000)</f>
        <v>0</v>
      </c>
    </row>
    <row r="773" spans="3:6" x14ac:dyDescent="0.25">
      <c r="C773" s="25" t="str">
        <f t="shared" si="13"/>
        <v/>
      </c>
      <c r="F773" s="29" cm="1">
        <f t="array" ref="F773">SUMPRODUCT((ТВ!$A$2:$A$1000='ТВ Каналы'!A773)*(ТВ!$B$2:$B$1000='ТВ Каналы'!D773)*ТВ!$C$2:$C$1000)</f>
        <v>0</v>
      </c>
    </row>
    <row r="774" spans="3:6" x14ac:dyDescent="0.25">
      <c r="C774" s="25" t="str">
        <f t="shared" si="13"/>
        <v/>
      </c>
      <c r="F774" s="29" cm="1">
        <f t="array" ref="F774">SUMPRODUCT((ТВ!$A$2:$A$1000='ТВ Каналы'!A774)*(ТВ!$B$2:$B$1000='ТВ Каналы'!D774)*ТВ!$C$2:$C$1000)</f>
        <v>0</v>
      </c>
    </row>
    <row r="775" spans="3:6" x14ac:dyDescent="0.25">
      <c r="C775" s="25" t="str">
        <f t="shared" si="13"/>
        <v/>
      </c>
      <c r="F775" s="29" cm="1">
        <f t="array" ref="F775">SUMPRODUCT((ТВ!$A$2:$A$1000='ТВ Каналы'!A775)*(ТВ!$B$2:$B$1000='ТВ Каналы'!D775)*ТВ!$C$2:$C$1000)</f>
        <v>0</v>
      </c>
    </row>
    <row r="776" spans="3:6" x14ac:dyDescent="0.25">
      <c r="C776" s="25" t="str">
        <f t="shared" si="13"/>
        <v/>
      </c>
      <c r="F776" s="29" cm="1">
        <f t="array" ref="F776">SUMPRODUCT((ТВ!$A$2:$A$1000='ТВ Каналы'!A776)*(ТВ!$B$2:$B$1000='ТВ Каналы'!D776)*ТВ!$C$2:$C$1000)</f>
        <v>0</v>
      </c>
    </row>
    <row r="777" spans="3:6" x14ac:dyDescent="0.25">
      <c r="C777" s="25" t="str">
        <f t="shared" si="13"/>
        <v/>
      </c>
      <c r="F777" s="29" cm="1">
        <f t="array" ref="F777">SUMPRODUCT((ТВ!$A$2:$A$1000='ТВ Каналы'!A777)*(ТВ!$B$2:$B$1000='ТВ Каналы'!D777)*ТВ!$C$2:$C$1000)</f>
        <v>0</v>
      </c>
    </row>
    <row r="778" spans="3:6" x14ac:dyDescent="0.25">
      <c r="C778" s="25" t="str">
        <f t="shared" si="13"/>
        <v/>
      </c>
      <c r="F778" s="29" cm="1">
        <f t="array" ref="F778">SUMPRODUCT((ТВ!$A$2:$A$1000='ТВ Каналы'!A778)*(ТВ!$B$2:$B$1000='ТВ Каналы'!D778)*ТВ!$C$2:$C$1000)</f>
        <v>0</v>
      </c>
    </row>
    <row r="779" spans="3:6" x14ac:dyDescent="0.25">
      <c r="C779" s="25" t="str">
        <f t="shared" si="13"/>
        <v/>
      </c>
      <c r="F779" s="29" cm="1">
        <f t="array" ref="F779">SUMPRODUCT((ТВ!$A$2:$A$1000='ТВ Каналы'!A779)*(ТВ!$B$2:$B$1000='ТВ Каналы'!D779)*ТВ!$C$2:$C$1000)</f>
        <v>0</v>
      </c>
    </row>
    <row r="780" spans="3:6" x14ac:dyDescent="0.25">
      <c r="C780" s="25" t="str">
        <f t="shared" si="13"/>
        <v/>
      </c>
      <c r="F780" s="29" cm="1">
        <f t="array" ref="F780">SUMPRODUCT((ТВ!$A$2:$A$1000='ТВ Каналы'!A780)*(ТВ!$B$2:$B$1000='ТВ Каналы'!D780)*ТВ!$C$2:$C$1000)</f>
        <v>0</v>
      </c>
    </row>
    <row r="781" spans="3:6" x14ac:dyDescent="0.25">
      <c r="C781" s="25" t="str">
        <f t="shared" si="13"/>
        <v/>
      </c>
      <c r="F781" s="29" cm="1">
        <f t="array" ref="F781">SUMPRODUCT((ТВ!$A$2:$A$1000='ТВ Каналы'!A781)*(ТВ!$B$2:$B$1000='ТВ Каналы'!D781)*ТВ!$C$2:$C$1000)</f>
        <v>0</v>
      </c>
    </row>
    <row r="782" spans="3:6" x14ac:dyDescent="0.25">
      <c r="C782" s="25" t="str">
        <f t="shared" si="13"/>
        <v/>
      </c>
      <c r="F782" s="29" cm="1">
        <f t="array" ref="F782">SUMPRODUCT((ТВ!$A$2:$A$1000='ТВ Каналы'!A782)*(ТВ!$B$2:$B$1000='ТВ Каналы'!D782)*ТВ!$C$2:$C$1000)</f>
        <v>0</v>
      </c>
    </row>
    <row r="783" spans="3:6" x14ac:dyDescent="0.25">
      <c r="C783" s="25" t="str">
        <f t="shared" si="13"/>
        <v/>
      </c>
      <c r="F783" s="29" cm="1">
        <f t="array" ref="F783">SUMPRODUCT((ТВ!$A$2:$A$1000='ТВ Каналы'!A783)*(ТВ!$B$2:$B$1000='ТВ Каналы'!D783)*ТВ!$C$2:$C$1000)</f>
        <v>0</v>
      </c>
    </row>
    <row r="784" spans="3:6" x14ac:dyDescent="0.25">
      <c r="C784" s="25" t="str">
        <f t="shared" si="13"/>
        <v/>
      </c>
      <c r="F784" s="29" cm="1">
        <f t="array" ref="F784">SUMPRODUCT((ТВ!$A$2:$A$1000='ТВ Каналы'!A784)*(ТВ!$B$2:$B$1000='ТВ Каналы'!D784)*ТВ!$C$2:$C$1000)</f>
        <v>0</v>
      </c>
    </row>
    <row r="785" spans="3:6" x14ac:dyDescent="0.25">
      <c r="C785" s="25" t="str">
        <f t="shared" si="13"/>
        <v/>
      </c>
      <c r="F785" s="29" cm="1">
        <f t="array" ref="F785">SUMPRODUCT((ТВ!$A$2:$A$1000='ТВ Каналы'!A785)*(ТВ!$B$2:$B$1000='ТВ Каналы'!D785)*ТВ!$C$2:$C$1000)</f>
        <v>0</v>
      </c>
    </row>
    <row r="786" spans="3:6" x14ac:dyDescent="0.25">
      <c r="C786" s="25" t="str">
        <f t="shared" si="13"/>
        <v/>
      </c>
      <c r="F786" s="29" cm="1">
        <f t="array" ref="F786">SUMPRODUCT((ТВ!$A$2:$A$1000='ТВ Каналы'!A786)*(ТВ!$B$2:$B$1000='ТВ Каналы'!D786)*ТВ!$C$2:$C$1000)</f>
        <v>0</v>
      </c>
    </row>
    <row r="787" spans="3:6" x14ac:dyDescent="0.25">
      <c r="C787" s="25" t="str">
        <f t="shared" si="13"/>
        <v/>
      </c>
      <c r="F787" s="29" cm="1">
        <f t="array" ref="F787">SUMPRODUCT((ТВ!$A$2:$A$1000='ТВ Каналы'!A787)*(ТВ!$B$2:$B$1000='ТВ Каналы'!D787)*ТВ!$C$2:$C$1000)</f>
        <v>0</v>
      </c>
    </row>
    <row r="788" spans="3:6" x14ac:dyDescent="0.25">
      <c r="C788" s="25" t="str">
        <f t="shared" si="13"/>
        <v/>
      </c>
      <c r="F788" s="29" cm="1">
        <f t="array" ref="F788">SUMPRODUCT((ТВ!$A$2:$A$1000='ТВ Каналы'!A788)*(ТВ!$B$2:$B$1000='ТВ Каналы'!D788)*ТВ!$C$2:$C$1000)</f>
        <v>0</v>
      </c>
    </row>
    <row r="789" spans="3:6" x14ac:dyDescent="0.25">
      <c r="C789" s="25" t="str">
        <f t="shared" si="13"/>
        <v/>
      </c>
      <c r="F789" s="29" cm="1">
        <f t="array" ref="F789">SUMPRODUCT((ТВ!$A$2:$A$1000='ТВ Каналы'!A789)*(ТВ!$B$2:$B$1000='ТВ Каналы'!D789)*ТВ!$C$2:$C$1000)</f>
        <v>0</v>
      </c>
    </row>
    <row r="790" spans="3:6" x14ac:dyDescent="0.25">
      <c r="C790" s="25" t="str">
        <f t="shared" si="13"/>
        <v/>
      </c>
      <c r="F790" s="29" cm="1">
        <f t="array" ref="F790">SUMPRODUCT((ТВ!$A$2:$A$1000='ТВ Каналы'!A790)*(ТВ!$B$2:$B$1000='ТВ Каналы'!D790)*ТВ!$C$2:$C$1000)</f>
        <v>0</v>
      </c>
    </row>
    <row r="791" spans="3:6" x14ac:dyDescent="0.25">
      <c r="C791" s="25" t="str">
        <f t="shared" si="13"/>
        <v/>
      </c>
      <c r="F791" s="29" cm="1">
        <f t="array" ref="F791">SUMPRODUCT((ТВ!$A$2:$A$1000='ТВ Каналы'!A791)*(ТВ!$B$2:$B$1000='ТВ Каналы'!D791)*ТВ!$C$2:$C$1000)</f>
        <v>0</v>
      </c>
    </row>
    <row r="792" spans="3:6" x14ac:dyDescent="0.25">
      <c r="C792" s="25" t="str">
        <f t="shared" si="13"/>
        <v/>
      </c>
      <c r="F792" s="29" cm="1">
        <f t="array" ref="F792">SUMPRODUCT((ТВ!$A$2:$A$1000='ТВ Каналы'!A792)*(ТВ!$B$2:$B$1000='ТВ Каналы'!D792)*ТВ!$C$2:$C$1000)</f>
        <v>0</v>
      </c>
    </row>
    <row r="793" spans="3:6" x14ac:dyDescent="0.25">
      <c r="C793" s="25" t="str">
        <f t="shared" si="13"/>
        <v/>
      </c>
      <c r="F793" s="29" cm="1">
        <f t="array" ref="F793">SUMPRODUCT((ТВ!$A$2:$A$1000='ТВ Каналы'!A793)*(ТВ!$B$2:$B$1000='ТВ Каналы'!D793)*ТВ!$C$2:$C$1000)</f>
        <v>0</v>
      </c>
    </row>
    <row r="794" spans="3:6" x14ac:dyDescent="0.25">
      <c r="C794" s="25" t="str">
        <f t="shared" si="13"/>
        <v/>
      </c>
      <c r="F794" s="29" cm="1">
        <f t="array" ref="F794">SUMPRODUCT((ТВ!$A$2:$A$1000='ТВ Каналы'!A794)*(ТВ!$B$2:$B$1000='ТВ Каналы'!D794)*ТВ!$C$2:$C$1000)</f>
        <v>0</v>
      </c>
    </row>
    <row r="795" spans="3:6" x14ac:dyDescent="0.25">
      <c r="C795" s="25" t="str">
        <f t="shared" si="13"/>
        <v/>
      </c>
      <c r="F795" s="29" cm="1">
        <f t="array" ref="F795">SUMPRODUCT((ТВ!$A$2:$A$1000='ТВ Каналы'!A795)*(ТВ!$B$2:$B$1000='ТВ Каналы'!D795)*ТВ!$C$2:$C$1000)</f>
        <v>0</v>
      </c>
    </row>
    <row r="796" spans="3:6" x14ac:dyDescent="0.25">
      <c r="C796" s="25" t="str">
        <f t="shared" si="13"/>
        <v/>
      </c>
      <c r="F796" s="29" cm="1">
        <f t="array" ref="F796">SUMPRODUCT((ТВ!$A$2:$A$1000='ТВ Каналы'!A796)*(ТВ!$B$2:$B$1000='ТВ Каналы'!D796)*ТВ!$C$2:$C$1000)</f>
        <v>0</v>
      </c>
    </row>
    <row r="797" spans="3:6" x14ac:dyDescent="0.25">
      <c r="C797" s="25" t="str">
        <f t="shared" si="13"/>
        <v/>
      </c>
      <c r="F797" s="29" cm="1">
        <f t="array" ref="F797">SUMPRODUCT((ТВ!$A$2:$A$1000='ТВ Каналы'!A797)*(ТВ!$B$2:$B$1000='ТВ Каналы'!D797)*ТВ!$C$2:$C$1000)</f>
        <v>0</v>
      </c>
    </row>
    <row r="798" spans="3:6" x14ac:dyDescent="0.25">
      <c r="C798" s="25" t="str">
        <f t="shared" si="13"/>
        <v/>
      </c>
      <c r="F798" s="29" cm="1">
        <f t="array" ref="F798">SUMPRODUCT((ТВ!$A$2:$A$1000='ТВ Каналы'!A798)*(ТВ!$B$2:$B$1000='ТВ Каналы'!D798)*ТВ!$C$2:$C$1000)</f>
        <v>0</v>
      </c>
    </row>
    <row r="799" spans="3:6" x14ac:dyDescent="0.25">
      <c r="C799" s="25" t="str">
        <f t="shared" si="13"/>
        <v/>
      </c>
      <c r="F799" s="29" cm="1">
        <f t="array" ref="F799">SUMPRODUCT((ТВ!$A$2:$A$1000='ТВ Каналы'!A799)*(ТВ!$B$2:$B$1000='ТВ Каналы'!D799)*ТВ!$C$2:$C$1000)</f>
        <v>0</v>
      </c>
    </row>
    <row r="800" spans="3:6" x14ac:dyDescent="0.25">
      <c r="C800" s="25" t="str">
        <f t="shared" si="13"/>
        <v/>
      </c>
      <c r="F800" s="29" cm="1">
        <f t="array" ref="F800">SUMPRODUCT((ТВ!$A$2:$A$1000='ТВ Каналы'!A800)*(ТВ!$B$2:$B$1000='ТВ Каналы'!D800)*ТВ!$C$2:$C$1000)</f>
        <v>0</v>
      </c>
    </row>
    <row r="801" spans="3:6" x14ac:dyDescent="0.25">
      <c r="C801" s="25" t="str">
        <f t="shared" si="13"/>
        <v/>
      </c>
      <c r="F801" s="29" cm="1">
        <f t="array" ref="F801">SUMPRODUCT((ТВ!$A$2:$A$1000='ТВ Каналы'!A801)*(ТВ!$B$2:$B$1000='ТВ Каналы'!D801)*ТВ!$C$2:$C$1000)</f>
        <v>0</v>
      </c>
    </row>
    <row r="802" spans="3:6" x14ac:dyDescent="0.25">
      <c r="C802" s="25" t="str">
        <f t="shared" si="13"/>
        <v/>
      </c>
      <c r="F802" s="29" cm="1">
        <f t="array" ref="F802">SUMPRODUCT((ТВ!$A$2:$A$1000='ТВ Каналы'!A802)*(ТВ!$B$2:$B$1000='ТВ Каналы'!D802)*ТВ!$C$2:$C$1000)</f>
        <v>0</v>
      </c>
    </row>
    <row r="803" spans="3:6" x14ac:dyDescent="0.25">
      <c r="C803" s="25" t="str">
        <f t="shared" si="13"/>
        <v/>
      </c>
      <c r="F803" s="29" cm="1">
        <f t="array" ref="F803">SUMPRODUCT((ТВ!$A$2:$A$1000='ТВ Каналы'!A803)*(ТВ!$B$2:$B$1000='ТВ Каналы'!D803)*ТВ!$C$2:$C$1000)</f>
        <v>0</v>
      </c>
    </row>
    <row r="804" spans="3:6" x14ac:dyDescent="0.25">
      <c r="C804" s="25" t="str">
        <f t="shared" si="13"/>
        <v/>
      </c>
      <c r="F804" s="29" cm="1">
        <f t="array" ref="F804">SUMPRODUCT((ТВ!$A$2:$A$1000='ТВ Каналы'!A804)*(ТВ!$B$2:$B$1000='ТВ Каналы'!D804)*ТВ!$C$2:$C$1000)</f>
        <v>0</v>
      </c>
    </row>
    <row r="805" spans="3:6" x14ac:dyDescent="0.25">
      <c r="C805" s="25" t="str">
        <f t="shared" si="13"/>
        <v/>
      </c>
      <c r="F805" s="29" cm="1">
        <f t="array" ref="F805">SUMPRODUCT((ТВ!$A$2:$A$1000='ТВ Каналы'!A805)*(ТВ!$B$2:$B$1000='ТВ Каналы'!D805)*ТВ!$C$2:$C$1000)</f>
        <v>0</v>
      </c>
    </row>
    <row r="806" spans="3:6" x14ac:dyDescent="0.25">
      <c r="C806" s="25" t="str">
        <f t="shared" si="13"/>
        <v/>
      </c>
      <c r="F806" s="29" cm="1">
        <f t="array" ref="F806">SUMPRODUCT((ТВ!$A$2:$A$1000='ТВ Каналы'!A806)*(ТВ!$B$2:$B$1000='ТВ Каналы'!D806)*ТВ!$C$2:$C$1000)</f>
        <v>0</v>
      </c>
    </row>
    <row r="807" spans="3:6" x14ac:dyDescent="0.25">
      <c r="C807" s="25" t="str">
        <f t="shared" si="13"/>
        <v/>
      </c>
      <c r="F807" s="29" cm="1">
        <f t="array" ref="F807">SUMPRODUCT((ТВ!$A$2:$A$1000='ТВ Каналы'!A807)*(ТВ!$B$2:$B$1000='ТВ Каналы'!D807)*ТВ!$C$2:$C$1000)</f>
        <v>0</v>
      </c>
    </row>
    <row r="808" spans="3:6" x14ac:dyDescent="0.25">
      <c r="C808" s="25" t="str">
        <f t="shared" si="13"/>
        <v/>
      </c>
      <c r="F808" s="29" cm="1">
        <f t="array" ref="F808">SUMPRODUCT((ТВ!$A$2:$A$1000='ТВ Каналы'!A808)*(ТВ!$B$2:$B$1000='ТВ Каналы'!D808)*ТВ!$C$2:$C$1000)</f>
        <v>0</v>
      </c>
    </row>
    <row r="809" spans="3:6" x14ac:dyDescent="0.25">
      <c r="C809" s="25" t="str">
        <f t="shared" si="13"/>
        <v/>
      </c>
      <c r="F809" s="29" cm="1">
        <f t="array" ref="F809">SUMPRODUCT((ТВ!$A$2:$A$1000='ТВ Каналы'!A809)*(ТВ!$B$2:$B$1000='ТВ Каналы'!D809)*ТВ!$C$2:$C$1000)</f>
        <v>0</v>
      </c>
    </row>
    <row r="810" spans="3:6" x14ac:dyDescent="0.25">
      <c r="C810" s="25" t="str">
        <f t="shared" si="13"/>
        <v/>
      </c>
      <c r="F810" s="29" cm="1">
        <f t="array" ref="F810">SUMPRODUCT((ТВ!$A$2:$A$1000='ТВ Каналы'!A810)*(ТВ!$B$2:$B$1000='ТВ Каналы'!D810)*ТВ!$C$2:$C$1000)</f>
        <v>0</v>
      </c>
    </row>
    <row r="811" spans="3:6" x14ac:dyDescent="0.25">
      <c r="C811" s="25" t="str">
        <f t="shared" si="13"/>
        <v/>
      </c>
      <c r="F811" s="29" cm="1">
        <f t="array" ref="F811">SUMPRODUCT((ТВ!$A$2:$A$1000='ТВ Каналы'!A811)*(ТВ!$B$2:$B$1000='ТВ Каналы'!D811)*ТВ!$C$2:$C$1000)</f>
        <v>0</v>
      </c>
    </row>
    <row r="812" spans="3:6" x14ac:dyDescent="0.25">
      <c r="C812" s="25" t="str">
        <f t="shared" si="13"/>
        <v/>
      </c>
      <c r="F812" s="29" cm="1">
        <f t="array" ref="F812">SUMPRODUCT((ТВ!$A$2:$A$1000='ТВ Каналы'!A812)*(ТВ!$B$2:$B$1000='ТВ Каналы'!D812)*ТВ!$C$2:$C$1000)</f>
        <v>0</v>
      </c>
    </row>
    <row r="813" spans="3:6" x14ac:dyDescent="0.25">
      <c r="C813" s="25" t="str">
        <f t="shared" si="13"/>
        <v/>
      </c>
      <c r="F813" s="29" cm="1">
        <f t="array" ref="F813">SUMPRODUCT((ТВ!$A$2:$A$1000='ТВ Каналы'!A813)*(ТВ!$B$2:$B$1000='ТВ Каналы'!D813)*ТВ!$C$2:$C$1000)</f>
        <v>0</v>
      </c>
    </row>
    <row r="814" spans="3:6" x14ac:dyDescent="0.25">
      <c r="C814" s="25" t="str">
        <f t="shared" si="13"/>
        <v/>
      </c>
      <c r="F814" s="29" cm="1">
        <f t="array" ref="F814">SUMPRODUCT((ТВ!$A$2:$A$1000='ТВ Каналы'!A814)*(ТВ!$B$2:$B$1000='ТВ Каналы'!D814)*ТВ!$C$2:$C$1000)</f>
        <v>0</v>
      </c>
    </row>
    <row r="815" spans="3:6" x14ac:dyDescent="0.25">
      <c r="C815" s="25" t="str">
        <f t="shared" si="13"/>
        <v/>
      </c>
      <c r="F815" s="29" cm="1">
        <f t="array" ref="F815">SUMPRODUCT((ТВ!$A$2:$A$1000='ТВ Каналы'!A815)*(ТВ!$B$2:$B$1000='ТВ Каналы'!D815)*ТВ!$C$2:$C$1000)</f>
        <v>0</v>
      </c>
    </row>
    <row r="816" spans="3:6" x14ac:dyDescent="0.25">
      <c r="C816" s="25" t="str">
        <f t="shared" si="13"/>
        <v/>
      </c>
      <c r="F816" s="29" cm="1">
        <f t="array" ref="F816">SUMPRODUCT((ТВ!$A$2:$A$1000='ТВ Каналы'!A816)*(ТВ!$B$2:$B$1000='ТВ Каналы'!D816)*ТВ!$C$2:$C$1000)</f>
        <v>0</v>
      </c>
    </row>
    <row r="817" spans="3:6" x14ac:dyDescent="0.25">
      <c r="C817" s="25" t="str">
        <f t="shared" si="13"/>
        <v/>
      </c>
      <c r="F817" s="29" cm="1">
        <f t="array" ref="F817">SUMPRODUCT((ТВ!$A$2:$A$1000='ТВ Каналы'!A817)*(ТВ!$B$2:$B$1000='ТВ Каналы'!D817)*ТВ!$C$2:$C$1000)</f>
        <v>0</v>
      </c>
    </row>
    <row r="818" spans="3:6" x14ac:dyDescent="0.25">
      <c r="C818" s="25" t="str">
        <f t="shared" si="13"/>
        <v/>
      </c>
      <c r="F818" s="29" cm="1">
        <f t="array" ref="F818">SUMPRODUCT((ТВ!$A$2:$A$1000='ТВ Каналы'!A818)*(ТВ!$B$2:$B$1000='ТВ Каналы'!D818)*ТВ!$C$2:$C$1000)</f>
        <v>0</v>
      </c>
    </row>
    <row r="819" spans="3:6" x14ac:dyDescent="0.25">
      <c r="C819" s="25" t="str">
        <f t="shared" si="13"/>
        <v/>
      </c>
      <c r="F819" s="29" cm="1">
        <f t="array" ref="F819">SUMPRODUCT((ТВ!$A$2:$A$1000='ТВ Каналы'!A819)*(ТВ!$B$2:$B$1000='ТВ Каналы'!D819)*ТВ!$C$2:$C$1000)</f>
        <v>0</v>
      </c>
    </row>
    <row r="820" spans="3:6" x14ac:dyDescent="0.25">
      <c r="C820" s="25" t="str">
        <f t="shared" si="13"/>
        <v/>
      </c>
      <c r="F820" s="29" cm="1">
        <f t="array" ref="F820">SUMPRODUCT((ТВ!$A$2:$A$1000='ТВ Каналы'!A820)*(ТВ!$B$2:$B$1000='ТВ Каналы'!D820)*ТВ!$C$2:$C$1000)</f>
        <v>0</v>
      </c>
    </row>
    <row r="821" spans="3:6" x14ac:dyDescent="0.25">
      <c r="C821" s="25" t="str">
        <f t="shared" si="13"/>
        <v/>
      </c>
      <c r="F821" s="29" cm="1">
        <f t="array" ref="F821">SUMPRODUCT((ТВ!$A$2:$A$1000='ТВ Каналы'!A821)*(ТВ!$B$2:$B$1000='ТВ Каналы'!D821)*ТВ!$C$2:$C$1000)</f>
        <v>0</v>
      </c>
    </row>
    <row r="822" spans="3:6" x14ac:dyDescent="0.25">
      <c r="C822" s="25" t="str">
        <f t="shared" si="13"/>
        <v/>
      </c>
      <c r="F822" s="29" cm="1">
        <f t="array" ref="F822">SUMPRODUCT((ТВ!$A$2:$A$1000='ТВ Каналы'!A822)*(ТВ!$B$2:$B$1000='ТВ Каналы'!D822)*ТВ!$C$2:$C$1000)</f>
        <v>0</v>
      </c>
    </row>
    <row r="823" spans="3:6" x14ac:dyDescent="0.25">
      <c r="C823" s="25" t="str">
        <f t="shared" si="13"/>
        <v/>
      </c>
      <c r="F823" s="29" cm="1">
        <f t="array" ref="F823">SUMPRODUCT((ТВ!$A$2:$A$1000='ТВ Каналы'!A823)*(ТВ!$B$2:$B$1000='ТВ Каналы'!D823)*ТВ!$C$2:$C$1000)</f>
        <v>0</v>
      </c>
    </row>
    <row r="824" spans="3:6" x14ac:dyDescent="0.25">
      <c r="C824" s="25" t="str">
        <f t="shared" si="13"/>
        <v/>
      </c>
      <c r="F824" s="29" cm="1">
        <f t="array" ref="F824">SUMPRODUCT((ТВ!$A$2:$A$1000='ТВ Каналы'!A824)*(ТВ!$B$2:$B$1000='ТВ Каналы'!D824)*ТВ!$C$2:$C$1000)</f>
        <v>0</v>
      </c>
    </row>
    <row r="825" spans="3:6" x14ac:dyDescent="0.25">
      <c r="C825" s="25" t="str">
        <f t="shared" si="13"/>
        <v/>
      </c>
      <c r="F825" s="29" cm="1">
        <f t="array" ref="F825">SUMPRODUCT((ТВ!$A$2:$A$1000='ТВ Каналы'!A825)*(ТВ!$B$2:$B$1000='ТВ Каналы'!D825)*ТВ!$C$2:$C$1000)</f>
        <v>0</v>
      </c>
    </row>
    <row r="826" spans="3:6" x14ac:dyDescent="0.25">
      <c r="C826" s="25" t="str">
        <f t="shared" si="13"/>
        <v/>
      </c>
      <c r="F826" s="29" cm="1">
        <f t="array" ref="F826">SUMPRODUCT((ТВ!$A$2:$A$1000='ТВ Каналы'!A826)*(ТВ!$B$2:$B$1000='ТВ Каналы'!D826)*ТВ!$C$2:$C$1000)</f>
        <v>0</v>
      </c>
    </row>
    <row r="827" spans="3:6" x14ac:dyDescent="0.25">
      <c r="C827" s="25" t="str">
        <f t="shared" si="13"/>
        <v/>
      </c>
      <c r="F827" s="29" cm="1">
        <f t="array" ref="F827">SUMPRODUCT((ТВ!$A$2:$A$1000='ТВ Каналы'!A827)*(ТВ!$B$2:$B$1000='ТВ Каналы'!D827)*ТВ!$C$2:$C$1000)</f>
        <v>0</v>
      </c>
    </row>
    <row r="828" spans="3:6" x14ac:dyDescent="0.25">
      <c r="C828" s="25" t="str">
        <f t="shared" si="13"/>
        <v/>
      </c>
      <c r="F828" s="29" cm="1">
        <f t="array" ref="F828">SUMPRODUCT((ТВ!$A$2:$A$1000='ТВ Каналы'!A828)*(ТВ!$B$2:$B$1000='ТВ Каналы'!D828)*ТВ!$C$2:$C$1000)</f>
        <v>0</v>
      </c>
    </row>
    <row r="829" spans="3:6" x14ac:dyDescent="0.25">
      <c r="C829" s="25" t="str">
        <f t="shared" si="13"/>
        <v/>
      </c>
      <c r="F829" s="29" cm="1">
        <f t="array" ref="F829">SUMPRODUCT((ТВ!$A$2:$A$1000='ТВ Каналы'!A829)*(ТВ!$B$2:$B$1000='ТВ Каналы'!D829)*ТВ!$C$2:$C$1000)</f>
        <v>0</v>
      </c>
    </row>
    <row r="830" spans="3:6" x14ac:dyDescent="0.25">
      <c r="C830" s="25" t="str">
        <f t="shared" si="13"/>
        <v/>
      </c>
      <c r="F830" s="29" cm="1">
        <f t="array" ref="F830">SUMPRODUCT((ТВ!$A$2:$A$1000='ТВ Каналы'!A830)*(ТВ!$B$2:$B$1000='ТВ Каналы'!D830)*ТВ!$C$2:$C$1000)</f>
        <v>0</v>
      </c>
    </row>
    <row r="831" spans="3:6" x14ac:dyDescent="0.25">
      <c r="C831" s="25" t="str">
        <f t="shared" si="13"/>
        <v/>
      </c>
      <c r="F831" s="29" cm="1">
        <f t="array" ref="F831">SUMPRODUCT((ТВ!$A$2:$A$1000='ТВ Каналы'!A831)*(ТВ!$B$2:$B$1000='ТВ Каналы'!D831)*ТВ!$C$2:$C$1000)</f>
        <v>0</v>
      </c>
    </row>
    <row r="832" spans="3:6" x14ac:dyDescent="0.25">
      <c r="C832" s="25" t="str">
        <f t="shared" si="13"/>
        <v/>
      </c>
      <c r="F832" s="29" cm="1">
        <f t="array" ref="F832">SUMPRODUCT((ТВ!$A$2:$A$1000='ТВ Каналы'!A832)*(ТВ!$B$2:$B$1000='ТВ Каналы'!D832)*ТВ!$C$2:$C$1000)</f>
        <v>0</v>
      </c>
    </row>
    <row r="833" spans="3:6" x14ac:dyDescent="0.25">
      <c r="C833" s="25" t="str">
        <f t="shared" si="13"/>
        <v/>
      </c>
      <c r="F833" s="29" cm="1">
        <f t="array" ref="F833">SUMPRODUCT((ТВ!$A$2:$A$1000='ТВ Каналы'!A833)*(ТВ!$B$2:$B$1000='ТВ Каналы'!D833)*ТВ!$C$2:$C$1000)</f>
        <v>0</v>
      </c>
    </row>
    <row r="834" spans="3:6" x14ac:dyDescent="0.25">
      <c r="C834" s="25" t="str">
        <f t="shared" si="13"/>
        <v/>
      </c>
      <c r="F834" s="29" cm="1">
        <f t="array" ref="F834">SUMPRODUCT((ТВ!$A$2:$A$1000='ТВ Каналы'!A834)*(ТВ!$B$2:$B$1000='ТВ Каналы'!D834)*ТВ!$C$2:$C$1000)</f>
        <v>0</v>
      </c>
    </row>
    <row r="835" spans="3:6" x14ac:dyDescent="0.25">
      <c r="C835" s="25" t="str">
        <f t="shared" ref="C835:C898" si="14">_xlfn.CONCAT(A835,B835)</f>
        <v/>
      </c>
      <c r="F835" s="29" cm="1">
        <f t="array" ref="F835">SUMPRODUCT((ТВ!$A$2:$A$1000='ТВ Каналы'!A835)*(ТВ!$B$2:$B$1000='ТВ Каналы'!D835)*ТВ!$C$2:$C$1000)</f>
        <v>0</v>
      </c>
    </row>
    <row r="836" spans="3:6" x14ac:dyDescent="0.25">
      <c r="C836" s="25" t="str">
        <f t="shared" si="14"/>
        <v/>
      </c>
      <c r="F836" s="29" cm="1">
        <f t="array" ref="F836">SUMPRODUCT((ТВ!$A$2:$A$1000='ТВ Каналы'!A836)*(ТВ!$B$2:$B$1000='ТВ Каналы'!D836)*ТВ!$C$2:$C$1000)</f>
        <v>0</v>
      </c>
    </row>
    <row r="837" spans="3:6" x14ac:dyDescent="0.25">
      <c r="C837" s="25" t="str">
        <f t="shared" si="14"/>
        <v/>
      </c>
      <c r="F837" s="29" cm="1">
        <f t="array" ref="F837">SUMPRODUCT((ТВ!$A$2:$A$1000='ТВ Каналы'!A837)*(ТВ!$B$2:$B$1000='ТВ Каналы'!D837)*ТВ!$C$2:$C$1000)</f>
        <v>0</v>
      </c>
    </row>
    <row r="838" spans="3:6" x14ac:dyDescent="0.25">
      <c r="C838" s="25" t="str">
        <f t="shared" si="14"/>
        <v/>
      </c>
      <c r="F838" s="29" cm="1">
        <f t="array" ref="F838">SUMPRODUCT((ТВ!$A$2:$A$1000='ТВ Каналы'!A838)*(ТВ!$B$2:$B$1000='ТВ Каналы'!D838)*ТВ!$C$2:$C$1000)</f>
        <v>0</v>
      </c>
    </row>
    <row r="839" spans="3:6" x14ac:dyDescent="0.25">
      <c r="C839" s="25" t="str">
        <f t="shared" si="14"/>
        <v/>
      </c>
      <c r="F839" s="29" cm="1">
        <f t="array" ref="F839">SUMPRODUCT((ТВ!$A$2:$A$1000='ТВ Каналы'!A839)*(ТВ!$B$2:$B$1000='ТВ Каналы'!D839)*ТВ!$C$2:$C$1000)</f>
        <v>0</v>
      </c>
    </row>
    <row r="840" spans="3:6" x14ac:dyDescent="0.25">
      <c r="C840" s="25" t="str">
        <f t="shared" si="14"/>
        <v/>
      </c>
      <c r="F840" s="29" cm="1">
        <f t="array" ref="F840">SUMPRODUCT((ТВ!$A$2:$A$1000='ТВ Каналы'!A840)*(ТВ!$B$2:$B$1000='ТВ Каналы'!D840)*ТВ!$C$2:$C$1000)</f>
        <v>0</v>
      </c>
    </row>
    <row r="841" spans="3:6" x14ac:dyDescent="0.25">
      <c r="C841" s="25" t="str">
        <f t="shared" si="14"/>
        <v/>
      </c>
      <c r="F841" s="29" cm="1">
        <f t="array" ref="F841">SUMPRODUCT((ТВ!$A$2:$A$1000='ТВ Каналы'!A841)*(ТВ!$B$2:$B$1000='ТВ Каналы'!D841)*ТВ!$C$2:$C$1000)</f>
        <v>0</v>
      </c>
    </row>
    <row r="842" spans="3:6" x14ac:dyDescent="0.25">
      <c r="C842" s="25" t="str">
        <f t="shared" si="14"/>
        <v/>
      </c>
      <c r="F842" s="29" cm="1">
        <f t="array" ref="F842">SUMPRODUCT((ТВ!$A$2:$A$1000='ТВ Каналы'!A842)*(ТВ!$B$2:$B$1000='ТВ Каналы'!D842)*ТВ!$C$2:$C$1000)</f>
        <v>0</v>
      </c>
    </row>
    <row r="843" spans="3:6" x14ac:dyDescent="0.25">
      <c r="C843" s="25" t="str">
        <f t="shared" si="14"/>
        <v/>
      </c>
      <c r="F843" s="29" cm="1">
        <f t="array" ref="F843">SUMPRODUCT((ТВ!$A$2:$A$1000='ТВ Каналы'!A843)*(ТВ!$B$2:$B$1000='ТВ Каналы'!D843)*ТВ!$C$2:$C$1000)</f>
        <v>0</v>
      </c>
    </row>
    <row r="844" spans="3:6" x14ac:dyDescent="0.25">
      <c r="C844" s="25" t="str">
        <f t="shared" si="14"/>
        <v/>
      </c>
      <c r="F844" s="29" cm="1">
        <f t="array" ref="F844">SUMPRODUCT((ТВ!$A$2:$A$1000='ТВ Каналы'!A844)*(ТВ!$B$2:$B$1000='ТВ Каналы'!D844)*ТВ!$C$2:$C$1000)</f>
        <v>0</v>
      </c>
    </row>
    <row r="845" spans="3:6" x14ac:dyDescent="0.25">
      <c r="C845" s="25" t="str">
        <f t="shared" si="14"/>
        <v/>
      </c>
      <c r="F845" s="29" cm="1">
        <f t="array" ref="F845">SUMPRODUCT((ТВ!$A$2:$A$1000='ТВ Каналы'!A845)*(ТВ!$B$2:$B$1000='ТВ Каналы'!D845)*ТВ!$C$2:$C$1000)</f>
        <v>0</v>
      </c>
    </row>
    <row r="846" spans="3:6" x14ac:dyDescent="0.25">
      <c r="C846" s="25" t="str">
        <f t="shared" si="14"/>
        <v/>
      </c>
      <c r="F846" s="29" cm="1">
        <f t="array" ref="F846">SUMPRODUCT((ТВ!$A$2:$A$1000='ТВ Каналы'!A846)*(ТВ!$B$2:$B$1000='ТВ Каналы'!D846)*ТВ!$C$2:$C$1000)</f>
        <v>0</v>
      </c>
    </row>
    <row r="847" spans="3:6" x14ac:dyDescent="0.25">
      <c r="C847" s="25" t="str">
        <f t="shared" si="14"/>
        <v/>
      </c>
      <c r="F847" s="29" cm="1">
        <f t="array" ref="F847">SUMPRODUCT((ТВ!$A$2:$A$1000='ТВ Каналы'!A847)*(ТВ!$B$2:$B$1000='ТВ Каналы'!D847)*ТВ!$C$2:$C$1000)</f>
        <v>0</v>
      </c>
    </row>
    <row r="848" spans="3:6" x14ac:dyDescent="0.25">
      <c r="C848" s="25" t="str">
        <f t="shared" si="14"/>
        <v/>
      </c>
      <c r="F848" s="29" cm="1">
        <f t="array" ref="F848">SUMPRODUCT((ТВ!$A$2:$A$1000='ТВ Каналы'!A848)*(ТВ!$B$2:$B$1000='ТВ Каналы'!D848)*ТВ!$C$2:$C$1000)</f>
        <v>0</v>
      </c>
    </row>
    <row r="849" spans="3:6" x14ac:dyDescent="0.25">
      <c r="C849" s="25" t="str">
        <f t="shared" si="14"/>
        <v/>
      </c>
      <c r="F849" s="29" cm="1">
        <f t="array" ref="F849">SUMPRODUCT((ТВ!$A$2:$A$1000='ТВ Каналы'!A849)*(ТВ!$B$2:$B$1000='ТВ Каналы'!D849)*ТВ!$C$2:$C$1000)</f>
        <v>0</v>
      </c>
    </row>
    <row r="850" spans="3:6" x14ac:dyDescent="0.25">
      <c r="C850" s="25" t="str">
        <f t="shared" si="14"/>
        <v/>
      </c>
      <c r="F850" s="29" cm="1">
        <f t="array" ref="F850">SUMPRODUCT((ТВ!$A$2:$A$1000='ТВ Каналы'!A850)*(ТВ!$B$2:$B$1000='ТВ Каналы'!D850)*ТВ!$C$2:$C$1000)</f>
        <v>0</v>
      </c>
    </row>
    <row r="851" spans="3:6" x14ac:dyDescent="0.25">
      <c r="C851" s="25" t="str">
        <f t="shared" si="14"/>
        <v/>
      </c>
      <c r="F851" s="29" cm="1">
        <f t="array" ref="F851">SUMPRODUCT((ТВ!$A$2:$A$1000='ТВ Каналы'!A851)*(ТВ!$B$2:$B$1000='ТВ Каналы'!D851)*ТВ!$C$2:$C$1000)</f>
        <v>0</v>
      </c>
    </row>
    <row r="852" spans="3:6" x14ac:dyDescent="0.25">
      <c r="C852" s="25" t="str">
        <f t="shared" si="14"/>
        <v/>
      </c>
      <c r="F852" s="29" cm="1">
        <f t="array" ref="F852">SUMPRODUCT((ТВ!$A$2:$A$1000='ТВ Каналы'!A852)*(ТВ!$B$2:$B$1000='ТВ Каналы'!D852)*ТВ!$C$2:$C$1000)</f>
        <v>0</v>
      </c>
    </row>
    <row r="853" spans="3:6" x14ac:dyDescent="0.25">
      <c r="C853" s="25" t="str">
        <f t="shared" si="14"/>
        <v/>
      </c>
      <c r="F853" s="29" cm="1">
        <f t="array" ref="F853">SUMPRODUCT((ТВ!$A$2:$A$1000='ТВ Каналы'!A853)*(ТВ!$B$2:$B$1000='ТВ Каналы'!D853)*ТВ!$C$2:$C$1000)</f>
        <v>0</v>
      </c>
    </row>
    <row r="854" spans="3:6" x14ac:dyDescent="0.25">
      <c r="C854" s="25" t="str">
        <f t="shared" si="14"/>
        <v/>
      </c>
      <c r="F854" s="29" cm="1">
        <f t="array" ref="F854">SUMPRODUCT((ТВ!$A$2:$A$1000='ТВ Каналы'!A854)*(ТВ!$B$2:$B$1000='ТВ Каналы'!D854)*ТВ!$C$2:$C$1000)</f>
        <v>0</v>
      </c>
    </row>
    <row r="855" spans="3:6" x14ac:dyDescent="0.25">
      <c r="C855" s="25" t="str">
        <f t="shared" si="14"/>
        <v/>
      </c>
      <c r="F855" s="29" cm="1">
        <f t="array" ref="F855">SUMPRODUCT((ТВ!$A$2:$A$1000='ТВ Каналы'!A855)*(ТВ!$B$2:$B$1000='ТВ Каналы'!D855)*ТВ!$C$2:$C$1000)</f>
        <v>0</v>
      </c>
    </row>
    <row r="856" spans="3:6" x14ac:dyDescent="0.25">
      <c r="C856" s="25" t="str">
        <f t="shared" si="14"/>
        <v/>
      </c>
      <c r="F856" s="29" cm="1">
        <f t="array" ref="F856">SUMPRODUCT((ТВ!$A$2:$A$1000='ТВ Каналы'!A856)*(ТВ!$B$2:$B$1000='ТВ Каналы'!D856)*ТВ!$C$2:$C$1000)</f>
        <v>0</v>
      </c>
    </row>
    <row r="857" spans="3:6" x14ac:dyDescent="0.25">
      <c r="C857" s="25" t="str">
        <f t="shared" si="14"/>
        <v/>
      </c>
      <c r="F857" s="29" cm="1">
        <f t="array" ref="F857">SUMPRODUCT((ТВ!$A$2:$A$1000='ТВ Каналы'!A857)*(ТВ!$B$2:$B$1000='ТВ Каналы'!D857)*ТВ!$C$2:$C$1000)</f>
        <v>0</v>
      </c>
    </row>
    <row r="858" spans="3:6" x14ac:dyDescent="0.25">
      <c r="C858" s="25" t="str">
        <f t="shared" si="14"/>
        <v/>
      </c>
      <c r="F858" s="29" cm="1">
        <f t="array" ref="F858">SUMPRODUCT((ТВ!$A$2:$A$1000='ТВ Каналы'!A858)*(ТВ!$B$2:$B$1000='ТВ Каналы'!D858)*ТВ!$C$2:$C$1000)</f>
        <v>0</v>
      </c>
    </row>
    <row r="859" spans="3:6" x14ac:dyDescent="0.25">
      <c r="C859" s="25" t="str">
        <f t="shared" si="14"/>
        <v/>
      </c>
      <c r="F859" s="29" cm="1">
        <f t="array" ref="F859">SUMPRODUCT((ТВ!$A$2:$A$1000='ТВ Каналы'!A859)*(ТВ!$B$2:$B$1000='ТВ Каналы'!D859)*ТВ!$C$2:$C$1000)</f>
        <v>0</v>
      </c>
    </row>
    <row r="860" spans="3:6" x14ac:dyDescent="0.25">
      <c r="C860" s="25" t="str">
        <f t="shared" si="14"/>
        <v/>
      </c>
      <c r="F860" s="29" cm="1">
        <f t="array" ref="F860">SUMPRODUCT((ТВ!$A$2:$A$1000='ТВ Каналы'!A860)*(ТВ!$B$2:$B$1000='ТВ Каналы'!D860)*ТВ!$C$2:$C$1000)</f>
        <v>0</v>
      </c>
    </row>
    <row r="861" spans="3:6" x14ac:dyDescent="0.25">
      <c r="C861" s="25" t="str">
        <f t="shared" si="14"/>
        <v/>
      </c>
      <c r="F861" s="29" cm="1">
        <f t="array" ref="F861">SUMPRODUCT((ТВ!$A$2:$A$1000='ТВ Каналы'!A861)*(ТВ!$B$2:$B$1000='ТВ Каналы'!D861)*ТВ!$C$2:$C$1000)</f>
        <v>0</v>
      </c>
    </row>
    <row r="862" spans="3:6" x14ac:dyDescent="0.25">
      <c r="C862" s="25" t="str">
        <f t="shared" si="14"/>
        <v/>
      </c>
      <c r="F862" s="29" cm="1">
        <f t="array" ref="F862">SUMPRODUCT((ТВ!$A$2:$A$1000='ТВ Каналы'!A862)*(ТВ!$B$2:$B$1000='ТВ Каналы'!D862)*ТВ!$C$2:$C$1000)</f>
        <v>0</v>
      </c>
    </row>
    <row r="863" spans="3:6" x14ac:dyDescent="0.25">
      <c r="C863" s="25" t="str">
        <f t="shared" si="14"/>
        <v/>
      </c>
      <c r="F863" s="29" cm="1">
        <f t="array" ref="F863">SUMPRODUCT((ТВ!$A$2:$A$1000='ТВ Каналы'!A863)*(ТВ!$B$2:$B$1000='ТВ Каналы'!D863)*ТВ!$C$2:$C$1000)</f>
        <v>0</v>
      </c>
    </row>
    <row r="864" spans="3:6" x14ac:dyDescent="0.25">
      <c r="C864" s="25" t="str">
        <f t="shared" si="14"/>
        <v/>
      </c>
      <c r="F864" s="29" cm="1">
        <f t="array" ref="F864">SUMPRODUCT((ТВ!$A$2:$A$1000='ТВ Каналы'!A864)*(ТВ!$B$2:$B$1000='ТВ Каналы'!D864)*ТВ!$C$2:$C$1000)</f>
        <v>0</v>
      </c>
    </row>
    <row r="865" spans="3:6" x14ac:dyDescent="0.25">
      <c r="C865" s="25" t="str">
        <f t="shared" si="14"/>
        <v/>
      </c>
      <c r="F865" s="29" cm="1">
        <f t="array" ref="F865">SUMPRODUCT((ТВ!$A$2:$A$1000='ТВ Каналы'!A865)*(ТВ!$B$2:$B$1000='ТВ Каналы'!D865)*ТВ!$C$2:$C$1000)</f>
        <v>0</v>
      </c>
    </row>
    <row r="866" spans="3:6" x14ac:dyDescent="0.25">
      <c r="C866" s="25" t="str">
        <f t="shared" si="14"/>
        <v/>
      </c>
      <c r="F866" s="29" cm="1">
        <f t="array" ref="F866">SUMPRODUCT((ТВ!$A$2:$A$1000='ТВ Каналы'!A866)*(ТВ!$B$2:$B$1000='ТВ Каналы'!D866)*ТВ!$C$2:$C$1000)</f>
        <v>0</v>
      </c>
    </row>
    <row r="867" spans="3:6" x14ac:dyDescent="0.25">
      <c r="C867" s="25" t="str">
        <f t="shared" si="14"/>
        <v/>
      </c>
      <c r="F867" s="29" cm="1">
        <f t="array" ref="F867">SUMPRODUCT((ТВ!$A$2:$A$1000='ТВ Каналы'!A867)*(ТВ!$B$2:$B$1000='ТВ Каналы'!D867)*ТВ!$C$2:$C$1000)</f>
        <v>0</v>
      </c>
    </row>
    <row r="868" spans="3:6" x14ac:dyDescent="0.25">
      <c r="C868" s="25" t="str">
        <f t="shared" si="14"/>
        <v/>
      </c>
      <c r="F868" s="29" cm="1">
        <f t="array" ref="F868">SUMPRODUCT((ТВ!$A$2:$A$1000='ТВ Каналы'!A868)*(ТВ!$B$2:$B$1000='ТВ Каналы'!D868)*ТВ!$C$2:$C$1000)</f>
        <v>0</v>
      </c>
    </row>
    <row r="869" spans="3:6" x14ac:dyDescent="0.25">
      <c r="C869" s="25" t="str">
        <f t="shared" si="14"/>
        <v/>
      </c>
      <c r="F869" s="29" cm="1">
        <f t="array" ref="F869">SUMPRODUCT((ТВ!$A$2:$A$1000='ТВ Каналы'!A869)*(ТВ!$B$2:$B$1000='ТВ Каналы'!D869)*ТВ!$C$2:$C$1000)</f>
        <v>0</v>
      </c>
    </row>
    <row r="870" spans="3:6" x14ac:dyDescent="0.25">
      <c r="C870" s="25" t="str">
        <f t="shared" si="14"/>
        <v/>
      </c>
      <c r="F870" s="29" cm="1">
        <f t="array" ref="F870">SUMPRODUCT((ТВ!$A$2:$A$1000='ТВ Каналы'!A870)*(ТВ!$B$2:$B$1000='ТВ Каналы'!D870)*ТВ!$C$2:$C$1000)</f>
        <v>0</v>
      </c>
    </row>
    <row r="871" spans="3:6" x14ac:dyDescent="0.25">
      <c r="C871" s="25" t="str">
        <f t="shared" si="14"/>
        <v/>
      </c>
      <c r="F871" s="29" cm="1">
        <f t="array" ref="F871">SUMPRODUCT((ТВ!$A$2:$A$1000='ТВ Каналы'!A871)*(ТВ!$B$2:$B$1000='ТВ Каналы'!D871)*ТВ!$C$2:$C$1000)</f>
        <v>0</v>
      </c>
    </row>
    <row r="872" spans="3:6" x14ac:dyDescent="0.25">
      <c r="C872" s="25" t="str">
        <f t="shared" si="14"/>
        <v/>
      </c>
      <c r="F872" s="29" cm="1">
        <f t="array" ref="F872">SUMPRODUCT((ТВ!$A$2:$A$1000='ТВ Каналы'!A872)*(ТВ!$B$2:$B$1000='ТВ Каналы'!D872)*ТВ!$C$2:$C$1000)</f>
        <v>0</v>
      </c>
    </row>
    <row r="873" spans="3:6" x14ac:dyDescent="0.25">
      <c r="C873" s="25" t="str">
        <f t="shared" si="14"/>
        <v/>
      </c>
      <c r="F873" s="29" cm="1">
        <f t="array" ref="F873">SUMPRODUCT((ТВ!$A$2:$A$1000='ТВ Каналы'!A873)*(ТВ!$B$2:$B$1000='ТВ Каналы'!D873)*ТВ!$C$2:$C$1000)</f>
        <v>0</v>
      </c>
    </row>
    <row r="874" spans="3:6" x14ac:dyDescent="0.25">
      <c r="C874" s="25" t="str">
        <f t="shared" si="14"/>
        <v/>
      </c>
      <c r="F874" s="29" cm="1">
        <f t="array" ref="F874">SUMPRODUCT((ТВ!$A$2:$A$1000='ТВ Каналы'!A874)*(ТВ!$B$2:$B$1000='ТВ Каналы'!D874)*ТВ!$C$2:$C$1000)</f>
        <v>0</v>
      </c>
    </row>
    <row r="875" spans="3:6" x14ac:dyDescent="0.25">
      <c r="C875" s="25" t="str">
        <f t="shared" si="14"/>
        <v/>
      </c>
      <c r="F875" s="29" cm="1">
        <f t="array" ref="F875">SUMPRODUCT((ТВ!$A$2:$A$1000='ТВ Каналы'!A875)*(ТВ!$B$2:$B$1000='ТВ Каналы'!D875)*ТВ!$C$2:$C$1000)</f>
        <v>0</v>
      </c>
    </row>
    <row r="876" spans="3:6" x14ac:dyDescent="0.25">
      <c r="C876" s="25" t="str">
        <f t="shared" si="14"/>
        <v/>
      </c>
      <c r="F876" s="29" cm="1">
        <f t="array" ref="F876">SUMPRODUCT((ТВ!$A$2:$A$1000='ТВ Каналы'!A876)*(ТВ!$B$2:$B$1000='ТВ Каналы'!D876)*ТВ!$C$2:$C$1000)</f>
        <v>0</v>
      </c>
    </row>
    <row r="877" spans="3:6" x14ac:dyDescent="0.25">
      <c r="C877" s="25" t="str">
        <f t="shared" si="14"/>
        <v/>
      </c>
      <c r="F877" s="29" cm="1">
        <f t="array" ref="F877">SUMPRODUCT((ТВ!$A$2:$A$1000='ТВ Каналы'!A877)*(ТВ!$B$2:$B$1000='ТВ Каналы'!D877)*ТВ!$C$2:$C$1000)</f>
        <v>0</v>
      </c>
    </row>
    <row r="878" spans="3:6" x14ac:dyDescent="0.25">
      <c r="C878" s="25" t="str">
        <f t="shared" si="14"/>
        <v/>
      </c>
      <c r="F878" s="29" cm="1">
        <f t="array" ref="F878">SUMPRODUCT((ТВ!$A$2:$A$1000='ТВ Каналы'!A878)*(ТВ!$B$2:$B$1000='ТВ Каналы'!D878)*ТВ!$C$2:$C$1000)</f>
        <v>0</v>
      </c>
    </row>
    <row r="879" spans="3:6" x14ac:dyDescent="0.25">
      <c r="C879" s="25" t="str">
        <f t="shared" si="14"/>
        <v/>
      </c>
      <c r="F879" s="29" cm="1">
        <f t="array" ref="F879">SUMPRODUCT((ТВ!$A$2:$A$1000='ТВ Каналы'!A879)*(ТВ!$B$2:$B$1000='ТВ Каналы'!D879)*ТВ!$C$2:$C$1000)</f>
        <v>0</v>
      </c>
    </row>
    <row r="880" spans="3:6" x14ac:dyDescent="0.25">
      <c r="C880" s="25" t="str">
        <f t="shared" si="14"/>
        <v/>
      </c>
      <c r="F880" s="29" cm="1">
        <f t="array" ref="F880">SUMPRODUCT((ТВ!$A$2:$A$1000='ТВ Каналы'!A880)*(ТВ!$B$2:$B$1000='ТВ Каналы'!D880)*ТВ!$C$2:$C$1000)</f>
        <v>0</v>
      </c>
    </row>
    <row r="881" spans="3:6" x14ac:dyDescent="0.25">
      <c r="C881" s="25" t="str">
        <f t="shared" si="14"/>
        <v/>
      </c>
      <c r="F881" s="29" cm="1">
        <f t="array" ref="F881">SUMPRODUCT((ТВ!$A$2:$A$1000='ТВ Каналы'!A881)*(ТВ!$B$2:$B$1000='ТВ Каналы'!D881)*ТВ!$C$2:$C$1000)</f>
        <v>0</v>
      </c>
    </row>
    <row r="882" spans="3:6" x14ac:dyDescent="0.25">
      <c r="C882" s="25" t="str">
        <f t="shared" si="14"/>
        <v/>
      </c>
      <c r="F882" s="29" cm="1">
        <f t="array" ref="F882">SUMPRODUCT((ТВ!$A$2:$A$1000='ТВ Каналы'!A882)*(ТВ!$B$2:$B$1000='ТВ Каналы'!D882)*ТВ!$C$2:$C$1000)</f>
        <v>0</v>
      </c>
    </row>
    <row r="883" spans="3:6" x14ac:dyDescent="0.25">
      <c r="C883" s="25" t="str">
        <f t="shared" si="14"/>
        <v/>
      </c>
      <c r="F883" s="29" cm="1">
        <f t="array" ref="F883">SUMPRODUCT((ТВ!$A$2:$A$1000='ТВ Каналы'!A883)*(ТВ!$B$2:$B$1000='ТВ Каналы'!D883)*ТВ!$C$2:$C$1000)</f>
        <v>0</v>
      </c>
    </row>
    <row r="884" spans="3:6" x14ac:dyDescent="0.25">
      <c r="C884" s="25" t="str">
        <f t="shared" si="14"/>
        <v/>
      </c>
      <c r="F884" s="29" cm="1">
        <f t="array" ref="F884">SUMPRODUCT((ТВ!$A$2:$A$1000='ТВ Каналы'!A884)*(ТВ!$B$2:$B$1000='ТВ Каналы'!D884)*ТВ!$C$2:$C$1000)</f>
        <v>0</v>
      </c>
    </row>
    <row r="885" spans="3:6" x14ac:dyDescent="0.25">
      <c r="C885" s="25" t="str">
        <f t="shared" si="14"/>
        <v/>
      </c>
      <c r="F885" s="29" cm="1">
        <f t="array" ref="F885">SUMPRODUCT((ТВ!$A$2:$A$1000='ТВ Каналы'!A885)*(ТВ!$B$2:$B$1000='ТВ Каналы'!D885)*ТВ!$C$2:$C$1000)</f>
        <v>0</v>
      </c>
    </row>
    <row r="886" spans="3:6" x14ac:dyDescent="0.25">
      <c r="C886" s="25" t="str">
        <f t="shared" si="14"/>
        <v/>
      </c>
      <c r="F886" s="29" cm="1">
        <f t="array" ref="F886">SUMPRODUCT((ТВ!$A$2:$A$1000='ТВ Каналы'!A886)*(ТВ!$B$2:$B$1000='ТВ Каналы'!D886)*ТВ!$C$2:$C$1000)</f>
        <v>0</v>
      </c>
    </row>
    <row r="887" spans="3:6" x14ac:dyDescent="0.25">
      <c r="C887" s="25" t="str">
        <f t="shared" si="14"/>
        <v/>
      </c>
      <c r="F887" s="29" cm="1">
        <f t="array" ref="F887">SUMPRODUCT((ТВ!$A$2:$A$1000='ТВ Каналы'!A887)*(ТВ!$B$2:$B$1000='ТВ Каналы'!D887)*ТВ!$C$2:$C$1000)</f>
        <v>0</v>
      </c>
    </row>
    <row r="888" spans="3:6" x14ac:dyDescent="0.25">
      <c r="C888" s="25" t="str">
        <f t="shared" si="14"/>
        <v/>
      </c>
      <c r="F888" s="29" cm="1">
        <f t="array" ref="F888">SUMPRODUCT((ТВ!$A$2:$A$1000='ТВ Каналы'!A888)*(ТВ!$B$2:$B$1000='ТВ Каналы'!D888)*ТВ!$C$2:$C$1000)</f>
        <v>0</v>
      </c>
    </row>
    <row r="889" spans="3:6" x14ac:dyDescent="0.25">
      <c r="C889" s="25" t="str">
        <f t="shared" si="14"/>
        <v/>
      </c>
      <c r="F889" s="29" cm="1">
        <f t="array" ref="F889">SUMPRODUCT((ТВ!$A$2:$A$1000='ТВ Каналы'!A889)*(ТВ!$B$2:$B$1000='ТВ Каналы'!D889)*ТВ!$C$2:$C$1000)</f>
        <v>0</v>
      </c>
    </row>
    <row r="890" spans="3:6" x14ac:dyDescent="0.25">
      <c r="C890" s="25" t="str">
        <f t="shared" si="14"/>
        <v/>
      </c>
      <c r="F890" s="29" cm="1">
        <f t="array" ref="F890">SUMPRODUCT((ТВ!$A$2:$A$1000='ТВ Каналы'!A890)*(ТВ!$B$2:$B$1000='ТВ Каналы'!D890)*ТВ!$C$2:$C$1000)</f>
        <v>0</v>
      </c>
    </row>
    <row r="891" spans="3:6" x14ac:dyDescent="0.25">
      <c r="C891" s="25" t="str">
        <f t="shared" si="14"/>
        <v/>
      </c>
      <c r="F891" s="29" cm="1">
        <f t="array" ref="F891">SUMPRODUCT((ТВ!$A$2:$A$1000='ТВ Каналы'!A891)*(ТВ!$B$2:$B$1000='ТВ Каналы'!D891)*ТВ!$C$2:$C$1000)</f>
        <v>0</v>
      </c>
    </row>
    <row r="892" spans="3:6" x14ac:dyDescent="0.25">
      <c r="C892" s="25" t="str">
        <f t="shared" si="14"/>
        <v/>
      </c>
      <c r="F892" s="29" cm="1">
        <f t="array" ref="F892">SUMPRODUCT((ТВ!$A$2:$A$1000='ТВ Каналы'!A892)*(ТВ!$B$2:$B$1000='ТВ Каналы'!D892)*ТВ!$C$2:$C$1000)</f>
        <v>0</v>
      </c>
    </row>
    <row r="893" spans="3:6" x14ac:dyDescent="0.25">
      <c r="C893" s="25" t="str">
        <f t="shared" si="14"/>
        <v/>
      </c>
      <c r="F893" s="29" cm="1">
        <f t="array" ref="F893">SUMPRODUCT((ТВ!$A$2:$A$1000='ТВ Каналы'!A893)*(ТВ!$B$2:$B$1000='ТВ Каналы'!D893)*ТВ!$C$2:$C$1000)</f>
        <v>0</v>
      </c>
    </row>
    <row r="894" spans="3:6" x14ac:dyDescent="0.25">
      <c r="C894" s="25" t="str">
        <f t="shared" si="14"/>
        <v/>
      </c>
      <c r="F894" s="29" cm="1">
        <f t="array" ref="F894">SUMPRODUCT((ТВ!$A$2:$A$1000='ТВ Каналы'!A894)*(ТВ!$B$2:$B$1000='ТВ Каналы'!D894)*ТВ!$C$2:$C$1000)</f>
        <v>0</v>
      </c>
    </row>
    <row r="895" spans="3:6" x14ac:dyDescent="0.25">
      <c r="C895" s="25" t="str">
        <f t="shared" si="14"/>
        <v/>
      </c>
      <c r="F895" s="29" cm="1">
        <f t="array" ref="F895">SUMPRODUCT((ТВ!$A$2:$A$1000='ТВ Каналы'!A895)*(ТВ!$B$2:$B$1000='ТВ Каналы'!D895)*ТВ!$C$2:$C$1000)</f>
        <v>0</v>
      </c>
    </row>
    <row r="896" spans="3:6" x14ac:dyDescent="0.25">
      <c r="C896" s="25" t="str">
        <f t="shared" si="14"/>
        <v/>
      </c>
      <c r="F896" s="29" cm="1">
        <f t="array" ref="F896">SUMPRODUCT((ТВ!$A$2:$A$1000='ТВ Каналы'!A896)*(ТВ!$B$2:$B$1000='ТВ Каналы'!D896)*ТВ!$C$2:$C$1000)</f>
        <v>0</v>
      </c>
    </row>
    <row r="897" spans="3:6" x14ac:dyDescent="0.25">
      <c r="C897" s="25" t="str">
        <f t="shared" si="14"/>
        <v/>
      </c>
      <c r="F897" s="29" cm="1">
        <f t="array" ref="F897">SUMPRODUCT((ТВ!$A$2:$A$1000='ТВ Каналы'!A897)*(ТВ!$B$2:$B$1000='ТВ Каналы'!D897)*ТВ!$C$2:$C$1000)</f>
        <v>0</v>
      </c>
    </row>
    <row r="898" spans="3:6" x14ac:dyDescent="0.25">
      <c r="C898" s="25" t="str">
        <f t="shared" si="14"/>
        <v/>
      </c>
      <c r="F898" s="29" cm="1">
        <f t="array" ref="F898">SUMPRODUCT((ТВ!$A$2:$A$1000='ТВ Каналы'!A898)*(ТВ!$B$2:$B$1000='ТВ Каналы'!D898)*ТВ!$C$2:$C$1000)</f>
        <v>0</v>
      </c>
    </row>
    <row r="899" spans="3:6" x14ac:dyDescent="0.25">
      <c r="C899" s="25" t="str">
        <f t="shared" ref="C899:C962" si="15">_xlfn.CONCAT(A899,B899)</f>
        <v/>
      </c>
      <c r="F899" s="29" cm="1">
        <f t="array" ref="F899">SUMPRODUCT((ТВ!$A$2:$A$1000='ТВ Каналы'!A899)*(ТВ!$B$2:$B$1000='ТВ Каналы'!D899)*ТВ!$C$2:$C$1000)</f>
        <v>0</v>
      </c>
    </row>
    <row r="900" spans="3:6" x14ac:dyDescent="0.25">
      <c r="C900" s="25" t="str">
        <f t="shared" si="15"/>
        <v/>
      </c>
      <c r="F900" s="29" cm="1">
        <f t="array" ref="F900">SUMPRODUCT((ТВ!$A$2:$A$1000='ТВ Каналы'!A900)*(ТВ!$B$2:$B$1000='ТВ Каналы'!D900)*ТВ!$C$2:$C$1000)</f>
        <v>0</v>
      </c>
    </row>
    <row r="901" spans="3:6" x14ac:dyDescent="0.25">
      <c r="C901" s="25" t="str">
        <f t="shared" si="15"/>
        <v/>
      </c>
      <c r="F901" s="29" cm="1">
        <f t="array" ref="F901">SUMPRODUCT((ТВ!$A$2:$A$1000='ТВ Каналы'!A901)*(ТВ!$B$2:$B$1000='ТВ Каналы'!D901)*ТВ!$C$2:$C$1000)</f>
        <v>0</v>
      </c>
    </row>
    <row r="902" spans="3:6" x14ac:dyDescent="0.25">
      <c r="C902" s="25" t="str">
        <f t="shared" si="15"/>
        <v/>
      </c>
      <c r="F902" s="29" cm="1">
        <f t="array" ref="F902">SUMPRODUCT((ТВ!$A$2:$A$1000='ТВ Каналы'!A902)*(ТВ!$B$2:$B$1000='ТВ Каналы'!D902)*ТВ!$C$2:$C$1000)</f>
        <v>0</v>
      </c>
    </row>
    <row r="903" spans="3:6" x14ac:dyDescent="0.25">
      <c r="C903" s="25" t="str">
        <f t="shared" si="15"/>
        <v/>
      </c>
      <c r="F903" s="29" cm="1">
        <f t="array" ref="F903">SUMPRODUCT((ТВ!$A$2:$A$1000='ТВ Каналы'!A903)*(ТВ!$B$2:$B$1000='ТВ Каналы'!D903)*ТВ!$C$2:$C$1000)</f>
        <v>0</v>
      </c>
    </row>
    <row r="904" spans="3:6" x14ac:dyDescent="0.25">
      <c r="C904" s="25" t="str">
        <f t="shared" si="15"/>
        <v/>
      </c>
      <c r="F904" s="29" cm="1">
        <f t="array" ref="F904">SUMPRODUCT((ТВ!$A$2:$A$1000='ТВ Каналы'!A904)*(ТВ!$B$2:$B$1000='ТВ Каналы'!D904)*ТВ!$C$2:$C$1000)</f>
        <v>0</v>
      </c>
    </row>
    <row r="905" spans="3:6" x14ac:dyDescent="0.25">
      <c r="C905" s="25" t="str">
        <f t="shared" si="15"/>
        <v/>
      </c>
      <c r="F905" s="29" cm="1">
        <f t="array" ref="F905">SUMPRODUCT((ТВ!$A$2:$A$1000='ТВ Каналы'!A905)*(ТВ!$B$2:$B$1000='ТВ Каналы'!D905)*ТВ!$C$2:$C$1000)</f>
        <v>0</v>
      </c>
    </row>
    <row r="906" spans="3:6" x14ac:dyDescent="0.25">
      <c r="C906" s="25" t="str">
        <f t="shared" si="15"/>
        <v/>
      </c>
      <c r="F906" s="29" cm="1">
        <f t="array" ref="F906">SUMPRODUCT((ТВ!$A$2:$A$1000='ТВ Каналы'!A906)*(ТВ!$B$2:$B$1000='ТВ Каналы'!D906)*ТВ!$C$2:$C$1000)</f>
        <v>0</v>
      </c>
    </row>
    <row r="907" spans="3:6" x14ac:dyDescent="0.25">
      <c r="C907" s="25" t="str">
        <f t="shared" si="15"/>
        <v/>
      </c>
      <c r="F907" s="29" cm="1">
        <f t="array" ref="F907">SUMPRODUCT((ТВ!$A$2:$A$1000='ТВ Каналы'!A907)*(ТВ!$B$2:$B$1000='ТВ Каналы'!D907)*ТВ!$C$2:$C$1000)</f>
        <v>0</v>
      </c>
    </row>
    <row r="908" spans="3:6" x14ac:dyDescent="0.25">
      <c r="C908" s="25" t="str">
        <f t="shared" si="15"/>
        <v/>
      </c>
      <c r="F908" s="29" cm="1">
        <f t="array" ref="F908">SUMPRODUCT((ТВ!$A$2:$A$1000='ТВ Каналы'!A908)*(ТВ!$B$2:$B$1000='ТВ Каналы'!D908)*ТВ!$C$2:$C$1000)</f>
        <v>0</v>
      </c>
    </row>
    <row r="909" spans="3:6" x14ac:dyDescent="0.25">
      <c r="C909" s="25" t="str">
        <f t="shared" si="15"/>
        <v/>
      </c>
      <c r="F909" s="29" cm="1">
        <f t="array" ref="F909">SUMPRODUCT((ТВ!$A$2:$A$1000='ТВ Каналы'!A909)*(ТВ!$B$2:$B$1000='ТВ Каналы'!D909)*ТВ!$C$2:$C$1000)</f>
        <v>0</v>
      </c>
    </row>
    <row r="910" spans="3:6" x14ac:dyDescent="0.25">
      <c r="C910" s="25" t="str">
        <f t="shared" si="15"/>
        <v/>
      </c>
      <c r="F910" s="29" cm="1">
        <f t="array" ref="F910">SUMPRODUCT((ТВ!$A$2:$A$1000='ТВ Каналы'!A910)*(ТВ!$B$2:$B$1000='ТВ Каналы'!D910)*ТВ!$C$2:$C$1000)</f>
        <v>0</v>
      </c>
    </row>
    <row r="911" spans="3:6" x14ac:dyDescent="0.25">
      <c r="C911" s="25" t="str">
        <f t="shared" si="15"/>
        <v/>
      </c>
      <c r="F911" s="29" cm="1">
        <f t="array" ref="F911">SUMPRODUCT((ТВ!$A$2:$A$1000='ТВ Каналы'!A911)*(ТВ!$B$2:$B$1000='ТВ Каналы'!D911)*ТВ!$C$2:$C$1000)</f>
        <v>0</v>
      </c>
    </row>
    <row r="912" spans="3:6" x14ac:dyDescent="0.25">
      <c r="C912" s="25" t="str">
        <f t="shared" si="15"/>
        <v/>
      </c>
      <c r="F912" s="29" cm="1">
        <f t="array" ref="F912">SUMPRODUCT((ТВ!$A$2:$A$1000='ТВ Каналы'!A912)*(ТВ!$B$2:$B$1000='ТВ Каналы'!D912)*ТВ!$C$2:$C$1000)</f>
        <v>0</v>
      </c>
    </row>
    <row r="913" spans="3:6" x14ac:dyDescent="0.25">
      <c r="C913" s="25" t="str">
        <f t="shared" si="15"/>
        <v/>
      </c>
      <c r="F913" s="29" cm="1">
        <f t="array" ref="F913">SUMPRODUCT((ТВ!$A$2:$A$1000='ТВ Каналы'!A913)*(ТВ!$B$2:$B$1000='ТВ Каналы'!D913)*ТВ!$C$2:$C$1000)</f>
        <v>0</v>
      </c>
    </row>
    <row r="914" spans="3:6" x14ac:dyDescent="0.25">
      <c r="C914" s="25" t="str">
        <f t="shared" si="15"/>
        <v/>
      </c>
      <c r="F914" s="29" cm="1">
        <f t="array" ref="F914">SUMPRODUCT((ТВ!$A$2:$A$1000='ТВ Каналы'!A914)*(ТВ!$B$2:$B$1000='ТВ Каналы'!D914)*ТВ!$C$2:$C$1000)</f>
        <v>0</v>
      </c>
    </row>
    <row r="915" spans="3:6" x14ac:dyDescent="0.25">
      <c r="C915" s="25" t="str">
        <f t="shared" si="15"/>
        <v/>
      </c>
      <c r="F915" s="29" cm="1">
        <f t="array" ref="F915">SUMPRODUCT((ТВ!$A$2:$A$1000='ТВ Каналы'!A915)*(ТВ!$B$2:$B$1000='ТВ Каналы'!D915)*ТВ!$C$2:$C$1000)</f>
        <v>0</v>
      </c>
    </row>
    <row r="916" spans="3:6" x14ac:dyDescent="0.25">
      <c r="C916" s="25" t="str">
        <f t="shared" si="15"/>
        <v/>
      </c>
      <c r="F916" s="29" cm="1">
        <f t="array" ref="F916">SUMPRODUCT((ТВ!$A$2:$A$1000='ТВ Каналы'!A916)*(ТВ!$B$2:$B$1000='ТВ Каналы'!D916)*ТВ!$C$2:$C$1000)</f>
        <v>0</v>
      </c>
    </row>
    <row r="917" spans="3:6" x14ac:dyDescent="0.25">
      <c r="C917" s="25" t="str">
        <f t="shared" si="15"/>
        <v/>
      </c>
      <c r="F917" s="29" cm="1">
        <f t="array" ref="F917">SUMPRODUCT((ТВ!$A$2:$A$1000='ТВ Каналы'!A917)*(ТВ!$B$2:$B$1000='ТВ Каналы'!D917)*ТВ!$C$2:$C$1000)</f>
        <v>0</v>
      </c>
    </row>
    <row r="918" spans="3:6" x14ac:dyDescent="0.25">
      <c r="C918" s="25" t="str">
        <f t="shared" si="15"/>
        <v/>
      </c>
      <c r="F918" s="29" cm="1">
        <f t="array" ref="F918">SUMPRODUCT((ТВ!$A$2:$A$1000='ТВ Каналы'!A918)*(ТВ!$B$2:$B$1000='ТВ Каналы'!D918)*ТВ!$C$2:$C$1000)</f>
        <v>0</v>
      </c>
    </row>
    <row r="919" spans="3:6" x14ac:dyDescent="0.25">
      <c r="C919" s="25" t="str">
        <f t="shared" si="15"/>
        <v/>
      </c>
      <c r="F919" s="29" cm="1">
        <f t="array" ref="F919">SUMPRODUCT((ТВ!$A$2:$A$1000='ТВ Каналы'!A919)*(ТВ!$B$2:$B$1000='ТВ Каналы'!D919)*ТВ!$C$2:$C$1000)</f>
        <v>0</v>
      </c>
    </row>
    <row r="920" spans="3:6" x14ac:dyDescent="0.25">
      <c r="C920" s="25" t="str">
        <f t="shared" si="15"/>
        <v/>
      </c>
      <c r="F920" s="29" cm="1">
        <f t="array" ref="F920">SUMPRODUCT((ТВ!$A$2:$A$1000='ТВ Каналы'!A920)*(ТВ!$B$2:$B$1000='ТВ Каналы'!D920)*ТВ!$C$2:$C$1000)</f>
        <v>0</v>
      </c>
    </row>
    <row r="921" spans="3:6" x14ac:dyDescent="0.25">
      <c r="C921" s="25" t="str">
        <f t="shared" si="15"/>
        <v/>
      </c>
      <c r="F921" s="29" cm="1">
        <f t="array" ref="F921">SUMPRODUCT((ТВ!$A$2:$A$1000='ТВ Каналы'!A921)*(ТВ!$B$2:$B$1000='ТВ Каналы'!D921)*ТВ!$C$2:$C$1000)</f>
        <v>0</v>
      </c>
    </row>
    <row r="922" spans="3:6" x14ac:dyDescent="0.25">
      <c r="C922" s="25" t="str">
        <f t="shared" si="15"/>
        <v/>
      </c>
      <c r="F922" s="29" cm="1">
        <f t="array" ref="F922">SUMPRODUCT((ТВ!$A$2:$A$1000='ТВ Каналы'!A922)*(ТВ!$B$2:$B$1000='ТВ Каналы'!D922)*ТВ!$C$2:$C$1000)</f>
        <v>0</v>
      </c>
    </row>
    <row r="923" spans="3:6" x14ac:dyDescent="0.25">
      <c r="C923" s="25" t="str">
        <f t="shared" si="15"/>
        <v/>
      </c>
      <c r="F923" s="29" cm="1">
        <f t="array" ref="F923">SUMPRODUCT((ТВ!$A$2:$A$1000='ТВ Каналы'!A923)*(ТВ!$B$2:$B$1000='ТВ Каналы'!D923)*ТВ!$C$2:$C$1000)</f>
        <v>0</v>
      </c>
    </row>
    <row r="924" spans="3:6" x14ac:dyDescent="0.25">
      <c r="C924" s="25" t="str">
        <f t="shared" si="15"/>
        <v/>
      </c>
      <c r="F924" s="29" cm="1">
        <f t="array" ref="F924">SUMPRODUCT((ТВ!$A$2:$A$1000='ТВ Каналы'!A924)*(ТВ!$B$2:$B$1000='ТВ Каналы'!D924)*ТВ!$C$2:$C$1000)</f>
        <v>0</v>
      </c>
    </row>
    <row r="925" spans="3:6" x14ac:dyDescent="0.25">
      <c r="C925" s="25" t="str">
        <f t="shared" si="15"/>
        <v/>
      </c>
      <c r="F925" s="29" cm="1">
        <f t="array" ref="F925">SUMPRODUCT((ТВ!$A$2:$A$1000='ТВ Каналы'!A925)*(ТВ!$B$2:$B$1000='ТВ Каналы'!D925)*ТВ!$C$2:$C$1000)</f>
        <v>0</v>
      </c>
    </row>
    <row r="926" spans="3:6" x14ac:dyDescent="0.25">
      <c r="C926" s="25" t="str">
        <f t="shared" si="15"/>
        <v/>
      </c>
      <c r="F926" s="29" cm="1">
        <f t="array" ref="F926">SUMPRODUCT((ТВ!$A$2:$A$1000='ТВ Каналы'!A926)*(ТВ!$B$2:$B$1000='ТВ Каналы'!D926)*ТВ!$C$2:$C$1000)</f>
        <v>0</v>
      </c>
    </row>
    <row r="927" spans="3:6" x14ac:dyDescent="0.25">
      <c r="C927" s="25" t="str">
        <f t="shared" si="15"/>
        <v/>
      </c>
      <c r="F927" s="29" cm="1">
        <f t="array" ref="F927">SUMPRODUCT((ТВ!$A$2:$A$1000='ТВ Каналы'!A927)*(ТВ!$B$2:$B$1000='ТВ Каналы'!D927)*ТВ!$C$2:$C$1000)</f>
        <v>0</v>
      </c>
    </row>
    <row r="928" spans="3:6" x14ac:dyDescent="0.25">
      <c r="C928" s="25" t="str">
        <f t="shared" si="15"/>
        <v/>
      </c>
      <c r="F928" s="29" cm="1">
        <f t="array" ref="F928">SUMPRODUCT((ТВ!$A$2:$A$1000='ТВ Каналы'!A928)*(ТВ!$B$2:$B$1000='ТВ Каналы'!D928)*ТВ!$C$2:$C$1000)</f>
        <v>0</v>
      </c>
    </row>
    <row r="929" spans="3:6" x14ac:dyDescent="0.25">
      <c r="C929" s="25" t="str">
        <f t="shared" si="15"/>
        <v/>
      </c>
      <c r="F929" s="29" cm="1">
        <f t="array" ref="F929">SUMPRODUCT((ТВ!$A$2:$A$1000='ТВ Каналы'!A929)*(ТВ!$B$2:$B$1000='ТВ Каналы'!D929)*ТВ!$C$2:$C$1000)</f>
        <v>0</v>
      </c>
    </row>
    <row r="930" spans="3:6" x14ac:dyDescent="0.25">
      <c r="C930" s="25" t="str">
        <f t="shared" si="15"/>
        <v/>
      </c>
      <c r="F930" s="29" cm="1">
        <f t="array" ref="F930">SUMPRODUCT((ТВ!$A$2:$A$1000='ТВ Каналы'!A930)*(ТВ!$B$2:$B$1000='ТВ Каналы'!D930)*ТВ!$C$2:$C$1000)</f>
        <v>0</v>
      </c>
    </row>
    <row r="931" spans="3:6" x14ac:dyDescent="0.25">
      <c r="C931" s="25" t="str">
        <f t="shared" si="15"/>
        <v/>
      </c>
      <c r="F931" s="29" cm="1">
        <f t="array" ref="F931">SUMPRODUCT((ТВ!$A$2:$A$1000='ТВ Каналы'!A931)*(ТВ!$B$2:$B$1000='ТВ Каналы'!D931)*ТВ!$C$2:$C$1000)</f>
        <v>0</v>
      </c>
    </row>
    <row r="932" spans="3:6" x14ac:dyDescent="0.25">
      <c r="C932" s="25" t="str">
        <f t="shared" si="15"/>
        <v/>
      </c>
      <c r="F932" s="29" cm="1">
        <f t="array" ref="F932">SUMPRODUCT((ТВ!$A$2:$A$1000='ТВ Каналы'!A932)*(ТВ!$B$2:$B$1000='ТВ Каналы'!D932)*ТВ!$C$2:$C$1000)</f>
        <v>0</v>
      </c>
    </row>
    <row r="933" spans="3:6" x14ac:dyDescent="0.25">
      <c r="C933" s="25" t="str">
        <f t="shared" si="15"/>
        <v/>
      </c>
      <c r="F933" s="29" cm="1">
        <f t="array" ref="F933">SUMPRODUCT((ТВ!$A$2:$A$1000='ТВ Каналы'!A933)*(ТВ!$B$2:$B$1000='ТВ Каналы'!D933)*ТВ!$C$2:$C$1000)</f>
        <v>0</v>
      </c>
    </row>
    <row r="934" spans="3:6" x14ac:dyDescent="0.25">
      <c r="C934" s="25" t="str">
        <f t="shared" si="15"/>
        <v/>
      </c>
      <c r="F934" s="29" cm="1">
        <f t="array" ref="F934">SUMPRODUCT((ТВ!$A$2:$A$1000='ТВ Каналы'!A934)*(ТВ!$B$2:$B$1000='ТВ Каналы'!D934)*ТВ!$C$2:$C$1000)</f>
        <v>0</v>
      </c>
    </row>
    <row r="935" spans="3:6" x14ac:dyDescent="0.25">
      <c r="C935" s="25" t="str">
        <f t="shared" si="15"/>
        <v/>
      </c>
      <c r="F935" s="29" cm="1">
        <f t="array" ref="F935">SUMPRODUCT((ТВ!$A$2:$A$1000='ТВ Каналы'!A935)*(ТВ!$B$2:$B$1000='ТВ Каналы'!D935)*ТВ!$C$2:$C$1000)</f>
        <v>0</v>
      </c>
    </row>
    <row r="936" spans="3:6" x14ac:dyDescent="0.25">
      <c r="C936" s="25" t="str">
        <f t="shared" si="15"/>
        <v/>
      </c>
      <c r="F936" s="29" cm="1">
        <f t="array" ref="F936">SUMPRODUCT((ТВ!$A$2:$A$1000='ТВ Каналы'!A936)*(ТВ!$B$2:$B$1000='ТВ Каналы'!D936)*ТВ!$C$2:$C$1000)</f>
        <v>0</v>
      </c>
    </row>
    <row r="937" spans="3:6" x14ac:dyDescent="0.25">
      <c r="C937" s="25" t="str">
        <f t="shared" si="15"/>
        <v/>
      </c>
      <c r="F937" s="29" cm="1">
        <f t="array" ref="F937">SUMPRODUCT((ТВ!$A$2:$A$1000='ТВ Каналы'!A937)*(ТВ!$B$2:$B$1000='ТВ Каналы'!D937)*ТВ!$C$2:$C$1000)</f>
        <v>0</v>
      </c>
    </row>
    <row r="938" spans="3:6" x14ac:dyDescent="0.25">
      <c r="C938" s="25" t="str">
        <f t="shared" si="15"/>
        <v/>
      </c>
      <c r="F938" s="29" cm="1">
        <f t="array" ref="F938">SUMPRODUCT((ТВ!$A$2:$A$1000='ТВ Каналы'!A938)*(ТВ!$B$2:$B$1000='ТВ Каналы'!D938)*ТВ!$C$2:$C$1000)</f>
        <v>0</v>
      </c>
    </row>
    <row r="939" spans="3:6" x14ac:dyDescent="0.25">
      <c r="C939" s="25" t="str">
        <f t="shared" si="15"/>
        <v/>
      </c>
      <c r="F939" s="29" cm="1">
        <f t="array" ref="F939">SUMPRODUCT((ТВ!$A$2:$A$1000='ТВ Каналы'!A939)*(ТВ!$B$2:$B$1000='ТВ Каналы'!D939)*ТВ!$C$2:$C$1000)</f>
        <v>0</v>
      </c>
    </row>
    <row r="940" spans="3:6" x14ac:dyDescent="0.25">
      <c r="C940" s="25" t="str">
        <f t="shared" si="15"/>
        <v/>
      </c>
      <c r="F940" s="29" cm="1">
        <f t="array" ref="F940">SUMPRODUCT((ТВ!$A$2:$A$1000='ТВ Каналы'!A940)*(ТВ!$B$2:$B$1000='ТВ Каналы'!D940)*ТВ!$C$2:$C$1000)</f>
        <v>0</v>
      </c>
    </row>
    <row r="941" spans="3:6" x14ac:dyDescent="0.25">
      <c r="C941" s="25" t="str">
        <f t="shared" si="15"/>
        <v/>
      </c>
      <c r="F941" s="29" cm="1">
        <f t="array" ref="F941">SUMPRODUCT((ТВ!$A$2:$A$1000='ТВ Каналы'!A941)*(ТВ!$B$2:$B$1000='ТВ Каналы'!D941)*ТВ!$C$2:$C$1000)</f>
        <v>0</v>
      </c>
    </row>
    <row r="942" spans="3:6" x14ac:dyDescent="0.25">
      <c r="C942" s="25" t="str">
        <f t="shared" si="15"/>
        <v/>
      </c>
      <c r="F942" s="29" cm="1">
        <f t="array" ref="F942">SUMPRODUCT((ТВ!$A$2:$A$1000='ТВ Каналы'!A942)*(ТВ!$B$2:$B$1000='ТВ Каналы'!D942)*ТВ!$C$2:$C$1000)</f>
        <v>0</v>
      </c>
    </row>
    <row r="943" spans="3:6" x14ac:dyDescent="0.25">
      <c r="C943" s="25" t="str">
        <f t="shared" si="15"/>
        <v/>
      </c>
      <c r="F943" s="29" cm="1">
        <f t="array" ref="F943">SUMPRODUCT((ТВ!$A$2:$A$1000='ТВ Каналы'!A943)*(ТВ!$B$2:$B$1000='ТВ Каналы'!D943)*ТВ!$C$2:$C$1000)</f>
        <v>0</v>
      </c>
    </row>
    <row r="944" spans="3:6" x14ac:dyDescent="0.25">
      <c r="C944" s="25" t="str">
        <f t="shared" si="15"/>
        <v/>
      </c>
      <c r="F944" s="29" cm="1">
        <f t="array" ref="F944">SUMPRODUCT((ТВ!$A$2:$A$1000='ТВ Каналы'!A944)*(ТВ!$B$2:$B$1000='ТВ Каналы'!D944)*ТВ!$C$2:$C$1000)</f>
        <v>0</v>
      </c>
    </row>
    <row r="945" spans="3:6" x14ac:dyDescent="0.25">
      <c r="C945" s="25" t="str">
        <f t="shared" si="15"/>
        <v/>
      </c>
      <c r="F945" s="29" cm="1">
        <f t="array" ref="F945">SUMPRODUCT((ТВ!$A$2:$A$1000='ТВ Каналы'!A945)*(ТВ!$B$2:$B$1000='ТВ Каналы'!D945)*ТВ!$C$2:$C$1000)</f>
        <v>0</v>
      </c>
    </row>
    <row r="946" spans="3:6" x14ac:dyDescent="0.25">
      <c r="C946" s="25" t="str">
        <f t="shared" si="15"/>
        <v/>
      </c>
      <c r="F946" s="29" cm="1">
        <f t="array" ref="F946">SUMPRODUCT((ТВ!$A$2:$A$1000='ТВ Каналы'!A946)*(ТВ!$B$2:$B$1000='ТВ Каналы'!D946)*ТВ!$C$2:$C$1000)</f>
        <v>0</v>
      </c>
    </row>
    <row r="947" spans="3:6" x14ac:dyDescent="0.25">
      <c r="C947" s="25" t="str">
        <f t="shared" si="15"/>
        <v/>
      </c>
      <c r="F947" s="29" cm="1">
        <f t="array" ref="F947">SUMPRODUCT((ТВ!$A$2:$A$1000='ТВ Каналы'!A947)*(ТВ!$B$2:$B$1000='ТВ Каналы'!D947)*ТВ!$C$2:$C$1000)</f>
        <v>0</v>
      </c>
    </row>
    <row r="948" spans="3:6" x14ac:dyDescent="0.25">
      <c r="C948" s="25" t="str">
        <f t="shared" si="15"/>
        <v/>
      </c>
      <c r="F948" s="29" cm="1">
        <f t="array" ref="F948">SUMPRODUCT((ТВ!$A$2:$A$1000='ТВ Каналы'!A948)*(ТВ!$B$2:$B$1000='ТВ Каналы'!D948)*ТВ!$C$2:$C$1000)</f>
        <v>0</v>
      </c>
    </row>
    <row r="949" spans="3:6" x14ac:dyDescent="0.25">
      <c r="C949" s="25" t="str">
        <f t="shared" si="15"/>
        <v/>
      </c>
      <c r="F949" s="29" cm="1">
        <f t="array" ref="F949">SUMPRODUCT((ТВ!$A$2:$A$1000='ТВ Каналы'!A949)*(ТВ!$B$2:$B$1000='ТВ Каналы'!D949)*ТВ!$C$2:$C$1000)</f>
        <v>0</v>
      </c>
    </row>
    <row r="950" spans="3:6" x14ac:dyDescent="0.25">
      <c r="C950" s="25" t="str">
        <f t="shared" si="15"/>
        <v/>
      </c>
      <c r="F950" s="29" cm="1">
        <f t="array" ref="F950">SUMPRODUCT((ТВ!$A$2:$A$1000='ТВ Каналы'!A950)*(ТВ!$B$2:$B$1000='ТВ Каналы'!D950)*ТВ!$C$2:$C$1000)</f>
        <v>0</v>
      </c>
    </row>
    <row r="951" spans="3:6" x14ac:dyDescent="0.25">
      <c r="C951" s="25" t="str">
        <f t="shared" si="15"/>
        <v/>
      </c>
      <c r="F951" s="29" cm="1">
        <f t="array" ref="F951">SUMPRODUCT((ТВ!$A$2:$A$1000='ТВ Каналы'!A951)*(ТВ!$B$2:$B$1000='ТВ Каналы'!D951)*ТВ!$C$2:$C$1000)</f>
        <v>0</v>
      </c>
    </row>
    <row r="952" spans="3:6" x14ac:dyDescent="0.25">
      <c r="C952" s="25" t="str">
        <f t="shared" si="15"/>
        <v/>
      </c>
      <c r="F952" s="29" cm="1">
        <f t="array" ref="F952">SUMPRODUCT((ТВ!$A$2:$A$1000='ТВ Каналы'!A952)*(ТВ!$B$2:$B$1000='ТВ Каналы'!D952)*ТВ!$C$2:$C$1000)</f>
        <v>0</v>
      </c>
    </row>
    <row r="953" spans="3:6" x14ac:dyDescent="0.25">
      <c r="C953" s="25" t="str">
        <f t="shared" si="15"/>
        <v/>
      </c>
      <c r="F953" s="29" cm="1">
        <f t="array" ref="F953">SUMPRODUCT((ТВ!$A$2:$A$1000='ТВ Каналы'!A953)*(ТВ!$B$2:$B$1000='ТВ Каналы'!D953)*ТВ!$C$2:$C$1000)</f>
        <v>0</v>
      </c>
    </row>
    <row r="954" spans="3:6" x14ac:dyDescent="0.25">
      <c r="C954" s="25" t="str">
        <f t="shared" si="15"/>
        <v/>
      </c>
      <c r="F954" s="29" cm="1">
        <f t="array" ref="F954">SUMPRODUCT((ТВ!$A$2:$A$1000='ТВ Каналы'!A954)*(ТВ!$B$2:$B$1000='ТВ Каналы'!D954)*ТВ!$C$2:$C$1000)</f>
        <v>0</v>
      </c>
    </row>
    <row r="955" spans="3:6" x14ac:dyDescent="0.25">
      <c r="C955" s="25" t="str">
        <f t="shared" si="15"/>
        <v/>
      </c>
      <c r="F955" s="29" cm="1">
        <f t="array" ref="F955">SUMPRODUCT((ТВ!$A$2:$A$1000='ТВ Каналы'!A955)*(ТВ!$B$2:$B$1000='ТВ Каналы'!D955)*ТВ!$C$2:$C$1000)</f>
        <v>0</v>
      </c>
    </row>
    <row r="956" spans="3:6" x14ac:dyDescent="0.25">
      <c r="C956" s="25" t="str">
        <f t="shared" si="15"/>
        <v/>
      </c>
      <c r="F956" s="29" cm="1">
        <f t="array" ref="F956">SUMPRODUCT((ТВ!$A$2:$A$1000='ТВ Каналы'!A956)*(ТВ!$B$2:$B$1000='ТВ Каналы'!D956)*ТВ!$C$2:$C$1000)</f>
        <v>0</v>
      </c>
    </row>
    <row r="957" spans="3:6" x14ac:dyDescent="0.25">
      <c r="C957" s="25" t="str">
        <f t="shared" si="15"/>
        <v/>
      </c>
      <c r="F957" s="29" cm="1">
        <f t="array" ref="F957">SUMPRODUCT((ТВ!$A$2:$A$1000='ТВ Каналы'!A957)*(ТВ!$B$2:$B$1000='ТВ Каналы'!D957)*ТВ!$C$2:$C$1000)</f>
        <v>0</v>
      </c>
    </row>
    <row r="958" spans="3:6" x14ac:dyDescent="0.25">
      <c r="C958" s="25" t="str">
        <f t="shared" si="15"/>
        <v/>
      </c>
      <c r="F958" s="29" cm="1">
        <f t="array" ref="F958">SUMPRODUCT((ТВ!$A$2:$A$1000='ТВ Каналы'!A958)*(ТВ!$B$2:$B$1000='ТВ Каналы'!D958)*ТВ!$C$2:$C$1000)</f>
        <v>0</v>
      </c>
    </row>
    <row r="959" spans="3:6" x14ac:dyDescent="0.25">
      <c r="C959" s="25" t="str">
        <f t="shared" si="15"/>
        <v/>
      </c>
      <c r="F959" s="29" cm="1">
        <f t="array" ref="F959">SUMPRODUCT((ТВ!$A$2:$A$1000='ТВ Каналы'!A959)*(ТВ!$B$2:$B$1000='ТВ Каналы'!D959)*ТВ!$C$2:$C$1000)</f>
        <v>0</v>
      </c>
    </row>
    <row r="960" spans="3:6" x14ac:dyDescent="0.25">
      <c r="C960" s="25" t="str">
        <f t="shared" si="15"/>
        <v/>
      </c>
      <c r="F960" s="29" cm="1">
        <f t="array" ref="F960">SUMPRODUCT((ТВ!$A$2:$A$1000='ТВ Каналы'!A960)*(ТВ!$B$2:$B$1000='ТВ Каналы'!D960)*ТВ!$C$2:$C$1000)</f>
        <v>0</v>
      </c>
    </row>
    <row r="961" spans="3:6" x14ac:dyDescent="0.25">
      <c r="C961" s="25" t="str">
        <f t="shared" si="15"/>
        <v/>
      </c>
      <c r="F961" s="29" cm="1">
        <f t="array" ref="F961">SUMPRODUCT((ТВ!$A$2:$A$1000='ТВ Каналы'!A961)*(ТВ!$B$2:$B$1000='ТВ Каналы'!D961)*ТВ!$C$2:$C$1000)</f>
        <v>0</v>
      </c>
    </row>
    <row r="962" spans="3:6" x14ac:dyDescent="0.25">
      <c r="C962" s="25" t="str">
        <f t="shared" si="15"/>
        <v/>
      </c>
      <c r="F962" s="29" cm="1">
        <f t="array" ref="F962">SUMPRODUCT((ТВ!$A$2:$A$1000='ТВ Каналы'!A962)*(ТВ!$B$2:$B$1000='ТВ Каналы'!D962)*ТВ!$C$2:$C$1000)</f>
        <v>0</v>
      </c>
    </row>
    <row r="963" spans="3:6" x14ac:dyDescent="0.25">
      <c r="C963" s="25" t="str">
        <f t="shared" ref="C963:C995" si="16">_xlfn.CONCAT(A963,B963)</f>
        <v/>
      </c>
      <c r="F963" s="29" cm="1">
        <f t="array" ref="F963">SUMPRODUCT((ТВ!$A$2:$A$1000='ТВ Каналы'!A963)*(ТВ!$B$2:$B$1000='ТВ Каналы'!D963)*ТВ!$C$2:$C$1000)</f>
        <v>0</v>
      </c>
    </row>
    <row r="964" spans="3:6" x14ac:dyDescent="0.25">
      <c r="C964" s="25" t="str">
        <f t="shared" si="16"/>
        <v/>
      </c>
      <c r="F964" s="29" cm="1">
        <f t="array" ref="F964">SUMPRODUCT((ТВ!$A$2:$A$1000='ТВ Каналы'!A964)*(ТВ!$B$2:$B$1000='ТВ Каналы'!D964)*ТВ!$C$2:$C$1000)</f>
        <v>0</v>
      </c>
    </row>
    <row r="965" spans="3:6" x14ac:dyDescent="0.25">
      <c r="C965" s="25" t="str">
        <f t="shared" si="16"/>
        <v/>
      </c>
      <c r="F965" s="29" cm="1">
        <f t="array" ref="F965">SUMPRODUCT((ТВ!$A$2:$A$1000='ТВ Каналы'!A965)*(ТВ!$B$2:$B$1000='ТВ Каналы'!D965)*ТВ!$C$2:$C$1000)</f>
        <v>0</v>
      </c>
    </row>
    <row r="966" spans="3:6" x14ac:dyDescent="0.25">
      <c r="C966" s="25" t="str">
        <f t="shared" si="16"/>
        <v/>
      </c>
      <c r="F966" s="29" cm="1">
        <f t="array" ref="F966">SUMPRODUCT((ТВ!$A$2:$A$1000='ТВ Каналы'!A966)*(ТВ!$B$2:$B$1000='ТВ Каналы'!D966)*ТВ!$C$2:$C$1000)</f>
        <v>0</v>
      </c>
    </row>
    <row r="967" spans="3:6" x14ac:dyDescent="0.25">
      <c r="C967" s="25" t="str">
        <f t="shared" si="16"/>
        <v/>
      </c>
      <c r="F967" s="29" cm="1">
        <f t="array" ref="F967">SUMPRODUCT((ТВ!$A$2:$A$1000='ТВ Каналы'!A967)*(ТВ!$B$2:$B$1000='ТВ Каналы'!D967)*ТВ!$C$2:$C$1000)</f>
        <v>0</v>
      </c>
    </row>
    <row r="968" spans="3:6" x14ac:dyDescent="0.25">
      <c r="C968" s="25" t="str">
        <f t="shared" si="16"/>
        <v/>
      </c>
      <c r="F968" s="29" cm="1">
        <f t="array" ref="F968">SUMPRODUCT((ТВ!$A$2:$A$1000='ТВ Каналы'!A968)*(ТВ!$B$2:$B$1000='ТВ Каналы'!D968)*ТВ!$C$2:$C$1000)</f>
        <v>0</v>
      </c>
    </row>
    <row r="969" spans="3:6" x14ac:dyDescent="0.25">
      <c r="C969" s="25" t="str">
        <f t="shared" si="16"/>
        <v/>
      </c>
      <c r="F969" s="29" cm="1">
        <f t="array" ref="F969">SUMPRODUCT((ТВ!$A$2:$A$1000='ТВ Каналы'!A969)*(ТВ!$B$2:$B$1000='ТВ Каналы'!D969)*ТВ!$C$2:$C$1000)</f>
        <v>0</v>
      </c>
    </row>
    <row r="970" spans="3:6" x14ac:dyDescent="0.25">
      <c r="C970" s="25" t="str">
        <f t="shared" si="16"/>
        <v/>
      </c>
      <c r="F970" s="29" cm="1">
        <f t="array" ref="F970">SUMPRODUCT((ТВ!$A$2:$A$1000='ТВ Каналы'!A970)*(ТВ!$B$2:$B$1000='ТВ Каналы'!D970)*ТВ!$C$2:$C$1000)</f>
        <v>0</v>
      </c>
    </row>
    <row r="971" spans="3:6" x14ac:dyDescent="0.25">
      <c r="C971" s="25" t="str">
        <f t="shared" si="16"/>
        <v/>
      </c>
      <c r="F971" s="29" cm="1">
        <f t="array" ref="F971">SUMPRODUCT((ТВ!$A$2:$A$1000='ТВ Каналы'!A971)*(ТВ!$B$2:$B$1000='ТВ Каналы'!D971)*ТВ!$C$2:$C$1000)</f>
        <v>0</v>
      </c>
    </row>
    <row r="972" spans="3:6" x14ac:dyDescent="0.25">
      <c r="C972" s="25" t="str">
        <f t="shared" si="16"/>
        <v/>
      </c>
      <c r="F972" s="29" cm="1">
        <f t="array" ref="F972">SUMPRODUCT((ТВ!$A$2:$A$1000='ТВ Каналы'!A972)*(ТВ!$B$2:$B$1000='ТВ Каналы'!D972)*ТВ!$C$2:$C$1000)</f>
        <v>0</v>
      </c>
    </row>
    <row r="973" spans="3:6" x14ac:dyDescent="0.25">
      <c r="C973" s="25" t="str">
        <f t="shared" si="16"/>
        <v/>
      </c>
      <c r="F973" s="29" cm="1">
        <f t="array" ref="F973">SUMPRODUCT((ТВ!$A$2:$A$1000='ТВ Каналы'!A973)*(ТВ!$B$2:$B$1000='ТВ Каналы'!D973)*ТВ!$C$2:$C$1000)</f>
        <v>0</v>
      </c>
    </row>
    <row r="974" spans="3:6" x14ac:dyDescent="0.25">
      <c r="C974" s="25" t="str">
        <f t="shared" si="16"/>
        <v/>
      </c>
      <c r="F974" s="29" cm="1">
        <f t="array" ref="F974">SUMPRODUCT((ТВ!$A$2:$A$1000='ТВ Каналы'!A974)*(ТВ!$B$2:$B$1000='ТВ Каналы'!D974)*ТВ!$C$2:$C$1000)</f>
        <v>0</v>
      </c>
    </row>
    <row r="975" spans="3:6" x14ac:dyDescent="0.25">
      <c r="C975" s="25" t="str">
        <f t="shared" si="16"/>
        <v/>
      </c>
      <c r="F975" s="29" cm="1">
        <f t="array" ref="F975">SUMPRODUCT((ТВ!$A$2:$A$1000='ТВ Каналы'!A975)*(ТВ!$B$2:$B$1000='ТВ Каналы'!D975)*ТВ!$C$2:$C$1000)</f>
        <v>0</v>
      </c>
    </row>
    <row r="976" spans="3:6" x14ac:dyDescent="0.25">
      <c r="C976" s="25" t="str">
        <f t="shared" si="16"/>
        <v/>
      </c>
      <c r="F976" s="29" cm="1">
        <f t="array" ref="F976">SUMPRODUCT((ТВ!$A$2:$A$1000='ТВ Каналы'!A976)*(ТВ!$B$2:$B$1000='ТВ Каналы'!D976)*ТВ!$C$2:$C$1000)</f>
        <v>0</v>
      </c>
    </row>
    <row r="977" spans="3:6" x14ac:dyDescent="0.25">
      <c r="C977" s="25" t="str">
        <f t="shared" si="16"/>
        <v/>
      </c>
      <c r="F977" s="29" cm="1">
        <f t="array" ref="F977">SUMPRODUCT((ТВ!$A$2:$A$1000='ТВ Каналы'!A977)*(ТВ!$B$2:$B$1000='ТВ Каналы'!D977)*ТВ!$C$2:$C$1000)</f>
        <v>0</v>
      </c>
    </row>
    <row r="978" spans="3:6" x14ac:dyDescent="0.25">
      <c r="C978" s="25" t="str">
        <f t="shared" si="16"/>
        <v/>
      </c>
      <c r="F978" s="29" cm="1">
        <f t="array" ref="F978">SUMPRODUCT((ТВ!$A$2:$A$1000='ТВ Каналы'!A978)*(ТВ!$B$2:$B$1000='ТВ Каналы'!D978)*ТВ!$C$2:$C$1000)</f>
        <v>0</v>
      </c>
    </row>
    <row r="979" spans="3:6" x14ac:dyDescent="0.25">
      <c r="C979" s="25" t="str">
        <f t="shared" si="16"/>
        <v/>
      </c>
      <c r="F979" s="29" cm="1">
        <f t="array" ref="F979">SUMPRODUCT((ТВ!$A$2:$A$1000='ТВ Каналы'!A979)*(ТВ!$B$2:$B$1000='ТВ Каналы'!D979)*ТВ!$C$2:$C$1000)</f>
        <v>0</v>
      </c>
    </row>
    <row r="980" spans="3:6" x14ac:dyDescent="0.25">
      <c r="C980" s="25" t="str">
        <f t="shared" si="16"/>
        <v/>
      </c>
      <c r="F980" s="29" cm="1">
        <f t="array" ref="F980">SUMPRODUCT((ТВ!$A$2:$A$1000='ТВ Каналы'!A980)*(ТВ!$B$2:$B$1000='ТВ Каналы'!D980)*ТВ!$C$2:$C$1000)</f>
        <v>0</v>
      </c>
    </row>
    <row r="981" spans="3:6" x14ac:dyDescent="0.25">
      <c r="C981" s="25" t="str">
        <f t="shared" si="16"/>
        <v/>
      </c>
      <c r="F981" s="29" cm="1">
        <f t="array" ref="F981">SUMPRODUCT((ТВ!$A$2:$A$1000='ТВ Каналы'!A981)*(ТВ!$B$2:$B$1000='ТВ Каналы'!D981)*ТВ!$C$2:$C$1000)</f>
        <v>0</v>
      </c>
    </row>
    <row r="982" spans="3:6" x14ac:dyDescent="0.25">
      <c r="C982" s="25" t="str">
        <f t="shared" si="16"/>
        <v/>
      </c>
      <c r="F982" s="29" cm="1">
        <f t="array" ref="F982">SUMPRODUCT((ТВ!$A$2:$A$1000='ТВ Каналы'!A982)*(ТВ!$B$2:$B$1000='ТВ Каналы'!D982)*ТВ!$C$2:$C$1000)</f>
        <v>0</v>
      </c>
    </row>
    <row r="983" spans="3:6" x14ac:dyDescent="0.25">
      <c r="C983" s="25" t="str">
        <f t="shared" si="16"/>
        <v/>
      </c>
      <c r="F983" s="29" cm="1">
        <f t="array" ref="F983">SUMPRODUCT((ТВ!$A$2:$A$1000='ТВ Каналы'!A983)*(ТВ!$B$2:$B$1000='ТВ Каналы'!D983)*ТВ!$C$2:$C$1000)</f>
        <v>0</v>
      </c>
    </row>
    <row r="984" spans="3:6" x14ac:dyDescent="0.25">
      <c r="C984" s="25" t="str">
        <f t="shared" si="16"/>
        <v/>
      </c>
      <c r="F984" s="29" cm="1">
        <f t="array" ref="F984">SUMPRODUCT((ТВ!$A$2:$A$1000='ТВ Каналы'!A984)*(ТВ!$B$2:$B$1000='ТВ Каналы'!D984)*ТВ!$C$2:$C$1000)</f>
        <v>0</v>
      </c>
    </row>
    <row r="985" spans="3:6" x14ac:dyDescent="0.25">
      <c r="C985" s="25" t="str">
        <f t="shared" si="16"/>
        <v/>
      </c>
      <c r="F985" s="29" cm="1">
        <f t="array" ref="F985">SUMPRODUCT((ТВ!$A$2:$A$1000='ТВ Каналы'!A985)*(ТВ!$B$2:$B$1000='ТВ Каналы'!D985)*ТВ!$C$2:$C$1000)</f>
        <v>0</v>
      </c>
    </row>
    <row r="986" spans="3:6" x14ac:dyDescent="0.25">
      <c r="C986" s="25" t="str">
        <f t="shared" si="16"/>
        <v/>
      </c>
      <c r="F986" s="29" cm="1">
        <f t="array" ref="F986">SUMPRODUCT((ТВ!$A$2:$A$1000='ТВ Каналы'!A986)*(ТВ!$B$2:$B$1000='ТВ Каналы'!D986)*ТВ!$C$2:$C$1000)</f>
        <v>0</v>
      </c>
    </row>
    <row r="987" spans="3:6" x14ac:dyDescent="0.25">
      <c r="C987" s="25" t="str">
        <f t="shared" si="16"/>
        <v/>
      </c>
      <c r="F987" s="29" cm="1">
        <f t="array" ref="F987">SUMPRODUCT((ТВ!$A$2:$A$1000='ТВ Каналы'!A987)*(ТВ!$B$2:$B$1000='ТВ Каналы'!D987)*ТВ!$C$2:$C$1000)</f>
        <v>0</v>
      </c>
    </row>
    <row r="988" spans="3:6" x14ac:dyDescent="0.25">
      <c r="C988" s="25" t="str">
        <f t="shared" si="16"/>
        <v/>
      </c>
      <c r="F988" s="29" cm="1">
        <f t="array" ref="F988">SUMPRODUCT((ТВ!$A$2:$A$1000='ТВ Каналы'!A988)*(ТВ!$B$2:$B$1000='ТВ Каналы'!D988)*ТВ!$C$2:$C$1000)</f>
        <v>0</v>
      </c>
    </row>
    <row r="989" spans="3:6" x14ac:dyDescent="0.25">
      <c r="C989" s="25" t="str">
        <f t="shared" si="16"/>
        <v/>
      </c>
      <c r="F989" s="29" cm="1">
        <f t="array" ref="F989">SUMPRODUCT((ТВ!$A$2:$A$1000='ТВ Каналы'!A989)*(ТВ!$B$2:$B$1000='ТВ Каналы'!D989)*ТВ!$C$2:$C$1000)</f>
        <v>0</v>
      </c>
    </row>
    <row r="990" spans="3:6" x14ac:dyDescent="0.25">
      <c r="C990" s="25" t="str">
        <f t="shared" si="16"/>
        <v/>
      </c>
      <c r="F990" s="29" cm="1">
        <f t="array" ref="F990">SUMPRODUCT((ТВ!$A$2:$A$1000='ТВ Каналы'!A990)*(ТВ!$B$2:$B$1000='ТВ Каналы'!D990)*ТВ!$C$2:$C$1000)</f>
        <v>0</v>
      </c>
    </row>
    <row r="991" spans="3:6" x14ac:dyDescent="0.25">
      <c r="C991" s="25" t="str">
        <f t="shared" si="16"/>
        <v/>
      </c>
      <c r="F991" s="29" cm="1">
        <f t="array" ref="F991">SUMPRODUCT((ТВ!$A$2:$A$1000='ТВ Каналы'!A991)*(ТВ!$B$2:$B$1000='ТВ Каналы'!D991)*ТВ!$C$2:$C$1000)</f>
        <v>0</v>
      </c>
    </row>
    <row r="992" spans="3:6" x14ac:dyDescent="0.25">
      <c r="C992" s="25" t="str">
        <f t="shared" si="16"/>
        <v/>
      </c>
      <c r="F992" s="29" cm="1">
        <f t="array" ref="F992">SUMPRODUCT((ТВ!$A$2:$A$1000='ТВ Каналы'!A992)*(ТВ!$B$2:$B$1000='ТВ Каналы'!D992)*ТВ!$C$2:$C$1000)</f>
        <v>0</v>
      </c>
    </row>
    <row r="993" spans="3:6" x14ac:dyDescent="0.25">
      <c r="C993" s="25" t="str">
        <f t="shared" si="16"/>
        <v/>
      </c>
      <c r="F993" s="29" cm="1">
        <f t="array" ref="F993">SUMPRODUCT((ТВ!$A$2:$A$1000='ТВ Каналы'!A993)*(ТВ!$B$2:$B$1000='ТВ Каналы'!D993)*ТВ!$C$2:$C$1000)</f>
        <v>0</v>
      </c>
    </row>
    <row r="994" spans="3:6" x14ac:dyDescent="0.25">
      <c r="C994" s="25" t="str">
        <f t="shared" si="16"/>
        <v/>
      </c>
      <c r="F994" s="29" cm="1">
        <f t="array" ref="F994">SUMPRODUCT((ТВ!$A$2:$A$1000='ТВ Каналы'!A994)*(ТВ!$B$2:$B$1000='ТВ Каналы'!D994)*ТВ!$C$2:$C$1000)</f>
        <v>0</v>
      </c>
    </row>
    <row r="995" spans="3:6" x14ac:dyDescent="0.25">
      <c r="C995" s="25" t="str">
        <f t="shared" si="16"/>
        <v/>
      </c>
      <c r="F995" s="29" cm="1">
        <f t="array" ref="F995">SUMPRODUCT((ТВ!$A$2:$A$1000='ТВ Каналы'!A995)*(ТВ!$B$2:$B$1000='ТВ Каналы'!D995)*ТВ!$C$2:$C$1000)</f>
        <v>0</v>
      </c>
    </row>
  </sheetData>
  <phoneticPr fontId="12" type="noConversion"/>
  <dataValidations count="2">
    <dataValidation type="list" allowBlank="1" showInputMessage="1" showErrorMessage="1" sqref="D2:D983" xr:uid="{35AD7B8C-9641-4BCE-9FC7-9627FD2082A7}">
      <formula1>Канал</formula1>
    </dataValidation>
    <dataValidation type="list" allowBlank="1" showInputMessage="1" showErrorMessage="1" sqref="B2:B918 A2:A1000" xr:uid="{C7525333-A910-4BFA-8D1B-914E112897B0}">
      <formula1>#REF!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9AD22-ECDC-472B-85B3-BD60B435A903}">
  <sheetPr codeName="Лист8">
    <tabColor rgb="FF92D050"/>
  </sheetPr>
  <dimension ref="A1:J1028"/>
  <sheetViews>
    <sheetView zoomScale="125" workbookViewId="0">
      <selection activeCell="E17" sqref="E17"/>
    </sheetView>
  </sheetViews>
  <sheetFormatPr defaultColWidth="8.85546875" defaultRowHeight="15" x14ac:dyDescent="0.25"/>
  <cols>
    <col min="1" max="2" width="18.85546875" style="25" customWidth="1"/>
    <col min="3" max="3" width="18.85546875" style="25" hidden="1" customWidth="1"/>
    <col min="4" max="4" width="18.85546875" style="25" customWidth="1"/>
    <col min="5" max="5" width="33.42578125" style="25" customWidth="1"/>
    <col min="6" max="6" width="18" style="27" customWidth="1"/>
  </cols>
  <sheetData>
    <row r="1" spans="1:10" x14ac:dyDescent="0.25">
      <c r="A1" s="26" t="s">
        <v>69</v>
      </c>
      <c r="B1" s="26" t="s">
        <v>70</v>
      </c>
      <c r="C1" s="26" t="s">
        <v>71</v>
      </c>
      <c r="D1" s="26" t="s">
        <v>85</v>
      </c>
      <c r="E1" s="26" t="s">
        <v>25</v>
      </c>
      <c r="F1" s="26" t="s">
        <v>74</v>
      </c>
      <c r="J1" t="s">
        <v>75</v>
      </c>
    </row>
    <row r="2" spans="1:10" x14ac:dyDescent="0.25">
      <c r="A2" s="25" t="s">
        <v>68</v>
      </c>
      <c r="B2" s="25" t="s">
        <v>4</v>
      </c>
      <c r="C2" s="25" t="str">
        <f>_xlfn.CONCAT(A2,B2)</f>
        <v>МоскваПрямая Реклама</v>
      </c>
      <c r="D2" s="25" t="s">
        <v>86</v>
      </c>
      <c r="E2" s="25">
        <v>0</v>
      </c>
      <c r="F2" s="29" cm="1">
        <f t="array" ref="F2">SUMPRODUCT((Radio!$A$2:$A$1000=Радиостанции!A2)*(Radio!$B$2:$B$1000=Радиостанции!D2)*Radio!$C$2:$C$1000)</f>
        <v>397.21428571428572</v>
      </c>
    </row>
    <row r="3" spans="1:10" x14ac:dyDescent="0.25">
      <c r="A3" s="25" t="s">
        <v>68</v>
      </c>
      <c r="B3" s="25" t="s">
        <v>4</v>
      </c>
      <c r="C3" s="25" t="str">
        <f t="shared" ref="C3:C66" si="0">_xlfn.CONCAT(A3,B3)</f>
        <v>МоскваПрямая Реклама</v>
      </c>
      <c r="D3" s="25" t="s">
        <v>87</v>
      </c>
      <c r="E3" s="25">
        <v>0</v>
      </c>
      <c r="F3" s="29" cm="1">
        <f t="array" ref="F3">SUMPRODUCT((Radio!$A$2:$A$1000=Радиостанции!A3)*(Radio!$B$2:$B$1000=Радиостанции!D3)*Radio!$C$2:$C$1000)</f>
        <v>137.32857142857142</v>
      </c>
    </row>
    <row r="4" spans="1:10" x14ac:dyDescent="0.25">
      <c r="A4" s="25" t="s">
        <v>68</v>
      </c>
      <c r="B4" s="25" t="s">
        <v>4</v>
      </c>
      <c r="C4" s="25" t="str">
        <f t="shared" si="0"/>
        <v>МоскваПрямая Реклама</v>
      </c>
      <c r="D4" s="25" t="s">
        <v>88</v>
      </c>
      <c r="E4" s="25">
        <v>0</v>
      </c>
      <c r="F4" s="29" cm="1">
        <f t="array" ref="F4">SUMPRODUCT((Radio!$A$2:$A$1000=Радиостанции!A4)*(Radio!$B$2:$B$1000=Радиостанции!D4)*Radio!$C$2:$C$1000)</f>
        <v>221.9</v>
      </c>
    </row>
    <row r="5" spans="1:10" x14ac:dyDescent="0.25">
      <c r="A5" s="25" t="s">
        <v>68</v>
      </c>
      <c r="B5" s="25" t="s">
        <v>4</v>
      </c>
      <c r="C5" s="25" t="str">
        <f t="shared" si="0"/>
        <v>МоскваПрямая Реклама</v>
      </c>
      <c r="D5" s="25" t="s">
        <v>89</v>
      </c>
      <c r="E5" s="25">
        <v>0</v>
      </c>
      <c r="F5" s="29" cm="1">
        <f t="array" ref="F5">SUMPRODUCT((Radio!$A$2:$A$1000=Радиостанции!A5)*(Radio!$B$2:$B$1000=Радиостанции!D5)*Radio!$C$2:$C$1000)</f>
        <v>232.98571428571429</v>
      </c>
    </row>
    <row r="6" spans="1:10" x14ac:dyDescent="0.25">
      <c r="A6" s="25" t="s">
        <v>68</v>
      </c>
      <c r="B6" s="25" t="s">
        <v>4</v>
      </c>
      <c r="C6" s="25" t="str">
        <f t="shared" si="0"/>
        <v>МоскваПрямая Реклама</v>
      </c>
      <c r="D6" s="25" t="s">
        <v>90</v>
      </c>
      <c r="E6" s="25">
        <v>0</v>
      </c>
      <c r="F6" s="29" cm="1">
        <f t="array" ref="F6">SUMPRODUCT((Radio!$A$2:$A$1000=Радиостанции!A6)*(Radio!$B$2:$B$1000=Радиостанции!D6)*Radio!$C$2:$C$1000)</f>
        <v>222.78571428571428</v>
      </c>
    </row>
    <row r="7" spans="1:10" x14ac:dyDescent="0.25">
      <c r="A7" s="25" t="s">
        <v>68</v>
      </c>
      <c r="B7" s="25" t="s">
        <v>3</v>
      </c>
      <c r="C7" s="25" t="str">
        <f t="shared" si="0"/>
        <v>МоскваСпонсорство</v>
      </c>
      <c r="D7" s="25" t="s">
        <v>91</v>
      </c>
      <c r="E7" s="25">
        <v>20</v>
      </c>
      <c r="F7" s="29" cm="1">
        <f t="array" ref="F7">SUMPRODUCT((Radio!$A$2:$A$1000=Радиостанции!A7)*(Radio!$B$2:$B$1000=Радиостанции!D7)*Radio!$C$2:$C$1000)</f>
        <v>246.85714285714286</v>
      </c>
    </row>
    <row r="8" spans="1:10" x14ac:dyDescent="0.25">
      <c r="A8" s="25" t="s">
        <v>68</v>
      </c>
      <c r="B8" s="25" t="s">
        <v>3</v>
      </c>
      <c r="C8" s="25" t="str">
        <f t="shared" si="0"/>
        <v>МоскваСпонсорство</v>
      </c>
      <c r="D8" s="25" t="s">
        <v>88</v>
      </c>
      <c r="E8" s="25">
        <v>20</v>
      </c>
      <c r="F8" s="29" cm="1">
        <f t="array" ref="F8">SUMPRODUCT((Radio!$A$2:$A$1000=Радиостанции!A8)*(Radio!$B$2:$B$1000=Радиостанции!D8)*Radio!$C$2:$C$1000)</f>
        <v>221.9</v>
      </c>
    </row>
    <row r="9" spans="1:10" x14ac:dyDescent="0.25">
      <c r="A9" s="25" t="s">
        <v>68</v>
      </c>
      <c r="B9" s="25" t="s">
        <v>3</v>
      </c>
      <c r="C9" s="25" t="str">
        <f t="shared" si="0"/>
        <v>МоскваСпонсорство</v>
      </c>
      <c r="D9" s="25" t="s">
        <v>87</v>
      </c>
      <c r="E9" s="25">
        <v>20</v>
      </c>
      <c r="F9" s="29" cm="1">
        <f t="array" ref="F9">SUMPRODUCT((Radio!$A$2:$A$1000=Радиостанции!A9)*(Radio!$B$2:$B$1000=Радиостанции!D9)*Radio!$C$2:$C$1000)</f>
        <v>137.32857142857142</v>
      </c>
    </row>
    <row r="10" spans="1:10" x14ac:dyDescent="0.25">
      <c r="A10" s="25" t="s">
        <v>67</v>
      </c>
      <c r="B10" s="25" t="s">
        <v>4</v>
      </c>
      <c r="C10" s="25" t="str">
        <f t="shared" si="0"/>
        <v>Санкт-ПетербургПрямая Реклама</v>
      </c>
      <c r="D10" s="25" t="s">
        <v>92</v>
      </c>
      <c r="E10" s="25">
        <v>200</v>
      </c>
      <c r="F10" s="29" cm="1">
        <f t="array" ref="F10">SUMPRODUCT((Radio!$A$2:$A$1000=Радиостанции!A10)*(Radio!$B$2:$B$1000=Радиостанции!D10)*Radio!$C$2:$C$1000)</f>
        <v>26.185714285714287</v>
      </c>
    </row>
    <row r="11" spans="1:10" x14ac:dyDescent="0.25">
      <c r="A11" s="25" t="s">
        <v>67</v>
      </c>
      <c r="B11" s="25" t="s">
        <v>4</v>
      </c>
      <c r="C11" s="25" t="str">
        <f t="shared" si="0"/>
        <v>Санкт-ПетербургПрямая Реклама</v>
      </c>
      <c r="D11" s="25" t="s">
        <v>87</v>
      </c>
      <c r="F11" s="29" cm="1">
        <f t="array" ref="F11">SUMPRODUCT((Radio!$A$2:$A$1000=Радиостанции!A11)*(Radio!$B$2:$B$1000=Радиостанции!D11)*Radio!$C$2:$C$1000)</f>
        <v>27.214285714285715</v>
      </c>
    </row>
    <row r="12" spans="1:10" x14ac:dyDescent="0.25">
      <c r="A12" s="25" t="s">
        <v>67</v>
      </c>
      <c r="B12" s="25" t="s">
        <v>3</v>
      </c>
      <c r="C12" s="25" t="str">
        <f t="shared" si="0"/>
        <v>Санкт-ПетербургСпонсорство</v>
      </c>
      <c r="D12" s="25" t="s">
        <v>93</v>
      </c>
      <c r="F12" s="29" cm="1">
        <f t="array" ref="F12">SUMPRODUCT((Radio!$A$2:$A$1000=Радиостанции!A12)*(Radio!$B$2:$B$1000=Радиостанции!D12)*Radio!$C$2:$C$1000)</f>
        <v>181.92857142857142</v>
      </c>
    </row>
    <row r="13" spans="1:10" x14ac:dyDescent="0.25">
      <c r="A13" s="25" t="s">
        <v>61</v>
      </c>
      <c r="B13" s="25" t="s">
        <v>3</v>
      </c>
      <c r="C13" s="25" t="str">
        <f t="shared" si="0"/>
        <v>КраснодарСпонсорство</v>
      </c>
      <c r="D13" s="25" t="s">
        <v>86</v>
      </c>
      <c r="F13" s="29" cm="1">
        <f t="array" ref="F13">SUMPRODUCT((Radio!$A$2:$A$1000=Радиостанции!A13)*(Radio!$B$2:$B$1000=Радиостанции!D13)*Radio!$C$2:$C$1000)</f>
        <v>37.214285714285715</v>
      </c>
    </row>
    <row r="14" spans="1:10" x14ac:dyDescent="0.25">
      <c r="A14" s="25" t="s">
        <v>61</v>
      </c>
      <c r="B14" s="25" t="s">
        <v>4</v>
      </c>
      <c r="C14" s="25" t="str">
        <f t="shared" si="0"/>
        <v>КраснодарПрямая Реклама</v>
      </c>
      <c r="D14" s="25" t="s">
        <v>93</v>
      </c>
      <c r="F14" s="29" cm="1">
        <f t="array" ref="F14">SUMPRODUCT((Radio!$A$2:$A$1000=Радиостанции!A14)*(Radio!$B$2:$B$1000=Радиостанции!D14)*Radio!$C$2:$C$1000)</f>
        <v>41.74285714285714</v>
      </c>
    </row>
    <row r="15" spans="1:10" x14ac:dyDescent="0.25">
      <c r="A15" s="25" t="s">
        <v>66</v>
      </c>
      <c r="B15" s="25" t="s">
        <v>4</v>
      </c>
      <c r="C15" s="25" t="str">
        <f t="shared" si="0"/>
        <v>ЕкатеринбургПрямая Реклама</v>
      </c>
      <c r="D15" s="25" t="s">
        <v>94</v>
      </c>
      <c r="F15" s="29" cm="1">
        <f t="array" ref="F15">SUMPRODUCT((Radio!$A$2:$A$1000=Радиостанции!A15)*(Radio!$B$2:$B$1000=Радиостанции!D15)*Radio!$C$2:$C$1000)</f>
        <v>23.857142857142858</v>
      </c>
    </row>
    <row r="16" spans="1:10" x14ac:dyDescent="0.25">
      <c r="C16" s="25" t="str">
        <f t="shared" si="0"/>
        <v/>
      </c>
      <c r="F16" s="29" cm="1">
        <f t="array" ref="F16">SUMPRODUCT((Radio!$A$2:$A$1000=Радиостанции!A16)*(Radio!$B$2:$B$1000=Радиостанции!D16)*Radio!$C$2:$C$1000)</f>
        <v>0</v>
      </c>
    </row>
    <row r="17" spans="3:6" x14ac:dyDescent="0.25">
      <c r="C17" s="25" t="str">
        <f t="shared" si="0"/>
        <v/>
      </c>
      <c r="F17" s="29" cm="1">
        <f t="array" ref="F17">SUMPRODUCT((Radio!$A$2:$A$1000=Радиостанции!A17)*(Radio!$B$2:$B$1000=Радиостанции!D17)*Radio!$C$2:$C$1000)</f>
        <v>0</v>
      </c>
    </row>
    <row r="18" spans="3:6" x14ac:dyDescent="0.25">
      <c r="C18" s="25" t="str">
        <f t="shared" si="0"/>
        <v/>
      </c>
      <c r="F18" s="29" cm="1">
        <f t="array" ref="F18">SUMPRODUCT((Radio!$A$2:$A$1000=Радиостанции!A18)*(Radio!$B$2:$B$1000=Радиостанции!D18)*Radio!$C$2:$C$1000)</f>
        <v>0</v>
      </c>
    </row>
    <row r="19" spans="3:6" x14ac:dyDescent="0.25">
      <c r="C19" s="25" t="str">
        <f t="shared" si="0"/>
        <v/>
      </c>
      <c r="F19" s="29" cm="1">
        <f t="array" ref="F19">SUMPRODUCT((Radio!$A$2:$A$1000=Радиостанции!A19)*(Radio!$B$2:$B$1000=Радиостанции!D19)*Radio!$C$2:$C$1000)</f>
        <v>0</v>
      </c>
    </row>
    <row r="20" spans="3:6" x14ac:dyDescent="0.25">
      <c r="C20" s="25" t="str">
        <f t="shared" si="0"/>
        <v/>
      </c>
      <c r="F20" s="29" cm="1">
        <f t="array" ref="F20">SUMPRODUCT((Radio!$A$2:$A$1000=Радиостанции!A20)*(Radio!$B$2:$B$1000=Радиостанции!D20)*Radio!$C$2:$C$1000)</f>
        <v>0</v>
      </c>
    </row>
    <row r="21" spans="3:6" x14ac:dyDescent="0.25">
      <c r="C21" s="25" t="str">
        <f t="shared" si="0"/>
        <v/>
      </c>
      <c r="F21" s="29" cm="1">
        <f t="array" ref="F21">SUMPRODUCT((Radio!$A$2:$A$1000=Радиостанции!A21)*(Radio!$B$2:$B$1000=Радиостанции!D21)*Radio!$C$2:$C$1000)</f>
        <v>0</v>
      </c>
    </row>
    <row r="22" spans="3:6" x14ac:dyDescent="0.25">
      <c r="C22" s="25" t="str">
        <f t="shared" si="0"/>
        <v/>
      </c>
      <c r="F22" s="29" cm="1">
        <f t="array" ref="F22">SUMPRODUCT((Radio!$A$2:$A$1000=Радиостанции!A22)*(Radio!$B$2:$B$1000=Радиостанции!D22)*Radio!$C$2:$C$1000)</f>
        <v>0</v>
      </c>
    </row>
    <row r="23" spans="3:6" x14ac:dyDescent="0.25">
      <c r="C23" s="25" t="str">
        <f t="shared" si="0"/>
        <v/>
      </c>
      <c r="F23" s="29" cm="1">
        <f t="array" ref="F23">SUMPRODUCT((Radio!$A$2:$A$1000=Радиостанции!A23)*(Radio!$B$2:$B$1000=Радиостанции!D23)*Radio!$C$2:$C$1000)</f>
        <v>0</v>
      </c>
    </row>
    <row r="24" spans="3:6" x14ac:dyDescent="0.25">
      <c r="C24" s="25" t="str">
        <f t="shared" si="0"/>
        <v/>
      </c>
      <c r="F24" s="29" cm="1">
        <f t="array" ref="F24">SUMPRODUCT((Radio!$A$2:$A$1000=Радиостанции!A24)*(Radio!$B$2:$B$1000=Радиостанции!D24)*Radio!$C$2:$C$1000)</f>
        <v>0</v>
      </c>
    </row>
    <row r="25" spans="3:6" x14ac:dyDescent="0.25">
      <c r="C25" s="25" t="str">
        <f t="shared" si="0"/>
        <v/>
      </c>
      <c r="F25" s="29" cm="1">
        <f t="array" ref="F25">SUMPRODUCT((Radio!$A$2:$A$1000=Радиостанции!A25)*(Radio!$B$2:$B$1000=Радиостанции!D25)*Radio!$C$2:$C$1000)</f>
        <v>0</v>
      </c>
    </row>
    <row r="26" spans="3:6" x14ac:dyDescent="0.25">
      <c r="C26" s="25" t="str">
        <f t="shared" si="0"/>
        <v/>
      </c>
      <c r="F26" s="29" cm="1">
        <f t="array" ref="F26">SUMPRODUCT((Radio!$A$2:$A$1000=Радиостанции!A26)*(Radio!$B$2:$B$1000=Радиостанции!D26)*Radio!$C$2:$C$1000)</f>
        <v>0</v>
      </c>
    </row>
    <row r="27" spans="3:6" x14ac:dyDescent="0.25">
      <c r="C27" s="25" t="str">
        <f t="shared" si="0"/>
        <v/>
      </c>
      <c r="F27" s="29" cm="1">
        <f t="array" ref="F27">SUMPRODUCT((Radio!$A$2:$A$1000=Радиостанции!A27)*(Radio!$B$2:$B$1000=Радиостанции!D27)*Radio!$C$2:$C$1000)</f>
        <v>0</v>
      </c>
    </row>
    <row r="28" spans="3:6" x14ac:dyDescent="0.25">
      <c r="C28" s="25" t="str">
        <f t="shared" si="0"/>
        <v/>
      </c>
      <c r="F28" s="29" cm="1">
        <f t="array" ref="F28">SUMPRODUCT((Radio!$A$2:$A$1000=Радиостанции!A28)*(Radio!$B$2:$B$1000=Радиостанции!D28)*Radio!$C$2:$C$1000)</f>
        <v>0</v>
      </c>
    </row>
    <row r="29" spans="3:6" x14ac:dyDescent="0.25">
      <c r="C29" s="25" t="str">
        <f t="shared" si="0"/>
        <v/>
      </c>
      <c r="F29" s="29" cm="1">
        <f t="array" ref="F29">SUMPRODUCT((Radio!$A$2:$A$1000=Радиостанции!A29)*(Radio!$B$2:$B$1000=Радиостанции!D29)*Radio!$C$2:$C$1000)</f>
        <v>0</v>
      </c>
    </row>
    <row r="30" spans="3:6" x14ac:dyDescent="0.25">
      <c r="C30" s="25" t="str">
        <f t="shared" si="0"/>
        <v/>
      </c>
      <c r="F30" s="29" cm="1">
        <f t="array" ref="F30">SUMPRODUCT((Radio!$A$2:$A$1000=Радиостанции!A30)*(Radio!$B$2:$B$1000=Радиостанции!D30)*Radio!$C$2:$C$1000)</f>
        <v>0</v>
      </c>
    </row>
    <row r="31" spans="3:6" x14ac:dyDescent="0.25">
      <c r="C31" s="25" t="str">
        <f t="shared" si="0"/>
        <v/>
      </c>
      <c r="F31" s="29" cm="1">
        <f t="array" ref="F31">SUMPRODUCT((Radio!$A$2:$A$1000=Радиостанции!A31)*(Radio!$B$2:$B$1000=Радиостанции!D31)*Radio!$C$2:$C$1000)</f>
        <v>0</v>
      </c>
    </row>
    <row r="32" spans="3:6" x14ac:dyDescent="0.25">
      <c r="C32" s="25" t="str">
        <f t="shared" si="0"/>
        <v/>
      </c>
      <c r="F32" s="29" cm="1">
        <f t="array" ref="F32">SUMPRODUCT((Radio!$A$2:$A$1000=Радиостанции!A32)*(Radio!$B$2:$B$1000=Радиостанции!D32)*Radio!$C$2:$C$1000)</f>
        <v>0</v>
      </c>
    </row>
    <row r="33" spans="3:6" x14ac:dyDescent="0.25">
      <c r="C33" s="25" t="str">
        <f t="shared" si="0"/>
        <v/>
      </c>
      <c r="F33" s="29" cm="1">
        <f t="array" ref="F33">SUMPRODUCT((Radio!$A$2:$A$1000=Радиостанции!A33)*(Radio!$B$2:$B$1000=Радиостанции!D33)*Radio!$C$2:$C$1000)</f>
        <v>0</v>
      </c>
    </row>
    <row r="34" spans="3:6" x14ac:dyDescent="0.25">
      <c r="C34" s="25" t="str">
        <f t="shared" si="0"/>
        <v/>
      </c>
      <c r="F34" s="29" cm="1">
        <f t="array" ref="F34">SUMPRODUCT((Radio!$A$2:$A$1000=Радиостанции!A34)*(Radio!$B$2:$B$1000=Радиостанции!D34)*Radio!$C$2:$C$1000)</f>
        <v>0</v>
      </c>
    </row>
    <row r="35" spans="3:6" x14ac:dyDescent="0.25">
      <c r="C35" s="25" t="str">
        <f t="shared" si="0"/>
        <v/>
      </c>
      <c r="F35" s="29" cm="1">
        <f t="array" ref="F35">SUMPRODUCT((Radio!$A$2:$A$1000=Радиостанции!A35)*(Radio!$B$2:$B$1000=Радиостанции!D35)*Radio!$C$2:$C$1000)</f>
        <v>0</v>
      </c>
    </row>
    <row r="36" spans="3:6" x14ac:dyDescent="0.25">
      <c r="C36" s="25" t="str">
        <f t="shared" si="0"/>
        <v/>
      </c>
      <c r="F36" s="29" cm="1">
        <f t="array" ref="F36">SUMPRODUCT((Radio!$A$2:$A$1000=Радиостанции!A36)*(Radio!$B$2:$B$1000=Радиостанции!D36)*Radio!$C$2:$C$1000)</f>
        <v>0</v>
      </c>
    </row>
    <row r="37" spans="3:6" x14ac:dyDescent="0.25">
      <c r="C37" s="25" t="str">
        <f t="shared" si="0"/>
        <v/>
      </c>
      <c r="F37" s="29" cm="1">
        <f t="array" ref="F37">SUMPRODUCT((Radio!$A$2:$A$1000=Радиостанции!A37)*(Radio!$B$2:$B$1000=Радиостанции!D37)*Radio!$C$2:$C$1000)</f>
        <v>0</v>
      </c>
    </row>
    <row r="38" spans="3:6" x14ac:dyDescent="0.25">
      <c r="C38" s="25" t="str">
        <f t="shared" si="0"/>
        <v/>
      </c>
      <c r="F38" s="29" cm="1">
        <f t="array" ref="F38">SUMPRODUCT((Radio!$A$2:$A$1000=Радиостанции!A38)*(Radio!$B$2:$B$1000=Радиостанции!D38)*Radio!$C$2:$C$1000)</f>
        <v>0</v>
      </c>
    </row>
    <row r="39" spans="3:6" x14ac:dyDescent="0.25">
      <c r="C39" s="25" t="str">
        <f t="shared" si="0"/>
        <v/>
      </c>
      <c r="F39" s="29" cm="1">
        <f t="array" ref="F39">SUMPRODUCT((Radio!$A$2:$A$1000=Радиостанции!A39)*(Radio!$B$2:$B$1000=Радиостанции!D39)*Radio!$C$2:$C$1000)</f>
        <v>0</v>
      </c>
    </row>
    <row r="40" spans="3:6" x14ac:dyDescent="0.25">
      <c r="C40" s="25" t="str">
        <f t="shared" si="0"/>
        <v/>
      </c>
      <c r="F40" s="29" cm="1">
        <f t="array" ref="F40">SUMPRODUCT((Radio!$A$2:$A$1000=Радиостанции!A40)*(Radio!$B$2:$B$1000=Радиостанции!D40)*Radio!$C$2:$C$1000)</f>
        <v>0</v>
      </c>
    </row>
    <row r="41" spans="3:6" x14ac:dyDescent="0.25">
      <c r="C41" s="25" t="str">
        <f t="shared" si="0"/>
        <v/>
      </c>
      <c r="F41" s="29" cm="1">
        <f t="array" ref="F41">SUMPRODUCT((Radio!$A$2:$A$1000=Радиостанции!A41)*(Radio!$B$2:$B$1000=Радиостанции!D41)*Radio!$C$2:$C$1000)</f>
        <v>0</v>
      </c>
    </row>
    <row r="42" spans="3:6" x14ac:dyDescent="0.25">
      <c r="C42" s="25" t="str">
        <f t="shared" si="0"/>
        <v/>
      </c>
      <c r="F42" s="29" cm="1">
        <f t="array" ref="F42">SUMPRODUCT((Radio!$A$2:$A$1000=Радиостанции!A42)*(Radio!$B$2:$B$1000=Радиостанции!D42)*Radio!$C$2:$C$1000)</f>
        <v>0</v>
      </c>
    </row>
    <row r="43" spans="3:6" x14ac:dyDescent="0.25">
      <c r="C43" s="25" t="str">
        <f t="shared" si="0"/>
        <v/>
      </c>
      <c r="F43" s="29" cm="1">
        <f t="array" ref="F43">SUMPRODUCT((Radio!$A$2:$A$1000=Радиостанции!A43)*(Radio!$B$2:$B$1000=Радиостанции!D43)*Radio!$C$2:$C$1000)</f>
        <v>0</v>
      </c>
    </row>
    <row r="44" spans="3:6" x14ac:dyDescent="0.25">
      <c r="C44" s="25" t="str">
        <f t="shared" si="0"/>
        <v/>
      </c>
      <c r="F44" s="29" cm="1">
        <f t="array" ref="F44">SUMPRODUCT((Radio!$A$2:$A$1000=Радиостанции!A44)*(Radio!$B$2:$B$1000=Радиостанции!D44)*Radio!$C$2:$C$1000)</f>
        <v>0</v>
      </c>
    </row>
    <row r="45" spans="3:6" x14ac:dyDescent="0.25">
      <c r="C45" s="25" t="str">
        <f t="shared" si="0"/>
        <v/>
      </c>
      <c r="F45" s="29" cm="1">
        <f t="array" ref="F45">SUMPRODUCT((Radio!$A$2:$A$1000=Радиостанции!A45)*(Radio!$B$2:$B$1000=Радиостанции!D45)*Radio!$C$2:$C$1000)</f>
        <v>0</v>
      </c>
    </row>
    <row r="46" spans="3:6" x14ac:dyDescent="0.25">
      <c r="C46" s="25" t="str">
        <f t="shared" si="0"/>
        <v/>
      </c>
      <c r="F46" s="29" cm="1">
        <f t="array" ref="F46">SUMPRODUCT((Radio!$A$2:$A$1000=Радиостанции!A46)*(Radio!$B$2:$B$1000=Радиостанции!D46)*Radio!$C$2:$C$1000)</f>
        <v>0</v>
      </c>
    </row>
    <row r="47" spans="3:6" x14ac:dyDescent="0.25">
      <c r="C47" s="25" t="str">
        <f t="shared" si="0"/>
        <v/>
      </c>
      <c r="F47" s="29" cm="1">
        <f t="array" ref="F47">SUMPRODUCT((Radio!$A$2:$A$1000=Радиостанции!A47)*(Radio!$B$2:$B$1000=Радиостанции!D47)*Radio!$C$2:$C$1000)</f>
        <v>0</v>
      </c>
    </row>
    <row r="48" spans="3:6" x14ac:dyDescent="0.25">
      <c r="C48" s="25" t="str">
        <f t="shared" si="0"/>
        <v/>
      </c>
      <c r="F48" s="29" cm="1">
        <f t="array" ref="F48">SUMPRODUCT((Radio!$A$2:$A$1000=Радиостанции!A48)*(Radio!$B$2:$B$1000=Радиостанции!D48)*Radio!$C$2:$C$1000)</f>
        <v>0</v>
      </c>
    </row>
    <row r="49" spans="3:6" x14ac:dyDescent="0.25">
      <c r="C49" s="25" t="str">
        <f t="shared" si="0"/>
        <v/>
      </c>
      <c r="F49" s="29" cm="1">
        <f t="array" ref="F49">SUMPRODUCT((Radio!$A$2:$A$1000=Радиостанции!A49)*(Radio!$B$2:$B$1000=Радиостанции!D49)*Radio!$C$2:$C$1000)</f>
        <v>0</v>
      </c>
    </row>
    <row r="50" spans="3:6" x14ac:dyDescent="0.25">
      <c r="C50" s="25" t="str">
        <f t="shared" si="0"/>
        <v/>
      </c>
      <c r="F50" s="29" cm="1">
        <f t="array" ref="F50">SUMPRODUCT((Radio!$A$2:$A$1000=Радиостанции!A50)*(Radio!$B$2:$B$1000=Радиостанции!D50)*Radio!$C$2:$C$1000)</f>
        <v>0</v>
      </c>
    </row>
    <row r="51" spans="3:6" x14ac:dyDescent="0.25">
      <c r="C51" s="25" t="str">
        <f t="shared" si="0"/>
        <v/>
      </c>
      <c r="F51" s="29" cm="1">
        <f t="array" ref="F51">SUMPRODUCT((Radio!$A$2:$A$1000=Радиостанции!A51)*(Radio!$B$2:$B$1000=Радиостанции!D51)*Radio!$C$2:$C$1000)</f>
        <v>0</v>
      </c>
    </row>
    <row r="52" spans="3:6" x14ac:dyDescent="0.25">
      <c r="C52" s="25" t="str">
        <f t="shared" si="0"/>
        <v/>
      </c>
      <c r="F52" s="29" cm="1">
        <f t="array" ref="F52">SUMPRODUCT((Radio!$A$2:$A$1000=Радиостанции!A52)*(Radio!$B$2:$B$1000=Радиостанции!D52)*Radio!$C$2:$C$1000)</f>
        <v>0</v>
      </c>
    </row>
    <row r="53" spans="3:6" x14ac:dyDescent="0.25">
      <c r="C53" s="25" t="str">
        <f t="shared" si="0"/>
        <v/>
      </c>
      <c r="F53" s="29" cm="1">
        <f t="array" ref="F53">SUMPRODUCT((Radio!$A$2:$A$1000=Радиостанции!A53)*(Radio!$B$2:$B$1000=Радиостанции!D53)*Radio!$C$2:$C$1000)</f>
        <v>0</v>
      </c>
    </row>
    <row r="54" spans="3:6" x14ac:dyDescent="0.25">
      <c r="C54" s="25" t="str">
        <f t="shared" si="0"/>
        <v/>
      </c>
      <c r="F54" s="29" cm="1">
        <f t="array" ref="F54">SUMPRODUCT((Radio!$A$2:$A$1000=Радиостанции!A54)*(Radio!$B$2:$B$1000=Радиостанции!D54)*Radio!$C$2:$C$1000)</f>
        <v>0</v>
      </c>
    </row>
    <row r="55" spans="3:6" x14ac:dyDescent="0.25">
      <c r="C55" s="25" t="str">
        <f t="shared" si="0"/>
        <v/>
      </c>
      <c r="F55" s="29" cm="1">
        <f t="array" ref="F55">SUMPRODUCT((Radio!$A$2:$A$1000=Радиостанции!A55)*(Radio!$B$2:$B$1000=Радиостанции!D55)*Radio!$C$2:$C$1000)</f>
        <v>0</v>
      </c>
    </row>
    <row r="56" spans="3:6" x14ac:dyDescent="0.25">
      <c r="C56" s="25" t="str">
        <f t="shared" si="0"/>
        <v/>
      </c>
      <c r="F56" s="29" cm="1">
        <f t="array" ref="F56">SUMPRODUCT((Radio!$A$2:$A$1000=Радиостанции!A56)*(Radio!$B$2:$B$1000=Радиостанции!D56)*Radio!$C$2:$C$1000)</f>
        <v>0</v>
      </c>
    </row>
    <row r="57" spans="3:6" x14ac:dyDescent="0.25">
      <c r="C57" s="25" t="str">
        <f t="shared" si="0"/>
        <v/>
      </c>
      <c r="F57" s="29" cm="1">
        <f t="array" ref="F57">SUMPRODUCT((Radio!$A$2:$A$1000=Радиостанции!A57)*(Radio!$B$2:$B$1000=Радиостанции!D57)*Radio!$C$2:$C$1000)</f>
        <v>0</v>
      </c>
    </row>
    <row r="58" spans="3:6" x14ac:dyDescent="0.25">
      <c r="C58" s="25" t="str">
        <f t="shared" si="0"/>
        <v/>
      </c>
      <c r="F58" s="29" cm="1">
        <f t="array" ref="F58">SUMPRODUCT((Radio!$A$2:$A$1000=Радиостанции!A58)*(Radio!$B$2:$B$1000=Радиостанции!D58)*Radio!$C$2:$C$1000)</f>
        <v>0</v>
      </c>
    </row>
    <row r="59" spans="3:6" x14ac:dyDescent="0.25">
      <c r="C59" s="25" t="str">
        <f t="shared" si="0"/>
        <v/>
      </c>
      <c r="F59" s="29" cm="1">
        <f t="array" ref="F59">SUMPRODUCT((Radio!$A$2:$A$1000=Радиостанции!A59)*(Radio!$B$2:$B$1000=Радиостанции!D59)*Radio!$C$2:$C$1000)</f>
        <v>0</v>
      </c>
    </row>
    <row r="60" spans="3:6" x14ac:dyDescent="0.25">
      <c r="C60" s="25" t="str">
        <f t="shared" si="0"/>
        <v/>
      </c>
      <c r="F60" s="29" cm="1">
        <f t="array" ref="F60">SUMPRODUCT((Radio!$A$2:$A$1000=Радиостанции!A60)*(Radio!$B$2:$B$1000=Радиостанции!D60)*Radio!$C$2:$C$1000)</f>
        <v>0</v>
      </c>
    </row>
    <row r="61" spans="3:6" x14ac:dyDescent="0.25">
      <c r="C61" s="25" t="str">
        <f t="shared" si="0"/>
        <v/>
      </c>
      <c r="F61" s="29" cm="1">
        <f t="array" ref="F61">SUMPRODUCT((Radio!$A$2:$A$1000=Радиостанции!A61)*(Radio!$B$2:$B$1000=Радиостанции!D61)*Radio!$C$2:$C$1000)</f>
        <v>0</v>
      </c>
    </row>
    <row r="62" spans="3:6" x14ac:dyDescent="0.25">
      <c r="C62" s="25" t="str">
        <f t="shared" si="0"/>
        <v/>
      </c>
      <c r="F62" s="29" cm="1">
        <f t="array" ref="F62">SUMPRODUCT((Radio!$A$2:$A$1000=Радиостанции!A62)*(Radio!$B$2:$B$1000=Радиостанции!D62)*Radio!$C$2:$C$1000)</f>
        <v>0</v>
      </c>
    </row>
    <row r="63" spans="3:6" x14ac:dyDescent="0.25">
      <c r="C63" s="25" t="str">
        <f t="shared" si="0"/>
        <v/>
      </c>
      <c r="F63" s="29" cm="1">
        <f t="array" ref="F63">SUMPRODUCT((Radio!$A$2:$A$1000=Радиостанции!A63)*(Radio!$B$2:$B$1000=Радиостанции!D63)*Radio!$C$2:$C$1000)</f>
        <v>0</v>
      </c>
    </row>
    <row r="64" spans="3:6" x14ac:dyDescent="0.25">
      <c r="C64" s="25" t="str">
        <f t="shared" si="0"/>
        <v/>
      </c>
      <c r="F64" s="29" cm="1">
        <f t="array" ref="F64">SUMPRODUCT((Radio!$A$2:$A$1000=Радиостанции!A64)*(Radio!$B$2:$B$1000=Радиостанции!D64)*Radio!$C$2:$C$1000)</f>
        <v>0</v>
      </c>
    </row>
    <row r="65" spans="3:6" x14ac:dyDescent="0.25">
      <c r="C65" s="25" t="str">
        <f t="shared" si="0"/>
        <v/>
      </c>
      <c r="F65" s="29" cm="1">
        <f t="array" ref="F65">SUMPRODUCT((Radio!$A$2:$A$1000=Радиостанции!A65)*(Radio!$B$2:$B$1000=Радиостанции!D65)*Radio!$C$2:$C$1000)</f>
        <v>0</v>
      </c>
    </row>
    <row r="66" spans="3:6" x14ac:dyDescent="0.25">
      <c r="C66" s="25" t="str">
        <f t="shared" si="0"/>
        <v/>
      </c>
      <c r="F66" s="29" cm="1">
        <f t="array" ref="F66">SUMPRODUCT((Radio!$A$2:$A$1000=Радиостанции!A66)*(Radio!$B$2:$B$1000=Радиостанции!D66)*Radio!$C$2:$C$1000)</f>
        <v>0</v>
      </c>
    </row>
    <row r="67" spans="3:6" x14ac:dyDescent="0.25">
      <c r="C67" s="25" t="str">
        <f t="shared" ref="C67:C130" si="1">_xlfn.CONCAT(A67,B67)</f>
        <v/>
      </c>
      <c r="F67" s="29" cm="1">
        <f t="array" ref="F67">SUMPRODUCT((Radio!$A$2:$A$1000=Радиостанции!A67)*(Radio!$B$2:$B$1000=Радиостанции!D67)*Radio!$C$2:$C$1000)</f>
        <v>0</v>
      </c>
    </row>
    <row r="68" spans="3:6" x14ac:dyDescent="0.25">
      <c r="C68" s="25" t="str">
        <f t="shared" si="1"/>
        <v/>
      </c>
      <c r="F68" s="29" cm="1">
        <f t="array" ref="F68">SUMPRODUCT((Radio!$A$2:$A$1000=Радиостанции!A68)*(Radio!$B$2:$B$1000=Радиостанции!D68)*Radio!$C$2:$C$1000)</f>
        <v>0</v>
      </c>
    </row>
    <row r="69" spans="3:6" x14ac:dyDescent="0.25">
      <c r="C69" s="25" t="str">
        <f t="shared" si="1"/>
        <v/>
      </c>
      <c r="F69" s="29" cm="1">
        <f t="array" ref="F69">SUMPRODUCT((Radio!$A$2:$A$1000=Радиостанции!A69)*(Radio!$B$2:$B$1000=Радиостанции!D69)*Radio!$C$2:$C$1000)</f>
        <v>0</v>
      </c>
    </row>
    <row r="70" spans="3:6" x14ac:dyDescent="0.25">
      <c r="C70" s="25" t="str">
        <f t="shared" si="1"/>
        <v/>
      </c>
      <c r="F70" s="29" cm="1">
        <f t="array" ref="F70">SUMPRODUCT((Radio!$A$2:$A$1000=Радиостанции!A70)*(Radio!$B$2:$B$1000=Радиостанции!D70)*Radio!$C$2:$C$1000)</f>
        <v>0</v>
      </c>
    </row>
    <row r="71" spans="3:6" x14ac:dyDescent="0.25">
      <c r="C71" s="25" t="str">
        <f t="shared" si="1"/>
        <v/>
      </c>
      <c r="F71" s="29" cm="1">
        <f t="array" ref="F71">SUMPRODUCT((Radio!$A$2:$A$1000=Радиостанции!A71)*(Radio!$B$2:$B$1000=Радиостанции!D71)*Radio!$C$2:$C$1000)</f>
        <v>0</v>
      </c>
    </row>
    <row r="72" spans="3:6" x14ac:dyDescent="0.25">
      <c r="C72" s="25" t="str">
        <f t="shared" si="1"/>
        <v/>
      </c>
      <c r="F72" s="29" cm="1">
        <f t="array" ref="F72">SUMPRODUCT((Radio!$A$2:$A$1000=Радиостанции!A72)*(Radio!$B$2:$B$1000=Радиостанции!D72)*Radio!$C$2:$C$1000)</f>
        <v>0</v>
      </c>
    </row>
    <row r="73" spans="3:6" x14ac:dyDescent="0.25">
      <c r="C73" s="25" t="str">
        <f t="shared" si="1"/>
        <v/>
      </c>
      <c r="F73" s="29" cm="1">
        <f t="array" ref="F73">SUMPRODUCT((Radio!$A$2:$A$1000=Радиостанции!A73)*(Radio!$B$2:$B$1000=Радиостанции!D73)*Radio!$C$2:$C$1000)</f>
        <v>0</v>
      </c>
    </row>
    <row r="74" spans="3:6" x14ac:dyDescent="0.25">
      <c r="C74" s="25" t="str">
        <f t="shared" si="1"/>
        <v/>
      </c>
      <c r="F74" s="29" cm="1">
        <f t="array" ref="F74">SUMPRODUCT((Radio!$A$2:$A$1000=Радиостанции!A74)*(Radio!$B$2:$B$1000=Радиостанции!D74)*Radio!$C$2:$C$1000)</f>
        <v>0</v>
      </c>
    </row>
    <row r="75" spans="3:6" x14ac:dyDescent="0.25">
      <c r="C75" s="25" t="str">
        <f t="shared" si="1"/>
        <v/>
      </c>
      <c r="F75" s="29" cm="1">
        <f t="array" ref="F75">SUMPRODUCT((Radio!$A$2:$A$1000=Радиостанции!A75)*(Radio!$B$2:$B$1000=Радиостанции!D75)*Radio!$C$2:$C$1000)</f>
        <v>0</v>
      </c>
    </row>
    <row r="76" spans="3:6" x14ac:dyDescent="0.25">
      <c r="C76" s="25" t="str">
        <f t="shared" si="1"/>
        <v/>
      </c>
      <c r="F76" s="29" cm="1">
        <f t="array" ref="F76">SUMPRODUCT((Radio!$A$2:$A$1000=Радиостанции!A76)*(Radio!$B$2:$B$1000=Радиостанции!D76)*Radio!$C$2:$C$1000)</f>
        <v>0</v>
      </c>
    </row>
    <row r="77" spans="3:6" x14ac:dyDescent="0.25">
      <c r="C77" s="25" t="str">
        <f t="shared" si="1"/>
        <v/>
      </c>
      <c r="F77" s="29" cm="1">
        <f t="array" ref="F77">SUMPRODUCT((Radio!$A$2:$A$1000=Радиостанции!A77)*(Radio!$B$2:$B$1000=Радиостанции!D77)*Radio!$C$2:$C$1000)</f>
        <v>0</v>
      </c>
    </row>
    <row r="78" spans="3:6" x14ac:dyDescent="0.25">
      <c r="C78" s="25" t="str">
        <f t="shared" si="1"/>
        <v/>
      </c>
      <c r="F78" s="29" cm="1">
        <f t="array" ref="F78">SUMPRODUCT((Radio!$A$2:$A$1000=Радиостанции!A78)*(Radio!$B$2:$B$1000=Радиостанции!D78)*Radio!$C$2:$C$1000)</f>
        <v>0</v>
      </c>
    </row>
    <row r="79" spans="3:6" x14ac:dyDescent="0.25">
      <c r="C79" s="25" t="str">
        <f t="shared" si="1"/>
        <v/>
      </c>
      <c r="F79" s="29" cm="1">
        <f t="array" ref="F79">SUMPRODUCT((Radio!$A$2:$A$1000=Радиостанции!A79)*(Radio!$B$2:$B$1000=Радиостанции!D79)*Radio!$C$2:$C$1000)</f>
        <v>0</v>
      </c>
    </row>
    <row r="80" spans="3:6" x14ac:dyDescent="0.25">
      <c r="C80" s="25" t="str">
        <f t="shared" si="1"/>
        <v/>
      </c>
      <c r="F80" s="29" cm="1">
        <f t="array" ref="F80">SUMPRODUCT((Radio!$A$2:$A$1000=Радиостанции!A80)*(Radio!$B$2:$B$1000=Радиостанции!D80)*Radio!$C$2:$C$1000)</f>
        <v>0</v>
      </c>
    </row>
    <row r="81" spans="3:6" x14ac:dyDescent="0.25">
      <c r="C81" s="25" t="str">
        <f t="shared" si="1"/>
        <v/>
      </c>
      <c r="F81" s="29" cm="1">
        <f t="array" ref="F81">SUMPRODUCT((Radio!$A$2:$A$1000=Радиостанции!A81)*(Radio!$B$2:$B$1000=Радиостанции!D81)*Radio!$C$2:$C$1000)</f>
        <v>0</v>
      </c>
    </row>
    <row r="82" spans="3:6" x14ac:dyDescent="0.25">
      <c r="C82" s="25" t="str">
        <f t="shared" si="1"/>
        <v/>
      </c>
      <c r="F82" s="29" cm="1">
        <f t="array" ref="F82">SUMPRODUCT((Radio!$A$2:$A$1000=Радиостанции!A82)*(Radio!$B$2:$B$1000=Радиостанции!D82)*Radio!$C$2:$C$1000)</f>
        <v>0</v>
      </c>
    </row>
    <row r="83" spans="3:6" x14ac:dyDescent="0.25">
      <c r="C83" s="25" t="str">
        <f t="shared" si="1"/>
        <v/>
      </c>
      <c r="F83" s="29" cm="1">
        <f t="array" ref="F83">SUMPRODUCT((Radio!$A$2:$A$1000=Радиостанции!A83)*(Radio!$B$2:$B$1000=Радиостанции!D83)*Radio!$C$2:$C$1000)</f>
        <v>0</v>
      </c>
    </row>
    <row r="84" spans="3:6" x14ac:dyDescent="0.25">
      <c r="C84" s="25" t="str">
        <f t="shared" si="1"/>
        <v/>
      </c>
      <c r="F84" s="29" cm="1">
        <f t="array" ref="F84">SUMPRODUCT((Radio!$A$2:$A$1000=Радиостанции!A84)*(Radio!$B$2:$B$1000=Радиостанции!D84)*Radio!$C$2:$C$1000)</f>
        <v>0</v>
      </c>
    </row>
    <row r="85" spans="3:6" x14ac:dyDescent="0.25">
      <c r="C85" s="25" t="str">
        <f t="shared" si="1"/>
        <v/>
      </c>
      <c r="F85" s="29" cm="1">
        <f t="array" ref="F85">SUMPRODUCT((Radio!$A$2:$A$1000=Радиостанции!A85)*(Radio!$B$2:$B$1000=Радиостанции!D85)*Radio!$C$2:$C$1000)</f>
        <v>0</v>
      </c>
    </row>
    <row r="86" spans="3:6" x14ac:dyDescent="0.25">
      <c r="C86" s="25" t="str">
        <f t="shared" si="1"/>
        <v/>
      </c>
      <c r="F86" s="29" cm="1">
        <f t="array" ref="F86">SUMPRODUCT((Radio!$A$2:$A$1000=Радиостанции!A86)*(Radio!$B$2:$B$1000=Радиостанции!D86)*Radio!$C$2:$C$1000)</f>
        <v>0</v>
      </c>
    </row>
    <row r="87" spans="3:6" x14ac:dyDescent="0.25">
      <c r="C87" s="25" t="str">
        <f t="shared" si="1"/>
        <v/>
      </c>
      <c r="F87" s="29" cm="1">
        <f t="array" ref="F87">SUMPRODUCT((Radio!$A$2:$A$1000=Радиостанции!A87)*(Radio!$B$2:$B$1000=Радиостанции!D87)*Radio!$C$2:$C$1000)</f>
        <v>0</v>
      </c>
    </row>
    <row r="88" spans="3:6" x14ac:dyDescent="0.25">
      <c r="C88" s="25" t="str">
        <f t="shared" si="1"/>
        <v/>
      </c>
      <c r="F88" s="29" cm="1">
        <f t="array" ref="F88">SUMPRODUCT((Radio!$A$2:$A$1000=Радиостанции!A88)*(Radio!$B$2:$B$1000=Радиостанции!D88)*Radio!$C$2:$C$1000)</f>
        <v>0</v>
      </c>
    </row>
    <row r="89" spans="3:6" x14ac:dyDescent="0.25">
      <c r="C89" s="25" t="str">
        <f t="shared" si="1"/>
        <v/>
      </c>
      <c r="F89" s="29" cm="1">
        <f t="array" ref="F89">SUMPRODUCT((Radio!$A$2:$A$1000=Радиостанции!A89)*(Radio!$B$2:$B$1000=Радиостанции!D89)*Radio!$C$2:$C$1000)</f>
        <v>0</v>
      </c>
    </row>
    <row r="90" spans="3:6" x14ac:dyDescent="0.25">
      <c r="C90" s="25" t="str">
        <f t="shared" si="1"/>
        <v/>
      </c>
      <c r="F90" s="29" cm="1">
        <f t="array" ref="F90">SUMPRODUCT((Radio!$A$2:$A$1000=Радиостанции!A90)*(Radio!$B$2:$B$1000=Радиостанции!D90)*Radio!$C$2:$C$1000)</f>
        <v>0</v>
      </c>
    </row>
    <row r="91" spans="3:6" x14ac:dyDescent="0.25">
      <c r="C91" s="25" t="str">
        <f t="shared" si="1"/>
        <v/>
      </c>
      <c r="F91" s="29" cm="1">
        <f t="array" ref="F91">SUMPRODUCT((Radio!$A$2:$A$1000=Радиостанции!A91)*(Radio!$B$2:$B$1000=Радиостанции!D91)*Radio!$C$2:$C$1000)</f>
        <v>0</v>
      </c>
    </row>
    <row r="92" spans="3:6" x14ac:dyDescent="0.25">
      <c r="C92" s="25" t="str">
        <f t="shared" si="1"/>
        <v/>
      </c>
      <c r="F92" s="29" cm="1">
        <f t="array" ref="F92">SUMPRODUCT((Radio!$A$2:$A$1000=Радиостанции!A92)*(Radio!$B$2:$B$1000=Радиостанции!D92)*Radio!$C$2:$C$1000)</f>
        <v>0</v>
      </c>
    </row>
    <row r="93" spans="3:6" x14ac:dyDescent="0.25">
      <c r="C93" s="25" t="str">
        <f t="shared" si="1"/>
        <v/>
      </c>
      <c r="F93" s="29" cm="1">
        <f t="array" ref="F93">SUMPRODUCT((Radio!$A$2:$A$1000=Радиостанции!A93)*(Radio!$B$2:$B$1000=Радиостанции!D93)*Radio!$C$2:$C$1000)</f>
        <v>0</v>
      </c>
    </row>
    <row r="94" spans="3:6" x14ac:dyDescent="0.25">
      <c r="C94" s="25" t="str">
        <f t="shared" si="1"/>
        <v/>
      </c>
      <c r="F94" s="29" cm="1">
        <f t="array" ref="F94">SUMPRODUCT((Radio!$A$2:$A$1000=Радиостанции!A94)*(Radio!$B$2:$B$1000=Радиостанции!D94)*Radio!$C$2:$C$1000)</f>
        <v>0</v>
      </c>
    </row>
    <row r="95" spans="3:6" x14ac:dyDescent="0.25">
      <c r="C95" s="25" t="str">
        <f t="shared" si="1"/>
        <v/>
      </c>
      <c r="F95" s="29" cm="1">
        <f t="array" ref="F95">SUMPRODUCT((Radio!$A$2:$A$1000=Радиостанции!A95)*(Radio!$B$2:$B$1000=Радиостанции!D95)*Radio!$C$2:$C$1000)</f>
        <v>0</v>
      </c>
    </row>
    <row r="96" spans="3:6" x14ac:dyDescent="0.25">
      <c r="C96" s="25" t="str">
        <f t="shared" si="1"/>
        <v/>
      </c>
      <c r="F96" s="29" cm="1">
        <f t="array" ref="F96">SUMPRODUCT((Radio!$A$2:$A$1000=Радиостанции!A96)*(Radio!$B$2:$B$1000=Радиостанции!D96)*Radio!$C$2:$C$1000)</f>
        <v>0</v>
      </c>
    </row>
    <row r="97" spans="3:6" x14ac:dyDescent="0.25">
      <c r="C97" s="25" t="str">
        <f t="shared" si="1"/>
        <v/>
      </c>
      <c r="F97" s="29" cm="1">
        <f t="array" ref="F97">SUMPRODUCT((Radio!$A$2:$A$1000=Радиостанции!A97)*(Radio!$B$2:$B$1000=Радиостанции!D97)*Radio!$C$2:$C$1000)</f>
        <v>0</v>
      </c>
    </row>
    <row r="98" spans="3:6" x14ac:dyDescent="0.25">
      <c r="C98" s="25" t="str">
        <f t="shared" si="1"/>
        <v/>
      </c>
      <c r="F98" s="29" cm="1">
        <f t="array" ref="F98">SUMPRODUCT((Radio!$A$2:$A$1000=Радиостанции!A98)*(Radio!$B$2:$B$1000=Радиостанции!D98)*Radio!$C$2:$C$1000)</f>
        <v>0</v>
      </c>
    </row>
    <row r="99" spans="3:6" x14ac:dyDescent="0.25">
      <c r="C99" s="25" t="str">
        <f t="shared" si="1"/>
        <v/>
      </c>
      <c r="F99" s="29" cm="1">
        <f t="array" ref="F99">SUMPRODUCT((Radio!$A$2:$A$1000=Радиостанции!A99)*(Radio!$B$2:$B$1000=Радиостанции!D99)*Radio!$C$2:$C$1000)</f>
        <v>0</v>
      </c>
    </row>
    <row r="100" spans="3:6" x14ac:dyDescent="0.25">
      <c r="C100" s="25" t="str">
        <f t="shared" si="1"/>
        <v/>
      </c>
      <c r="F100" s="29" cm="1">
        <f t="array" ref="F100">SUMPRODUCT((Radio!$A$2:$A$1000=Радиостанции!A100)*(Radio!$B$2:$B$1000=Радиостанции!D100)*Radio!$C$2:$C$1000)</f>
        <v>0</v>
      </c>
    </row>
    <row r="101" spans="3:6" x14ac:dyDescent="0.25">
      <c r="C101" s="25" t="str">
        <f t="shared" si="1"/>
        <v/>
      </c>
      <c r="F101" s="29" cm="1">
        <f t="array" ref="F101">SUMPRODUCT((Radio!$A$2:$A$1000=Радиостанции!A101)*(Radio!$B$2:$B$1000=Радиостанции!D101)*Radio!$C$2:$C$1000)</f>
        <v>0</v>
      </c>
    </row>
    <row r="102" spans="3:6" x14ac:dyDescent="0.25">
      <c r="C102" s="25" t="str">
        <f t="shared" si="1"/>
        <v/>
      </c>
      <c r="F102" s="29" cm="1">
        <f t="array" ref="F102">SUMPRODUCT((Radio!$A$2:$A$1000=Радиостанции!A102)*(Radio!$B$2:$B$1000=Радиостанции!D102)*Radio!$C$2:$C$1000)</f>
        <v>0</v>
      </c>
    </row>
    <row r="103" spans="3:6" x14ac:dyDescent="0.25">
      <c r="C103" s="25" t="str">
        <f t="shared" si="1"/>
        <v/>
      </c>
      <c r="F103" s="29" cm="1">
        <f t="array" ref="F103">SUMPRODUCT((Radio!$A$2:$A$1000=Радиостанции!A103)*(Radio!$B$2:$B$1000=Радиостанции!D103)*Radio!$C$2:$C$1000)</f>
        <v>0</v>
      </c>
    </row>
    <row r="104" spans="3:6" x14ac:dyDescent="0.25">
      <c r="C104" s="25" t="str">
        <f t="shared" si="1"/>
        <v/>
      </c>
      <c r="F104" s="29" cm="1">
        <f t="array" ref="F104">SUMPRODUCT((Radio!$A$2:$A$1000=Радиостанции!A104)*(Radio!$B$2:$B$1000=Радиостанции!D104)*Radio!$C$2:$C$1000)</f>
        <v>0</v>
      </c>
    </row>
    <row r="105" spans="3:6" x14ac:dyDescent="0.25">
      <c r="C105" s="25" t="str">
        <f t="shared" si="1"/>
        <v/>
      </c>
      <c r="F105" s="29" cm="1">
        <f t="array" ref="F105">SUMPRODUCT((Radio!$A$2:$A$1000=Радиостанции!A105)*(Radio!$B$2:$B$1000=Радиостанции!D105)*Radio!$C$2:$C$1000)</f>
        <v>0</v>
      </c>
    </row>
    <row r="106" spans="3:6" x14ac:dyDescent="0.25">
      <c r="C106" s="25" t="str">
        <f t="shared" si="1"/>
        <v/>
      </c>
      <c r="F106" s="29" cm="1">
        <f t="array" ref="F106">SUMPRODUCT((Radio!$A$2:$A$1000=Радиостанции!A106)*(Radio!$B$2:$B$1000=Радиостанции!D106)*Radio!$C$2:$C$1000)</f>
        <v>0</v>
      </c>
    </row>
    <row r="107" spans="3:6" x14ac:dyDescent="0.25">
      <c r="C107" s="25" t="str">
        <f t="shared" si="1"/>
        <v/>
      </c>
      <c r="F107" s="29" cm="1">
        <f t="array" ref="F107">SUMPRODUCT((Radio!$A$2:$A$1000=Радиостанции!A107)*(Radio!$B$2:$B$1000=Радиостанции!D107)*Radio!$C$2:$C$1000)</f>
        <v>0</v>
      </c>
    </row>
    <row r="108" spans="3:6" x14ac:dyDescent="0.25">
      <c r="C108" s="25" t="str">
        <f t="shared" si="1"/>
        <v/>
      </c>
      <c r="F108" s="29" cm="1">
        <f t="array" ref="F108">SUMPRODUCT((Radio!$A$2:$A$1000=Радиостанции!A108)*(Radio!$B$2:$B$1000=Радиостанции!D108)*Radio!$C$2:$C$1000)</f>
        <v>0</v>
      </c>
    </row>
    <row r="109" spans="3:6" x14ac:dyDescent="0.25">
      <c r="C109" s="25" t="str">
        <f t="shared" si="1"/>
        <v/>
      </c>
      <c r="F109" s="29" cm="1">
        <f t="array" ref="F109">SUMPRODUCT((Radio!$A$2:$A$1000=Радиостанции!A109)*(Radio!$B$2:$B$1000=Радиостанции!D109)*Radio!$C$2:$C$1000)</f>
        <v>0</v>
      </c>
    </row>
    <row r="110" spans="3:6" x14ac:dyDescent="0.25">
      <c r="C110" s="25" t="str">
        <f t="shared" si="1"/>
        <v/>
      </c>
      <c r="F110" s="29" cm="1">
        <f t="array" ref="F110">SUMPRODUCT((Radio!$A$2:$A$1000=Радиостанции!A110)*(Radio!$B$2:$B$1000=Радиостанции!D110)*Radio!$C$2:$C$1000)</f>
        <v>0</v>
      </c>
    </row>
    <row r="111" spans="3:6" x14ac:dyDescent="0.25">
      <c r="C111" s="25" t="str">
        <f t="shared" si="1"/>
        <v/>
      </c>
      <c r="F111" s="29" cm="1">
        <f t="array" ref="F111">SUMPRODUCT((Radio!$A$2:$A$1000=Радиостанции!A111)*(Radio!$B$2:$B$1000=Радиостанции!D111)*Radio!$C$2:$C$1000)</f>
        <v>0</v>
      </c>
    </row>
    <row r="112" spans="3:6" x14ac:dyDescent="0.25">
      <c r="C112" s="25" t="str">
        <f t="shared" si="1"/>
        <v/>
      </c>
      <c r="F112" s="29" cm="1">
        <f t="array" ref="F112">SUMPRODUCT((Radio!$A$2:$A$1000=Радиостанции!A112)*(Radio!$B$2:$B$1000=Радиостанции!D112)*Radio!$C$2:$C$1000)</f>
        <v>0</v>
      </c>
    </row>
    <row r="113" spans="3:6" x14ac:dyDescent="0.25">
      <c r="C113" s="25" t="str">
        <f t="shared" si="1"/>
        <v/>
      </c>
      <c r="F113" s="29" cm="1">
        <f t="array" ref="F113">SUMPRODUCT((Radio!$A$2:$A$1000=Радиостанции!A113)*(Radio!$B$2:$B$1000=Радиостанции!D113)*Radio!$C$2:$C$1000)</f>
        <v>0</v>
      </c>
    </row>
    <row r="114" spans="3:6" x14ac:dyDescent="0.25">
      <c r="C114" s="25" t="str">
        <f t="shared" si="1"/>
        <v/>
      </c>
      <c r="F114" s="29" cm="1">
        <f t="array" ref="F114">SUMPRODUCT((Radio!$A$2:$A$1000=Радиостанции!A114)*(Radio!$B$2:$B$1000=Радиостанции!D114)*Radio!$C$2:$C$1000)</f>
        <v>0</v>
      </c>
    </row>
    <row r="115" spans="3:6" x14ac:dyDescent="0.25">
      <c r="C115" s="25" t="str">
        <f t="shared" si="1"/>
        <v/>
      </c>
      <c r="F115" s="29" cm="1">
        <f t="array" ref="F115">SUMPRODUCT((Radio!$A$2:$A$1000=Радиостанции!A115)*(Radio!$B$2:$B$1000=Радиостанции!D115)*Radio!$C$2:$C$1000)</f>
        <v>0</v>
      </c>
    </row>
    <row r="116" spans="3:6" x14ac:dyDescent="0.25">
      <c r="C116" s="25" t="str">
        <f t="shared" si="1"/>
        <v/>
      </c>
      <c r="F116" s="29" cm="1">
        <f t="array" ref="F116">SUMPRODUCT((Radio!$A$2:$A$1000=Радиостанции!A116)*(Radio!$B$2:$B$1000=Радиостанции!D116)*Radio!$C$2:$C$1000)</f>
        <v>0</v>
      </c>
    </row>
    <row r="117" spans="3:6" x14ac:dyDescent="0.25">
      <c r="C117" s="25" t="str">
        <f t="shared" si="1"/>
        <v/>
      </c>
      <c r="F117" s="29" cm="1">
        <f t="array" ref="F117">SUMPRODUCT((Radio!$A$2:$A$1000=Радиостанции!A117)*(Radio!$B$2:$B$1000=Радиостанции!D117)*Radio!$C$2:$C$1000)</f>
        <v>0</v>
      </c>
    </row>
    <row r="118" spans="3:6" x14ac:dyDescent="0.25">
      <c r="C118" s="25" t="str">
        <f t="shared" si="1"/>
        <v/>
      </c>
      <c r="F118" s="29" cm="1">
        <f t="array" ref="F118">SUMPRODUCT((Radio!$A$2:$A$1000=Радиостанции!A118)*(Radio!$B$2:$B$1000=Радиостанции!D118)*Radio!$C$2:$C$1000)</f>
        <v>0</v>
      </c>
    </row>
    <row r="119" spans="3:6" x14ac:dyDescent="0.25">
      <c r="C119" s="25" t="str">
        <f t="shared" si="1"/>
        <v/>
      </c>
      <c r="F119" s="29" cm="1">
        <f t="array" ref="F119">SUMPRODUCT((Radio!$A$2:$A$1000=Радиостанции!A119)*(Radio!$B$2:$B$1000=Радиостанции!D119)*Radio!$C$2:$C$1000)</f>
        <v>0</v>
      </c>
    </row>
    <row r="120" spans="3:6" x14ac:dyDescent="0.25">
      <c r="C120" s="25" t="str">
        <f t="shared" si="1"/>
        <v/>
      </c>
      <c r="F120" s="29" cm="1">
        <f t="array" ref="F120">SUMPRODUCT((Radio!$A$2:$A$1000=Радиостанции!A120)*(Radio!$B$2:$B$1000=Радиостанции!D120)*Radio!$C$2:$C$1000)</f>
        <v>0</v>
      </c>
    </row>
    <row r="121" spans="3:6" x14ac:dyDescent="0.25">
      <c r="C121" s="25" t="str">
        <f t="shared" si="1"/>
        <v/>
      </c>
      <c r="F121" s="29" cm="1">
        <f t="array" ref="F121">SUMPRODUCT((Radio!$A$2:$A$1000=Радиостанции!A121)*(Radio!$B$2:$B$1000=Радиостанции!D121)*Radio!$C$2:$C$1000)</f>
        <v>0</v>
      </c>
    </row>
    <row r="122" spans="3:6" x14ac:dyDescent="0.25">
      <c r="C122" s="25" t="str">
        <f t="shared" si="1"/>
        <v/>
      </c>
      <c r="F122" s="29" cm="1">
        <f t="array" ref="F122">SUMPRODUCT((Radio!$A$2:$A$1000=Радиостанции!A122)*(Radio!$B$2:$B$1000=Радиостанции!D122)*Radio!$C$2:$C$1000)</f>
        <v>0</v>
      </c>
    </row>
    <row r="123" spans="3:6" x14ac:dyDescent="0.25">
      <c r="C123" s="25" t="str">
        <f t="shared" si="1"/>
        <v/>
      </c>
      <c r="F123" s="29" cm="1">
        <f t="array" ref="F123">SUMPRODUCT((Radio!$A$2:$A$1000=Радиостанции!A123)*(Radio!$B$2:$B$1000=Радиостанции!D123)*Radio!$C$2:$C$1000)</f>
        <v>0</v>
      </c>
    </row>
    <row r="124" spans="3:6" x14ac:dyDescent="0.25">
      <c r="C124" s="25" t="str">
        <f t="shared" si="1"/>
        <v/>
      </c>
      <c r="F124" s="29" cm="1">
        <f t="array" ref="F124">SUMPRODUCT((Radio!$A$2:$A$1000=Радиостанции!A124)*(Radio!$B$2:$B$1000=Радиостанции!D124)*Radio!$C$2:$C$1000)</f>
        <v>0</v>
      </c>
    </row>
    <row r="125" spans="3:6" x14ac:dyDescent="0.25">
      <c r="C125" s="25" t="str">
        <f t="shared" si="1"/>
        <v/>
      </c>
      <c r="F125" s="29" cm="1">
        <f t="array" ref="F125">SUMPRODUCT((Radio!$A$2:$A$1000=Радиостанции!A125)*(Radio!$B$2:$B$1000=Радиостанции!D125)*Radio!$C$2:$C$1000)</f>
        <v>0</v>
      </c>
    </row>
    <row r="126" spans="3:6" x14ac:dyDescent="0.25">
      <c r="C126" s="25" t="str">
        <f t="shared" si="1"/>
        <v/>
      </c>
      <c r="F126" s="29" cm="1">
        <f t="array" ref="F126">SUMPRODUCT((Radio!$A$2:$A$1000=Радиостанции!A126)*(Radio!$B$2:$B$1000=Радиостанции!D126)*Radio!$C$2:$C$1000)</f>
        <v>0</v>
      </c>
    </row>
    <row r="127" spans="3:6" x14ac:dyDescent="0.25">
      <c r="C127" s="25" t="str">
        <f t="shared" si="1"/>
        <v/>
      </c>
      <c r="F127" s="29" cm="1">
        <f t="array" ref="F127">SUMPRODUCT((Radio!$A$2:$A$1000=Радиостанции!A127)*(Radio!$B$2:$B$1000=Радиостанции!D127)*Radio!$C$2:$C$1000)</f>
        <v>0</v>
      </c>
    </row>
    <row r="128" spans="3:6" x14ac:dyDescent="0.25">
      <c r="C128" s="25" t="str">
        <f t="shared" si="1"/>
        <v/>
      </c>
      <c r="F128" s="29" cm="1">
        <f t="array" ref="F128">SUMPRODUCT((Radio!$A$2:$A$1000=Радиостанции!A128)*(Radio!$B$2:$B$1000=Радиостанции!D128)*Radio!$C$2:$C$1000)</f>
        <v>0</v>
      </c>
    </row>
    <row r="129" spans="3:6" x14ac:dyDescent="0.25">
      <c r="C129" s="25" t="str">
        <f t="shared" si="1"/>
        <v/>
      </c>
      <c r="F129" s="29" cm="1">
        <f t="array" ref="F129">SUMPRODUCT((Radio!$A$2:$A$1000=Радиостанции!A129)*(Radio!$B$2:$B$1000=Радиостанции!D129)*Radio!$C$2:$C$1000)</f>
        <v>0</v>
      </c>
    </row>
    <row r="130" spans="3:6" x14ac:dyDescent="0.25">
      <c r="C130" s="25" t="str">
        <f t="shared" si="1"/>
        <v/>
      </c>
      <c r="F130" s="29" cm="1">
        <f t="array" ref="F130">SUMPRODUCT((Radio!$A$2:$A$1000=Радиостанции!A130)*(Radio!$B$2:$B$1000=Радиостанции!D130)*Radio!$C$2:$C$1000)</f>
        <v>0</v>
      </c>
    </row>
    <row r="131" spans="3:6" x14ac:dyDescent="0.25">
      <c r="C131" s="25" t="str">
        <f t="shared" ref="C131:C194" si="2">_xlfn.CONCAT(A131,B131)</f>
        <v/>
      </c>
      <c r="F131" s="29" cm="1">
        <f t="array" ref="F131">SUMPRODUCT((Radio!$A$2:$A$1000=Радиостанции!A131)*(Radio!$B$2:$B$1000=Радиостанции!D131)*Radio!$C$2:$C$1000)</f>
        <v>0</v>
      </c>
    </row>
    <row r="132" spans="3:6" x14ac:dyDescent="0.25">
      <c r="C132" s="25" t="str">
        <f t="shared" si="2"/>
        <v/>
      </c>
      <c r="F132" s="29" cm="1">
        <f t="array" ref="F132">SUMPRODUCT((Radio!$A$2:$A$1000=Радиостанции!A132)*(Radio!$B$2:$B$1000=Радиостанции!D132)*Radio!$C$2:$C$1000)</f>
        <v>0</v>
      </c>
    </row>
    <row r="133" spans="3:6" x14ac:dyDescent="0.25">
      <c r="C133" s="25" t="str">
        <f t="shared" si="2"/>
        <v/>
      </c>
      <c r="F133" s="29" cm="1">
        <f t="array" ref="F133">SUMPRODUCT((Radio!$A$2:$A$1000=Радиостанции!A133)*(Radio!$B$2:$B$1000=Радиостанции!D133)*Radio!$C$2:$C$1000)</f>
        <v>0</v>
      </c>
    </row>
    <row r="134" spans="3:6" x14ac:dyDescent="0.25">
      <c r="C134" s="25" t="str">
        <f t="shared" si="2"/>
        <v/>
      </c>
      <c r="F134" s="29" cm="1">
        <f t="array" ref="F134">SUMPRODUCT((Radio!$A$2:$A$1000=Радиостанции!A134)*(Radio!$B$2:$B$1000=Радиостанции!D134)*Radio!$C$2:$C$1000)</f>
        <v>0</v>
      </c>
    </row>
    <row r="135" spans="3:6" x14ac:dyDescent="0.25">
      <c r="C135" s="25" t="str">
        <f t="shared" si="2"/>
        <v/>
      </c>
      <c r="F135" s="29" cm="1">
        <f t="array" ref="F135">SUMPRODUCT((Radio!$A$2:$A$1000=Радиостанции!A135)*(Radio!$B$2:$B$1000=Радиостанции!D135)*Radio!$C$2:$C$1000)</f>
        <v>0</v>
      </c>
    </row>
    <row r="136" spans="3:6" x14ac:dyDescent="0.25">
      <c r="C136" s="25" t="str">
        <f t="shared" si="2"/>
        <v/>
      </c>
      <c r="F136" s="29" cm="1">
        <f t="array" ref="F136">SUMPRODUCT((Radio!$A$2:$A$1000=Радиостанции!A136)*(Radio!$B$2:$B$1000=Радиостанции!D136)*Radio!$C$2:$C$1000)</f>
        <v>0</v>
      </c>
    </row>
    <row r="137" spans="3:6" x14ac:dyDescent="0.25">
      <c r="C137" s="25" t="str">
        <f t="shared" si="2"/>
        <v/>
      </c>
      <c r="F137" s="29" cm="1">
        <f t="array" ref="F137">SUMPRODUCT((Radio!$A$2:$A$1000=Радиостанции!A137)*(Radio!$B$2:$B$1000=Радиостанции!D137)*Radio!$C$2:$C$1000)</f>
        <v>0</v>
      </c>
    </row>
    <row r="138" spans="3:6" x14ac:dyDescent="0.25">
      <c r="C138" s="25" t="str">
        <f t="shared" si="2"/>
        <v/>
      </c>
      <c r="F138" s="29" cm="1">
        <f t="array" ref="F138">SUMPRODUCT((Radio!$A$2:$A$1000=Радиостанции!A138)*(Radio!$B$2:$B$1000=Радиостанции!D138)*Radio!$C$2:$C$1000)</f>
        <v>0</v>
      </c>
    </row>
    <row r="139" spans="3:6" x14ac:dyDescent="0.25">
      <c r="C139" s="25" t="str">
        <f t="shared" si="2"/>
        <v/>
      </c>
      <c r="F139" s="29" cm="1">
        <f t="array" ref="F139">SUMPRODUCT((Radio!$A$2:$A$1000=Радиостанции!A139)*(Radio!$B$2:$B$1000=Радиостанции!D139)*Radio!$C$2:$C$1000)</f>
        <v>0</v>
      </c>
    </row>
    <row r="140" spans="3:6" x14ac:dyDescent="0.25">
      <c r="C140" s="25" t="str">
        <f t="shared" si="2"/>
        <v/>
      </c>
      <c r="F140" s="29" cm="1">
        <f t="array" ref="F140">SUMPRODUCT((Radio!$A$2:$A$1000=Радиостанции!A140)*(Radio!$B$2:$B$1000=Радиостанции!D140)*Radio!$C$2:$C$1000)</f>
        <v>0</v>
      </c>
    </row>
    <row r="141" spans="3:6" x14ac:dyDescent="0.25">
      <c r="C141" s="25" t="str">
        <f t="shared" si="2"/>
        <v/>
      </c>
      <c r="F141" s="29" cm="1">
        <f t="array" ref="F141">SUMPRODUCT((Radio!$A$2:$A$1000=Радиостанции!A141)*(Radio!$B$2:$B$1000=Радиостанции!D141)*Radio!$C$2:$C$1000)</f>
        <v>0</v>
      </c>
    </row>
    <row r="142" spans="3:6" x14ac:dyDescent="0.25">
      <c r="C142" s="25" t="str">
        <f t="shared" si="2"/>
        <v/>
      </c>
      <c r="F142" s="29" cm="1">
        <f t="array" ref="F142">SUMPRODUCT((Radio!$A$2:$A$1000=Радиостанции!A142)*(Radio!$B$2:$B$1000=Радиостанции!D142)*Radio!$C$2:$C$1000)</f>
        <v>0</v>
      </c>
    </row>
    <row r="143" spans="3:6" x14ac:dyDescent="0.25">
      <c r="C143" s="25" t="str">
        <f t="shared" si="2"/>
        <v/>
      </c>
      <c r="F143" s="29" cm="1">
        <f t="array" ref="F143">SUMPRODUCT((Radio!$A$2:$A$1000=Радиостанции!A143)*(Radio!$B$2:$B$1000=Радиостанции!D143)*Radio!$C$2:$C$1000)</f>
        <v>0</v>
      </c>
    </row>
    <row r="144" spans="3:6" x14ac:dyDescent="0.25">
      <c r="C144" s="25" t="str">
        <f t="shared" si="2"/>
        <v/>
      </c>
      <c r="F144" s="29" cm="1">
        <f t="array" ref="F144">SUMPRODUCT((Radio!$A$2:$A$1000=Радиостанции!A144)*(Radio!$B$2:$B$1000=Радиостанции!D144)*Radio!$C$2:$C$1000)</f>
        <v>0</v>
      </c>
    </row>
    <row r="145" spans="3:6" x14ac:dyDescent="0.25">
      <c r="C145" s="25" t="str">
        <f t="shared" si="2"/>
        <v/>
      </c>
      <c r="F145" s="29" cm="1">
        <f t="array" ref="F145">SUMPRODUCT((Radio!$A$2:$A$1000=Радиостанции!A145)*(Radio!$B$2:$B$1000=Радиостанции!D145)*Radio!$C$2:$C$1000)</f>
        <v>0</v>
      </c>
    </row>
    <row r="146" spans="3:6" x14ac:dyDescent="0.25">
      <c r="C146" s="25" t="str">
        <f t="shared" si="2"/>
        <v/>
      </c>
      <c r="F146" s="29" cm="1">
        <f t="array" ref="F146">SUMPRODUCT((Radio!$A$2:$A$1000=Радиостанции!A146)*(Radio!$B$2:$B$1000=Радиостанции!D146)*Radio!$C$2:$C$1000)</f>
        <v>0</v>
      </c>
    </row>
    <row r="147" spans="3:6" x14ac:dyDescent="0.25">
      <c r="C147" s="25" t="str">
        <f t="shared" si="2"/>
        <v/>
      </c>
      <c r="F147" s="29" cm="1">
        <f t="array" ref="F147">SUMPRODUCT((Radio!$A$2:$A$1000=Радиостанции!A147)*(Radio!$B$2:$B$1000=Радиостанции!D147)*Radio!$C$2:$C$1000)</f>
        <v>0</v>
      </c>
    </row>
    <row r="148" spans="3:6" x14ac:dyDescent="0.25">
      <c r="C148" s="25" t="str">
        <f t="shared" si="2"/>
        <v/>
      </c>
      <c r="F148" s="29" cm="1">
        <f t="array" ref="F148">SUMPRODUCT((Radio!$A$2:$A$1000=Радиостанции!A148)*(Radio!$B$2:$B$1000=Радиостанции!D148)*Radio!$C$2:$C$1000)</f>
        <v>0</v>
      </c>
    </row>
    <row r="149" spans="3:6" x14ac:dyDescent="0.25">
      <c r="C149" s="25" t="str">
        <f t="shared" si="2"/>
        <v/>
      </c>
      <c r="F149" s="29" cm="1">
        <f t="array" ref="F149">SUMPRODUCT((Radio!$A$2:$A$1000=Радиостанции!A149)*(Radio!$B$2:$B$1000=Радиостанции!D149)*Radio!$C$2:$C$1000)</f>
        <v>0</v>
      </c>
    </row>
    <row r="150" spans="3:6" x14ac:dyDescent="0.25">
      <c r="C150" s="25" t="str">
        <f t="shared" si="2"/>
        <v/>
      </c>
      <c r="F150" s="29" cm="1">
        <f t="array" ref="F150">SUMPRODUCT((Radio!$A$2:$A$1000=Радиостанции!A150)*(Radio!$B$2:$B$1000=Радиостанции!D150)*Radio!$C$2:$C$1000)</f>
        <v>0</v>
      </c>
    </row>
    <row r="151" spans="3:6" x14ac:dyDescent="0.25">
      <c r="C151" s="25" t="str">
        <f t="shared" si="2"/>
        <v/>
      </c>
      <c r="F151" s="29" cm="1">
        <f t="array" ref="F151">SUMPRODUCT((Radio!$A$2:$A$1000=Радиостанции!A151)*(Radio!$B$2:$B$1000=Радиостанции!D151)*Radio!$C$2:$C$1000)</f>
        <v>0</v>
      </c>
    </row>
    <row r="152" spans="3:6" x14ac:dyDescent="0.25">
      <c r="C152" s="25" t="str">
        <f t="shared" si="2"/>
        <v/>
      </c>
      <c r="F152" s="29" cm="1">
        <f t="array" ref="F152">SUMPRODUCT((Radio!$A$2:$A$1000=Радиостанции!A152)*(Radio!$B$2:$B$1000=Радиостанции!D152)*Radio!$C$2:$C$1000)</f>
        <v>0</v>
      </c>
    </row>
    <row r="153" spans="3:6" x14ac:dyDescent="0.25">
      <c r="C153" s="25" t="str">
        <f t="shared" si="2"/>
        <v/>
      </c>
      <c r="F153" s="29" cm="1">
        <f t="array" ref="F153">SUMPRODUCT((Radio!$A$2:$A$1000=Радиостанции!A153)*(Radio!$B$2:$B$1000=Радиостанции!D153)*Radio!$C$2:$C$1000)</f>
        <v>0</v>
      </c>
    </row>
    <row r="154" spans="3:6" x14ac:dyDescent="0.25">
      <c r="C154" s="25" t="str">
        <f t="shared" si="2"/>
        <v/>
      </c>
      <c r="F154" s="29" cm="1">
        <f t="array" ref="F154">SUMPRODUCT((Radio!$A$2:$A$1000=Радиостанции!A154)*(Radio!$B$2:$B$1000=Радиостанции!D154)*Radio!$C$2:$C$1000)</f>
        <v>0</v>
      </c>
    </row>
    <row r="155" spans="3:6" x14ac:dyDescent="0.25">
      <c r="C155" s="25" t="str">
        <f t="shared" si="2"/>
        <v/>
      </c>
      <c r="F155" s="29" cm="1">
        <f t="array" ref="F155">SUMPRODUCT((Radio!$A$2:$A$1000=Радиостанции!A155)*(Radio!$B$2:$B$1000=Радиостанции!D155)*Radio!$C$2:$C$1000)</f>
        <v>0</v>
      </c>
    </row>
    <row r="156" spans="3:6" x14ac:dyDescent="0.25">
      <c r="C156" s="25" t="str">
        <f t="shared" si="2"/>
        <v/>
      </c>
      <c r="F156" s="29" cm="1">
        <f t="array" ref="F156">SUMPRODUCT((Radio!$A$2:$A$1000=Радиостанции!A156)*(Radio!$B$2:$B$1000=Радиостанции!D156)*Radio!$C$2:$C$1000)</f>
        <v>0</v>
      </c>
    </row>
    <row r="157" spans="3:6" x14ac:dyDescent="0.25">
      <c r="C157" s="25" t="str">
        <f t="shared" si="2"/>
        <v/>
      </c>
      <c r="F157" s="29" cm="1">
        <f t="array" ref="F157">SUMPRODUCT((Radio!$A$2:$A$1000=Радиостанции!A157)*(Radio!$B$2:$B$1000=Радиостанции!D157)*Radio!$C$2:$C$1000)</f>
        <v>0</v>
      </c>
    </row>
    <row r="158" spans="3:6" x14ac:dyDescent="0.25">
      <c r="C158" s="25" t="str">
        <f t="shared" si="2"/>
        <v/>
      </c>
      <c r="F158" s="29" cm="1">
        <f t="array" ref="F158">SUMPRODUCT((Radio!$A$2:$A$1000=Радиостанции!A158)*(Radio!$B$2:$B$1000=Радиостанции!D158)*Radio!$C$2:$C$1000)</f>
        <v>0</v>
      </c>
    </row>
    <row r="159" spans="3:6" x14ac:dyDescent="0.25">
      <c r="C159" s="25" t="str">
        <f t="shared" si="2"/>
        <v/>
      </c>
      <c r="F159" s="29" cm="1">
        <f t="array" ref="F159">SUMPRODUCT((Radio!$A$2:$A$1000=Радиостанции!A159)*(Radio!$B$2:$B$1000=Радиостанции!D159)*Radio!$C$2:$C$1000)</f>
        <v>0</v>
      </c>
    </row>
    <row r="160" spans="3:6" x14ac:dyDescent="0.25">
      <c r="C160" s="25" t="str">
        <f t="shared" si="2"/>
        <v/>
      </c>
      <c r="F160" s="29" cm="1">
        <f t="array" ref="F160">SUMPRODUCT((Radio!$A$2:$A$1000=Радиостанции!A160)*(Radio!$B$2:$B$1000=Радиостанции!D160)*Radio!$C$2:$C$1000)</f>
        <v>0</v>
      </c>
    </row>
    <row r="161" spans="3:6" x14ac:dyDescent="0.25">
      <c r="C161" s="25" t="str">
        <f t="shared" si="2"/>
        <v/>
      </c>
      <c r="F161" s="29" cm="1">
        <f t="array" ref="F161">SUMPRODUCT((Radio!$A$2:$A$1000=Радиостанции!A161)*(Radio!$B$2:$B$1000=Радиостанции!D161)*Radio!$C$2:$C$1000)</f>
        <v>0</v>
      </c>
    </row>
    <row r="162" spans="3:6" x14ac:dyDescent="0.25">
      <c r="C162" s="25" t="str">
        <f t="shared" si="2"/>
        <v/>
      </c>
      <c r="F162" s="29" cm="1">
        <f t="array" ref="F162">SUMPRODUCT((Radio!$A$2:$A$1000=Радиостанции!A162)*(Radio!$B$2:$B$1000=Радиостанции!D162)*Radio!$C$2:$C$1000)</f>
        <v>0</v>
      </c>
    </row>
    <row r="163" spans="3:6" x14ac:dyDescent="0.25">
      <c r="C163" s="25" t="str">
        <f t="shared" si="2"/>
        <v/>
      </c>
      <c r="F163" s="29" cm="1">
        <f t="array" ref="F163">SUMPRODUCT((Radio!$A$2:$A$1000=Радиостанции!A163)*(Radio!$B$2:$B$1000=Радиостанции!D163)*Radio!$C$2:$C$1000)</f>
        <v>0</v>
      </c>
    </row>
    <row r="164" spans="3:6" x14ac:dyDescent="0.25">
      <c r="C164" s="25" t="str">
        <f t="shared" si="2"/>
        <v/>
      </c>
      <c r="F164" s="29" cm="1">
        <f t="array" ref="F164">SUMPRODUCT((Radio!$A$2:$A$1000=Радиостанции!A164)*(Radio!$B$2:$B$1000=Радиостанции!D164)*Radio!$C$2:$C$1000)</f>
        <v>0</v>
      </c>
    </row>
    <row r="165" spans="3:6" x14ac:dyDescent="0.25">
      <c r="C165" s="25" t="str">
        <f t="shared" si="2"/>
        <v/>
      </c>
      <c r="F165" s="29" cm="1">
        <f t="array" ref="F165">SUMPRODUCT((Radio!$A$2:$A$1000=Радиостанции!A165)*(Radio!$B$2:$B$1000=Радиостанции!D165)*Radio!$C$2:$C$1000)</f>
        <v>0</v>
      </c>
    </row>
    <row r="166" spans="3:6" x14ac:dyDescent="0.25">
      <c r="C166" s="25" t="str">
        <f t="shared" si="2"/>
        <v/>
      </c>
      <c r="F166" s="29" cm="1">
        <f t="array" ref="F166">SUMPRODUCT((Radio!$A$2:$A$1000=Радиостанции!A166)*(Radio!$B$2:$B$1000=Радиостанции!D166)*Radio!$C$2:$C$1000)</f>
        <v>0</v>
      </c>
    </row>
    <row r="167" spans="3:6" x14ac:dyDescent="0.25">
      <c r="C167" s="25" t="str">
        <f t="shared" si="2"/>
        <v/>
      </c>
      <c r="F167" s="29" cm="1">
        <f t="array" ref="F167">SUMPRODUCT((Radio!$A$2:$A$1000=Радиостанции!A167)*(Radio!$B$2:$B$1000=Радиостанции!D167)*Radio!$C$2:$C$1000)</f>
        <v>0</v>
      </c>
    </row>
    <row r="168" spans="3:6" x14ac:dyDescent="0.25">
      <c r="C168" s="25" t="str">
        <f t="shared" si="2"/>
        <v/>
      </c>
      <c r="F168" s="29" cm="1">
        <f t="array" ref="F168">SUMPRODUCT((Radio!$A$2:$A$1000=Радиостанции!A168)*(Radio!$B$2:$B$1000=Радиостанции!D168)*Radio!$C$2:$C$1000)</f>
        <v>0</v>
      </c>
    </row>
    <row r="169" spans="3:6" x14ac:dyDescent="0.25">
      <c r="C169" s="25" t="str">
        <f t="shared" si="2"/>
        <v/>
      </c>
      <c r="F169" s="29" cm="1">
        <f t="array" ref="F169">SUMPRODUCT((Radio!$A$2:$A$1000=Радиостанции!A169)*(Radio!$B$2:$B$1000=Радиостанции!D169)*Radio!$C$2:$C$1000)</f>
        <v>0</v>
      </c>
    </row>
    <row r="170" spans="3:6" x14ac:dyDescent="0.25">
      <c r="C170" s="25" t="str">
        <f t="shared" si="2"/>
        <v/>
      </c>
      <c r="F170" s="29" cm="1">
        <f t="array" ref="F170">SUMPRODUCT((Radio!$A$2:$A$1000=Радиостанции!A170)*(Radio!$B$2:$B$1000=Радиостанции!D170)*Radio!$C$2:$C$1000)</f>
        <v>0</v>
      </c>
    </row>
    <row r="171" spans="3:6" x14ac:dyDescent="0.25">
      <c r="C171" s="25" t="str">
        <f t="shared" si="2"/>
        <v/>
      </c>
      <c r="F171" s="29" cm="1">
        <f t="array" ref="F171">SUMPRODUCT((Radio!$A$2:$A$1000=Радиостанции!A171)*(Radio!$B$2:$B$1000=Радиостанции!D171)*Radio!$C$2:$C$1000)</f>
        <v>0</v>
      </c>
    </row>
    <row r="172" spans="3:6" x14ac:dyDescent="0.25">
      <c r="C172" s="25" t="str">
        <f t="shared" si="2"/>
        <v/>
      </c>
      <c r="F172" s="29" cm="1">
        <f t="array" ref="F172">SUMPRODUCT((Radio!$A$2:$A$1000=Радиостанции!A172)*(Radio!$B$2:$B$1000=Радиостанции!D172)*Radio!$C$2:$C$1000)</f>
        <v>0</v>
      </c>
    </row>
    <row r="173" spans="3:6" x14ac:dyDescent="0.25">
      <c r="C173" s="25" t="str">
        <f t="shared" si="2"/>
        <v/>
      </c>
      <c r="F173" s="29" cm="1">
        <f t="array" ref="F173">SUMPRODUCT((Radio!$A$2:$A$1000=Радиостанции!A173)*(Radio!$B$2:$B$1000=Радиостанции!D173)*Radio!$C$2:$C$1000)</f>
        <v>0</v>
      </c>
    </row>
    <row r="174" spans="3:6" x14ac:dyDescent="0.25">
      <c r="C174" s="25" t="str">
        <f t="shared" si="2"/>
        <v/>
      </c>
      <c r="F174" s="29" cm="1">
        <f t="array" ref="F174">SUMPRODUCT((Radio!$A$2:$A$1000=Радиостанции!A174)*(Radio!$B$2:$B$1000=Радиостанции!D174)*Radio!$C$2:$C$1000)</f>
        <v>0</v>
      </c>
    </row>
    <row r="175" spans="3:6" x14ac:dyDescent="0.25">
      <c r="C175" s="25" t="str">
        <f t="shared" si="2"/>
        <v/>
      </c>
      <c r="F175" s="29" cm="1">
        <f t="array" ref="F175">SUMPRODUCT((Radio!$A$2:$A$1000=Радиостанции!A175)*(Radio!$B$2:$B$1000=Радиостанции!D175)*Radio!$C$2:$C$1000)</f>
        <v>0</v>
      </c>
    </row>
    <row r="176" spans="3:6" x14ac:dyDescent="0.25">
      <c r="C176" s="25" t="str">
        <f t="shared" si="2"/>
        <v/>
      </c>
      <c r="F176" s="29" cm="1">
        <f t="array" ref="F176">SUMPRODUCT((Radio!$A$2:$A$1000=Радиостанции!A176)*(Radio!$B$2:$B$1000=Радиостанции!D176)*Radio!$C$2:$C$1000)</f>
        <v>0</v>
      </c>
    </row>
    <row r="177" spans="3:6" x14ac:dyDescent="0.25">
      <c r="C177" s="25" t="str">
        <f t="shared" si="2"/>
        <v/>
      </c>
      <c r="F177" s="29" cm="1">
        <f t="array" ref="F177">SUMPRODUCT((Radio!$A$2:$A$1000=Радиостанции!A177)*(Radio!$B$2:$B$1000=Радиостанции!D177)*Radio!$C$2:$C$1000)</f>
        <v>0</v>
      </c>
    </row>
    <row r="178" spans="3:6" x14ac:dyDescent="0.25">
      <c r="C178" s="25" t="str">
        <f t="shared" si="2"/>
        <v/>
      </c>
      <c r="F178" s="29" cm="1">
        <f t="array" ref="F178">SUMPRODUCT((Radio!$A$2:$A$1000=Радиостанции!A178)*(Radio!$B$2:$B$1000=Радиостанции!D178)*Radio!$C$2:$C$1000)</f>
        <v>0</v>
      </c>
    </row>
    <row r="179" spans="3:6" x14ac:dyDescent="0.25">
      <c r="C179" s="25" t="str">
        <f t="shared" si="2"/>
        <v/>
      </c>
      <c r="F179" s="29" cm="1">
        <f t="array" ref="F179">SUMPRODUCT((Radio!$A$2:$A$1000=Радиостанции!A179)*(Radio!$B$2:$B$1000=Радиостанции!D179)*Radio!$C$2:$C$1000)</f>
        <v>0</v>
      </c>
    </row>
    <row r="180" spans="3:6" x14ac:dyDescent="0.25">
      <c r="C180" s="25" t="str">
        <f t="shared" si="2"/>
        <v/>
      </c>
      <c r="F180" s="29" cm="1">
        <f t="array" ref="F180">SUMPRODUCT((Radio!$A$2:$A$1000=Радиостанции!A180)*(Radio!$B$2:$B$1000=Радиостанции!D180)*Radio!$C$2:$C$1000)</f>
        <v>0</v>
      </c>
    </row>
    <row r="181" spans="3:6" x14ac:dyDescent="0.25">
      <c r="C181" s="25" t="str">
        <f t="shared" si="2"/>
        <v/>
      </c>
      <c r="F181" s="29" cm="1">
        <f t="array" ref="F181">SUMPRODUCT((Radio!$A$2:$A$1000=Радиостанции!A181)*(Radio!$B$2:$B$1000=Радиостанции!D181)*Radio!$C$2:$C$1000)</f>
        <v>0</v>
      </c>
    </row>
    <row r="182" spans="3:6" x14ac:dyDescent="0.25">
      <c r="C182" s="25" t="str">
        <f t="shared" si="2"/>
        <v/>
      </c>
      <c r="F182" s="29" cm="1">
        <f t="array" ref="F182">SUMPRODUCT((Radio!$A$2:$A$1000=Радиостанции!A182)*(Radio!$B$2:$B$1000=Радиостанции!D182)*Radio!$C$2:$C$1000)</f>
        <v>0</v>
      </c>
    </row>
    <row r="183" spans="3:6" x14ac:dyDescent="0.25">
      <c r="C183" s="25" t="str">
        <f t="shared" si="2"/>
        <v/>
      </c>
      <c r="F183" s="29" cm="1">
        <f t="array" ref="F183">SUMPRODUCT((Radio!$A$2:$A$1000=Радиостанции!A183)*(Radio!$B$2:$B$1000=Радиостанции!D183)*Radio!$C$2:$C$1000)</f>
        <v>0</v>
      </c>
    </row>
    <row r="184" spans="3:6" x14ac:dyDescent="0.25">
      <c r="C184" s="25" t="str">
        <f t="shared" si="2"/>
        <v/>
      </c>
      <c r="F184" s="29" cm="1">
        <f t="array" ref="F184">SUMPRODUCT((Radio!$A$2:$A$1000=Радиостанции!A184)*(Radio!$B$2:$B$1000=Радиостанции!D184)*Radio!$C$2:$C$1000)</f>
        <v>0</v>
      </c>
    </row>
    <row r="185" spans="3:6" x14ac:dyDescent="0.25">
      <c r="C185" s="25" t="str">
        <f t="shared" si="2"/>
        <v/>
      </c>
      <c r="F185" s="29" cm="1">
        <f t="array" ref="F185">SUMPRODUCT((Radio!$A$2:$A$1000=Радиостанции!A185)*(Radio!$B$2:$B$1000=Радиостанции!D185)*Radio!$C$2:$C$1000)</f>
        <v>0</v>
      </c>
    </row>
    <row r="186" spans="3:6" x14ac:dyDescent="0.25">
      <c r="C186" s="25" t="str">
        <f t="shared" si="2"/>
        <v/>
      </c>
      <c r="F186" s="29" cm="1">
        <f t="array" ref="F186">SUMPRODUCT((Radio!$A$2:$A$1000=Радиостанции!A186)*(Radio!$B$2:$B$1000=Радиостанции!D186)*Radio!$C$2:$C$1000)</f>
        <v>0</v>
      </c>
    </row>
    <row r="187" spans="3:6" x14ac:dyDescent="0.25">
      <c r="C187" s="25" t="str">
        <f t="shared" si="2"/>
        <v/>
      </c>
      <c r="F187" s="29" cm="1">
        <f t="array" ref="F187">SUMPRODUCT((Radio!$A$2:$A$1000=Радиостанции!A187)*(Radio!$B$2:$B$1000=Радиостанции!D187)*Radio!$C$2:$C$1000)</f>
        <v>0</v>
      </c>
    </row>
    <row r="188" spans="3:6" x14ac:dyDescent="0.25">
      <c r="C188" s="25" t="str">
        <f t="shared" si="2"/>
        <v/>
      </c>
      <c r="F188" s="29" cm="1">
        <f t="array" ref="F188">SUMPRODUCT((Radio!$A$2:$A$1000=Радиостанции!A188)*(Radio!$B$2:$B$1000=Радиостанции!D188)*Radio!$C$2:$C$1000)</f>
        <v>0</v>
      </c>
    </row>
    <row r="189" spans="3:6" x14ac:dyDescent="0.25">
      <c r="C189" s="25" t="str">
        <f t="shared" si="2"/>
        <v/>
      </c>
      <c r="F189" s="29" cm="1">
        <f t="array" ref="F189">SUMPRODUCT((Radio!$A$2:$A$1000=Радиостанции!A189)*(Radio!$B$2:$B$1000=Радиостанции!D189)*Radio!$C$2:$C$1000)</f>
        <v>0</v>
      </c>
    </row>
    <row r="190" spans="3:6" x14ac:dyDescent="0.25">
      <c r="C190" s="25" t="str">
        <f t="shared" si="2"/>
        <v/>
      </c>
      <c r="F190" s="29" cm="1">
        <f t="array" ref="F190">SUMPRODUCT((Radio!$A$2:$A$1000=Радиостанции!A190)*(Radio!$B$2:$B$1000=Радиостанции!D190)*Radio!$C$2:$C$1000)</f>
        <v>0</v>
      </c>
    </row>
    <row r="191" spans="3:6" x14ac:dyDescent="0.25">
      <c r="C191" s="25" t="str">
        <f t="shared" si="2"/>
        <v/>
      </c>
      <c r="F191" s="29" cm="1">
        <f t="array" ref="F191">SUMPRODUCT((Radio!$A$2:$A$1000=Радиостанции!A191)*(Radio!$B$2:$B$1000=Радиостанции!D191)*Radio!$C$2:$C$1000)</f>
        <v>0</v>
      </c>
    </row>
    <row r="192" spans="3:6" x14ac:dyDescent="0.25">
      <c r="C192" s="25" t="str">
        <f t="shared" si="2"/>
        <v/>
      </c>
      <c r="F192" s="29" cm="1">
        <f t="array" ref="F192">SUMPRODUCT((Radio!$A$2:$A$1000=Радиостанции!A192)*(Radio!$B$2:$B$1000=Радиостанции!D192)*Radio!$C$2:$C$1000)</f>
        <v>0</v>
      </c>
    </row>
    <row r="193" spans="3:6" x14ac:dyDescent="0.25">
      <c r="C193" s="25" t="str">
        <f t="shared" si="2"/>
        <v/>
      </c>
      <c r="F193" s="29" cm="1">
        <f t="array" ref="F193">SUMPRODUCT((Radio!$A$2:$A$1000=Радиостанции!A193)*(Radio!$B$2:$B$1000=Радиостанции!D193)*Radio!$C$2:$C$1000)</f>
        <v>0</v>
      </c>
    </row>
    <row r="194" spans="3:6" x14ac:dyDescent="0.25">
      <c r="C194" s="25" t="str">
        <f t="shared" si="2"/>
        <v/>
      </c>
      <c r="F194" s="29" cm="1">
        <f t="array" ref="F194">SUMPRODUCT((Radio!$A$2:$A$1000=Радиостанции!A194)*(Radio!$B$2:$B$1000=Радиостанции!D194)*Radio!$C$2:$C$1000)</f>
        <v>0</v>
      </c>
    </row>
    <row r="195" spans="3:6" x14ac:dyDescent="0.25">
      <c r="C195" s="25" t="str">
        <f t="shared" ref="C195:C258" si="3">_xlfn.CONCAT(A195,B195)</f>
        <v/>
      </c>
      <c r="F195" s="29" cm="1">
        <f t="array" ref="F195">SUMPRODUCT((Radio!$A$2:$A$1000=Радиостанции!A195)*(Radio!$B$2:$B$1000=Радиостанции!D195)*Radio!$C$2:$C$1000)</f>
        <v>0</v>
      </c>
    </row>
    <row r="196" spans="3:6" x14ac:dyDescent="0.25">
      <c r="C196" s="25" t="str">
        <f t="shared" si="3"/>
        <v/>
      </c>
      <c r="F196" s="29" cm="1">
        <f t="array" ref="F196">SUMPRODUCT((Radio!$A$2:$A$1000=Радиостанции!A196)*(Radio!$B$2:$B$1000=Радиостанции!D196)*Radio!$C$2:$C$1000)</f>
        <v>0</v>
      </c>
    </row>
    <row r="197" spans="3:6" x14ac:dyDescent="0.25">
      <c r="C197" s="25" t="str">
        <f t="shared" si="3"/>
        <v/>
      </c>
      <c r="F197" s="29" cm="1">
        <f t="array" ref="F197">SUMPRODUCT((Radio!$A$2:$A$1000=Радиостанции!A197)*(Radio!$B$2:$B$1000=Радиостанции!D197)*Radio!$C$2:$C$1000)</f>
        <v>0</v>
      </c>
    </row>
    <row r="198" spans="3:6" x14ac:dyDescent="0.25">
      <c r="C198" s="25" t="str">
        <f t="shared" si="3"/>
        <v/>
      </c>
      <c r="F198" s="29" cm="1">
        <f t="array" ref="F198">SUMPRODUCT((Radio!$A$2:$A$1000=Радиостанции!A198)*(Radio!$B$2:$B$1000=Радиостанции!D198)*Radio!$C$2:$C$1000)</f>
        <v>0</v>
      </c>
    </row>
    <row r="199" spans="3:6" x14ac:dyDescent="0.25">
      <c r="C199" s="25" t="str">
        <f t="shared" si="3"/>
        <v/>
      </c>
      <c r="F199" s="29" cm="1">
        <f t="array" ref="F199">SUMPRODUCT((Radio!$A$2:$A$1000=Радиостанции!A199)*(Radio!$B$2:$B$1000=Радиостанции!D199)*Radio!$C$2:$C$1000)</f>
        <v>0</v>
      </c>
    </row>
    <row r="200" spans="3:6" x14ac:dyDescent="0.25">
      <c r="C200" s="25" t="str">
        <f t="shared" si="3"/>
        <v/>
      </c>
      <c r="F200" s="29" cm="1">
        <f t="array" ref="F200">SUMPRODUCT((Radio!$A$2:$A$1000=Радиостанции!A200)*(Radio!$B$2:$B$1000=Радиостанции!D200)*Radio!$C$2:$C$1000)</f>
        <v>0</v>
      </c>
    </row>
    <row r="201" spans="3:6" x14ac:dyDescent="0.25">
      <c r="C201" s="25" t="str">
        <f t="shared" si="3"/>
        <v/>
      </c>
      <c r="F201" s="29" cm="1">
        <f t="array" ref="F201">SUMPRODUCT((Radio!$A$2:$A$1000=Радиостанции!A201)*(Radio!$B$2:$B$1000=Радиостанции!D201)*Radio!$C$2:$C$1000)</f>
        <v>0</v>
      </c>
    </row>
    <row r="202" spans="3:6" x14ac:dyDescent="0.25">
      <c r="C202" s="25" t="str">
        <f t="shared" si="3"/>
        <v/>
      </c>
      <c r="F202" s="29" cm="1">
        <f t="array" ref="F202">SUMPRODUCT((Radio!$A$2:$A$1000=Радиостанции!A202)*(Radio!$B$2:$B$1000=Радиостанции!D202)*Radio!$C$2:$C$1000)</f>
        <v>0</v>
      </c>
    </row>
    <row r="203" spans="3:6" x14ac:dyDescent="0.25">
      <c r="C203" s="25" t="str">
        <f t="shared" si="3"/>
        <v/>
      </c>
      <c r="F203" s="29" cm="1">
        <f t="array" ref="F203">SUMPRODUCT((Radio!$A$2:$A$1000=Радиостанции!A203)*(Radio!$B$2:$B$1000=Радиостанции!D203)*Radio!$C$2:$C$1000)</f>
        <v>0</v>
      </c>
    </row>
    <row r="204" spans="3:6" x14ac:dyDescent="0.25">
      <c r="C204" s="25" t="str">
        <f t="shared" si="3"/>
        <v/>
      </c>
      <c r="F204" s="29" cm="1">
        <f t="array" ref="F204">SUMPRODUCT((Radio!$A$2:$A$1000=Радиостанции!A204)*(Radio!$B$2:$B$1000=Радиостанции!D204)*Radio!$C$2:$C$1000)</f>
        <v>0</v>
      </c>
    </row>
    <row r="205" spans="3:6" x14ac:dyDescent="0.25">
      <c r="C205" s="25" t="str">
        <f t="shared" si="3"/>
        <v/>
      </c>
      <c r="F205" s="29" cm="1">
        <f t="array" ref="F205">SUMPRODUCT((Radio!$A$2:$A$1000=Радиостанции!A205)*(Radio!$B$2:$B$1000=Радиостанции!D205)*Radio!$C$2:$C$1000)</f>
        <v>0</v>
      </c>
    </row>
    <row r="206" spans="3:6" x14ac:dyDescent="0.25">
      <c r="C206" s="25" t="str">
        <f t="shared" si="3"/>
        <v/>
      </c>
      <c r="F206" s="29" cm="1">
        <f t="array" ref="F206">SUMPRODUCT((Radio!$A$2:$A$1000=Радиостанции!A206)*(Radio!$B$2:$B$1000=Радиостанции!D206)*Radio!$C$2:$C$1000)</f>
        <v>0</v>
      </c>
    </row>
    <row r="207" spans="3:6" x14ac:dyDescent="0.25">
      <c r="C207" s="25" t="str">
        <f t="shared" si="3"/>
        <v/>
      </c>
      <c r="F207" s="29" cm="1">
        <f t="array" ref="F207">SUMPRODUCT((Radio!$A$2:$A$1000=Радиостанции!A207)*(Radio!$B$2:$B$1000=Радиостанции!D207)*Radio!$C$2:$C$1000)</f>
        <v>0</v>
      </c>
    </row>
    <row r="208" spans="3:6" x14ac:dyDescent="0.25">
      <c r="C208" s="25" t="str">
        <f t="shared" si="3"/>
        <v/>
      </c>
      <c r="F208" s="29" cm="1">
        <f t="array" ref="F208">SUMPRODUCT((Radio!$A$2:$A$1000=Радиостанции!A208)*(Radio!$B$2:$B$1000=Радиостанции!D208)*Radio!$C$2:$C$1000)</f>
        <v>0</v>
      </c>
    </row>
    <row r="209" spans="3:6" x14ac:dyDescent="0.25">
      <c r="C209" s="25" t="str">
        <f t="shared" si="3"/>
        <v/>
      </c>
      <c r="F209" s="29" cm="1">
        <f t="array" ref="F209">SUMPRODUCT((Radio!$A$2:$A$1000=Радиостанции!A209)*(Radio!$B$2:$B$1000=Радиостанции!D209)*Radio!$C$2:$C$1000)</f>
        <v>0</v>
      </c>
    </row>
    <row r="210" spans="3:6" x14ac:dyDescent="0.25">
      <c r="C210" s="25" t="str">
        <f t="shared" si="3"/>
        <v/>
      </c>
      <c r="F210" s="29" cm="1">
        <f t="array" ref="F210">SUMPRODUCT((Radio!$A$2:$A$1000=Радиостанции!A210)*(Radio!$B$2:$B$1000=Радиостанции!D210)*Radio!$C$2:$C$1000)</f>
        <v>0</v>
      </c>
    </row>
    <row r="211" spans="3:6" x14ac:dyDescent="0.25">
      <c r="C211" s="25" t="str">
        <f t="shared" si="3"/>
        <v/>
      </c>
      <c r="F211" s="29" cm="1">
        <f t="array" ref="F211">SUMPRODUCT((Radio!$A$2:$A$1000=Радиостанции!A211)*(Radio!$B$2:$B$1000=Радиостанции!D211)*Radio!$C$2:$C$1000)</f>
        <v>0</v>
      </c>
    </row>
    <row r="212" spans="3:6" x14ac:dyDescent="0.25">
      <c r="C212" s="25" t="str">
        <f t="shared" si="3"/>
        <v/>
      </c>
      <c r="F212" s="29" cm="1">
        <f t="array" ref="F212">SUMPRODUCT((Radio!$A$2:$A$1000=Радиостанции!A212)*(Radio!$B$2:$B$1000=Радиостанции!D212)*Radio!$C$2:$C$1000)</f>
        <v>0</v>
      </c>
    </row>
    <row r="213" spans="3:6" x14ac:dyDescent="0.25">
      <c r="C213" s="25" t="str">
        <f t="shared" si="3"/>
        <v/>
      </c>
      <c r="F213" s="29" cm="1">
        <f t="array" ref="F213">SUMPRODUCT((Radio!$A$2:$A$1000=Радиостанции!A213)*(Radio!$B$2:$B$1000=Радиостанции!D213)*Radio!$C$2:$C$1000)</f>
        <v>0</v>
      </c>
    </row>
    <row r="214" spans="3:6" x14ac:dyDescent="0.25">
      <c r="C214" s="25" t="str">
        <f t="shared" si="3"/>
        <v/>
      </c>
      <c r="F214" s="29" cm="1">
        <f t="array" ref="F214">SUMPRODUCT((Radio!$A$2:$A$1000=Радиостанции!A214)*(Radio!$B$2:$B$1000=Радиостанции!D214)*Radio!$C$2:$C$1000)</f>
        <v>0</v>
      </c>
    </row>
    <row r="215" spans="3:6" x14ac:dyDescent="0.25">
      <c r="C215" s="25" t="str">
        <f t="shared" si="3"/>
        <v/>
      </c>
      <c r="F215" s="29" cm="1">
        <f t="array" ref="F215">SUMPRODUCT((Radio!$A$2:$A$1000=Радиостанции!A215)*(Radio!$B$2:$B$1000=Радиостанции!D215)*Radio!$C$2:$C$1000)</f>
        <v>0</v>
      </c>
    </row>
    <row r="216" spans="3:6" x14ac:dyDescent="0.25">
      <c r="C216" s="25" t="str">
        <f t="shared" si="3"/>
        <v/>
      </c>
      <c r="F216" s="29" cm="1">
        <f t="array" ref="F216">SUMPRODUCT((Radio!$A$2:$A$1000=Радиостанции!A216)*(Radio!$B$2:$B$1000=Радиостанции!D216)*Radio!$C$2:$C$1000)</f>
        <v>0</v>
      </c>
    </row>
    <row r="217" spans="3:6" x14ac:dyDescent="0.25">
      <c r="C217" s="25" t="str">
        <f t="shared" si="3"/>
        <v/>
      </c>
      <c r="F217" s="29" cm="1">
        <f t="array" ref="F217">SUMPRODUCT((Radio!$A$2:$A$1000=Радиостанции!A217)*(Radio!$B$2:$B$1000=Радиостанции!D217)*Radio!$C$2:$C$1000)</f>
        <v>0</v>
      </c>
    </row>
    <row r="218" spans="3:6" x14ac:dyDescent="0.25">
      <c r="C218" s="25" t="str">
        <f t="shared" si="3"/>
        <v/>
      </c>
      <c r="F218" s="29" cm="1">
        <f t="array" ref="F218">SUMPRODUCT((Radio!$A$2:$A$1000=Радиостанции!A218)*(Radio!$B$2:$B$1000=Радиостанции!D218)*Radio!$C$2:$C$1000)</f>
        <v>0</v>
      </c>
    </row>
    <row r="219" spans="3:6" x14ac:dyDescent="0.25">
      <c r="C219" s="25" t="str">
        <f t="shared" si="3"/>
        <v/>
      </c>
      <c r="F219" s="29" cm="1">
        <f t="array" ref="F219">SUMPRODUCT((Radio!$A$2:$A$1000=Радиостанции!A219)*(Radio!$B$2:$B$1000=Радиостанции!D219)*Radio!$C$2:$C$1000)</f>
        <v>0</v>
      </c>
    </row>
    <row r="220" spans="3:6" x14ac:dyDescent="0.25">
      <c r="C220" s="25" t="str">
        <f t="shared" si="3"/>
        <v/>
      </c>
      <c r="F220" s="29" cm="1">
        <f t="array" ref="F220">SUMPRODUCT((Radio!$A$2:$A$1000=Радиостанции!A220)*(Radio!$B$2:$B$1000=Радиостанции!D220)*Radio!$C$2:$C$1000)</f>
        <v>0</v>
      </c>
    </row>
    <row r="221" spans="3:6" x14ac:dyDescent="0.25">
      <c r="C221" s="25" t="str">
        <f t="shared" si="3"/>
        <v/>
      </c>
      <c r="F221" s="29" cm="1">
        <f t="array" ref="F221">SUMPRODUCT((Radio!$A$2:$A$1000=Радиостанции!A221)*(Radio!$B$2:$B$1000=Радиостанции!D221)*Radio!$C$2:$C$1000)</f>
        <v>0</v>
      </c>
    </row>
    <row r="222" spans="3:6" x14ac:dyDescent="0.25">
      <c r="C222" s="25" t="str">
        <f t="shared" si="3"/>
        <v/>
      </c>
      <c r="F222" s="29" cm="1">
        <f t="array" ref="F222">SUMPRODUCT((Radio!$A$2:$A$1000=Радиостанции!A222)*(Radio!$B$2:$B$1000=Радиостанции!D222)*Radio!$C$2:$C$1000)</f>
        <v>0</v>
      </c>
    </row>
    <row r="223" spans="3:6" x14ac:dyDescent="0.25">
      <c r="C223" s="25" t="str">
        <f t="shared" si="3"/>
        <v/>
      </c>
      <c r="F223" s="29" cm="1">
        <f t="array" ref="F223">SUMPRODUCT((Radio!$A$2:$A$1000=Радиостанции!A223)*(Radio!$B$2:$B$1000=Радиостанции!D223)*Radio!$C$2:$C$1000)</f>
        <v>0</v>
      </c>
    </row>
    <row r="224" spans="3:6" x14ac:dyDescent="0.25">
      <c r="C224" s="25" t="str">
        <f t="shared" si="3"/>
        <v/>
      </c>
      <c r="F224" s="29" cm="1">
        <f t="array" ref="F224">SUMPRODUCT((Radio!$A$2:$A$1000=Радиостанции!A224)*(Radio!$B$2:$B$1000=Радиостанции!D224)*Radio!$C$2:$C$1000)</f>
        <v>0</v>
      </c>
    </row>
    <row r="225" spans="3:6" x14ac:dyDescent="0.25">
      <c r="C225" s="25" t="str">
        <f t="shared" si="3"/>
        <v/>
      </c>
      <c r="F225" s="29" cm="1">
        <f t="array" ref="F225">SUMPRODUCT((Radio!$A$2:$A$1000=Радиостанции!A225)*(Radio!$B$2:$B$1000=Радиостанции!D225)*Radio!$C$2:$C$1000)</f>
        <v>0</v>
      </c>
    </row>
    <row r="226" spans="3:6" x14ac:dyDescent="0.25">
      <c r="C226" s="25" t="str">
        <f t="shared" si="3"/>
        <v/>
      </c>
      <c r="F226" s="29" cm="1">
        <f t="array" ref="F226">SUMPRODUCT((Radio!$A$2:$A$1000=Радиостанции!A226)*(Radio!$B$2:$B$1000=Радиостанции!D226)*Radio!$C$2:$C$1000)</f>
        <v>0</v>
      </c>
    </row>
    <row r="227" spans="3:6" x14ac:dyDescent="0.25">
      <c r="C227" s="25" t="str">
        <f t="shared" si="3"/>
        <v/>
      </c>
      <c r="F227" s="29" cm="1">
        <f t="array" ref="F227">SUMPRODUCT((Radio!$A$2:$A$1000=Радиостанции!A227)*(Radio!$B$2:$B$1000=Радиостанции!D227)*Radio!$C$2:$C$1000)</f>
        <v>0</v>
      </c>
    </row>
    <row r="228" spans="3:6" x14ac:dyDescent="0.25">
      <c r="C228" s="25" t="str">
        <f t="shared" si="3"/>
        <v/>
      </c>
      <c r="F228" s="29" cm="1">
        <f t="array" ref="F228">SUMPRODUCT((Radio!$A$2:$A$1000=Радиостанции!A228)*(Radio!$B$2:$B$1000=Радиостанции!D228)*Radio!$C$2:$C$1000)</f>
        <v>0</v>
      </c>
    </row>
    <row r="229" spans="3:6" x14ac:dyDescent="0.25">
      <c r="C229" s="25" t="str">
        <f t="shared" si="3"/>
        <v/>
      </c>
      <c r="F229" s="29" cm="1">
        <f t="array" ref="F229">SUMPRODUCT((Radio!$A$2:$A$1000=Радиостанции!A229)*(Radio!$B$2:$B$1000=Радиостанции!D229)*Radio!$C$2:$C$1000)</f>
        <v>0</v>
      </c>
    </row>
    <row r="230" spans="3:6" x14ac:dyDescent="0.25">
      <c r="C230" s="25" t="str">
        <f t="shared" si="3"/>
        <v/>
      </c>
      <c r="F230" s="29" cm="1">
        <f t="array" ref="F230">SUMPRODUCT((Radio!$A$2:$A$1000=Радиостанции!A230)*(Radio!$B$2:$B$1000=Радиостанции!D230)*Radio!$C$2:$C$1000)</f>
        <v>0</v>
      </c>
    </row>
    <row r="231" spans="3:6" x14ac:dyDescent="0.25">
      <c r="C231" s="25" t="str">
        <f t="shared" si="3"/>
        <v/>
      </c>
      <c r="F231" s="29" cm="1">
        <f t="array" ref="F231">SUMPRODUCT((Radio!$A$2:$A$1000=Радиостанции!A231)*(Radio!$B$2:$B$1000=Радиостанции!D231)*Radio!$C$2:$C$1000)</f>
        <v>0</v>
      </c>
    </row>
    <row r="232" spans="3:6" x14ac:dyDescent="0.25">
      <c r="C232" s="25" t="str">
        <f t="shared" si="3"/>
        <v/>
      </c>
      <c r="F232" s="29" cm="1">
        <f t="array" ref="F232">SUMPRODUCT((Radio!$A$2:$A$1000=Радиостанции!A232)*(Radio!$B$2:$B$1000=Радиостанции!D232)*Radio!$C$2:$C$1000)</f>
        <v>0</v>
      </c>
    </row>
    <row r="233" spans="3:6" x14ac:dyDescent="0.25">
      <c r="C233" s="25" t="str">
        <f t="shared" si="3"/>
        <v/>
      </c>
      <c r="F233" s="29" cm="1">
        <f t="array" ref="F233">SUMPRODUCT((Radio!$A$2:$A$1000=Радиостанции!A233)*(Radio!$B$2:$B$1000=Радиостанции!D233)*Radio!$C$2:$C$1000)</f>
        <v>0</v>
      </c>
    </row>
    <row r="234" spans="3:6" x14ac:dyDescent="0.25">
      <c r="C234" s="25" t="str">
        <f t="shared" si="3"/>
        <v/>
      </c>
      <c r="F234" s="29" cm="1">
        <f t="array" ref="F234">SUMPRODUCT((Radio!$A$2:$A$1000=Радиостанции!A234)*(Radio!$B$2:$B$1000=Радиостанции!D234)*Radio!$C$2:$C$1000)</f>
        <v>0</v>
      </c>
    </row>
    <row r="235" spans="3:6" x14ac:dyDescent="0.25">
      <c r="C235" s="25" t="str">
        <f t="shared" si="3"/>
        <v/>
      </c>
      <c r="F235" s="29" cm="1">
        <f t="array" ref="F235">SUMPRODUCT((Radio!$A$2:$A$1000=Радиостанции!A235)*(Radio!$B$2:$B$1000=Радиостанции!D235)*Radio!$C$2:$C$1000)</f>
        <v>0</v>
      </c>
    </row>
    <row r="236" spans="3:6" x14ac:dyDescent="0.25">
      <c r="C236" s="25" t="str">
        <f t="shared" si="3"/>
        <v/>
      </c>
      <c r="F236" s="29" cm="1">
        <f t="array" ref="F236">SUMPRODUCT((Radio!$A$2:$A$1000=Радиостанции!A236)*(Radio!$B$2:$B$1000=Радиостанции!D236)*Radio!$C$2:$C$1000)</f>
        <v>0</v>
      </c>
    </row>
    <row r="237" spans="3:6" x14ac:dyDescent="0.25">
      <c r="C237" s="25" t="str">
        <f t="shared" si="3"/>
        <v/>
      </c>
      <c r="F237" s="29" cm="1">
        <f t="array" ref="F237">SUMPRODUCT((Radio!$A$2:$A$1000=Радиостанции!A237)*(Radio!$B$2:$B$1000=Радиостанции!D237)*Radio!$C$2:$C$1000)</f>
        <v>0</v>
      </c>
    </row>
    <row r="238" spans="3:6" x14ac:dyDescent="0.25">
      <c r="C238" s="25" t="str">
        <f t="shared" si="3"/>
        <v/>
      </c>
      <c r="F238" s="29" cm="1">
        <f t="array" ref="F238">SUMPRODUCT((Radio!$A$2:$A$1000=Радиостанции!A238)*(Radio!$B$2:$B$1000=Радиостанции!D238)*Radio!$C$2:$C$1000)</f>
        <v>0</v>
      </c>
    </row>
    <row r="239" spans="3:6" x14ac:dyDescent="0.25">
      <c r="C239" s="25" t="str">
        <f t="shared" si="3"/>
        <v/>
      </c>
      <c r="F239" s="29" cm="1">
        <f t="array" ref="F239">SUMPRODUCT((Radio!$A$2:$A$1000=Радиостанции!A239)*(Radio!$B$2:$B$1000=Радиостанции!D239)*Radio!$C$2:$C$1000)</f>
        <v>0</v>
      </c>
    </row>
    <row r="240" spans="3:6" x14ac:dyDescent="0.25">
      <c r="C240" s="25" t="str">
        <f t="shared" si="3"/>
        <v/>
      </c>
      <c r="F240" s="29" cm="1">
        <f t="array" ref="F240">SUMPRODUCT((Radio!$A$2:$A$1000=Радиостанции!A240)*(Radio!$B$2:$B$1000=Радиостанции!D240)*Radio!$C$2:$C$1000)</f>
        <v>0</v>
      </c>
    </row>
    <row r="241" spans="3:6" x14ac:dyDescent="0.25">
      <c r="C241" s="25" t="str">
        <f t="shared" si="3"/>
        <v/>
      </c>
      <c r="F241" s="29" cm="1">
        <f t="array" ref="F241">SUMPRODUCT((Radio!$A$2:$A$1000=Радиостанции!A241)*(Radio!$B$2:$B$1000=Радиостанции!D241)*Radio!$C$2:$C$1000)</f>
        <v>0</v>
      </c>
    </row>
    <row r="242" spans="3:6" x14ac:dyDescent="0.25">
      <c r="C242" s="25" t="str">
        <f t="shared" si="3"/>
        <v/>
      </c>
      <c r="F242" s="29" cm="1">
        <f t="array" ref="F242">SUMPRODUCT((Radio!$A$2:$A$1000=Радиостанции!A242)*(Radio!$B$2:$B$1000=Радиостанции!D242)*Radio!$C$2:$C$1000)</f>
        <v>0</v>
      </c>
    </row>
    <row r="243" spans="3:6" x14ac:dyDescent="0.25">
      <c r="C243" s="25" t="str">
        <f t="shared" si="3"/>
        <v/>
      </c>
      <c r="F243" s="29" cm="1">
        <f t="array" ref="F243">SUMPRODUCT((Radio!$A$2:$A$1000=Радиостанции!A243)*(Radio!$B$2:$B$1000=Радиостанции!D243)*Radio!$C$2:$C$1000)</f>
        <v>0</v>
      </c>
    </row>
    <row r="244" spans="3:6" x14ac:dyDescent="0.25">
      <c r="C244" s="25" t="str">
        <f t="shared" si="3"/>
        <v/>
      </c>
      <c r="F244" s="29" cm="1">
        <f t="array" ref="F244">SUMPRODUCT((Radio!$A$2:$A$1000=Радиостанции!A244)*(Radio!$B$2:$B$1000=Радиостанции!D244)*Radio!$C$2:$C$1000)</f>
        <v>0</v>
      </c>
    </row>
    <row r="245" spans="3:6" x14ac:dyDescent="0.25">
      <c r="C245" s="25" t="str">
        <f t="shared" si="3"/>
        <v/>
      </c>
      <c r="F245" s="29" cm="1">
        <f t="array" ref="F245">SUMPRODUCT((Radio!$A$2:$A$1000=Радиостанции!A245)*(Radio!$B$2:$B$1000=Радиостанции!D245)*Radio!$C$2:$C$1000)</f>
        <v>0</v>
      </c>
    </row>
    <row r="246" spans="3:6" x14ac:dyDescent="0.25">
      <c r="C246" s="25" t="str">
        <f t="shared" si="3"/>
        <v/>
      </c>
      <c r="F246" s="29" cm="1">
        <f t="array" ref="F246">SUMPRODUCT((Radio!$A$2:$A$1000=Радиостанции!A246)*(Radio!$B$2:$B$1000=Радиостанции!D246)*Radio!$C$2:$C$1000)</f>
        <v>0</v>
      </c>
    </row>
    <row r="247" spans="3:6" x14ac:dyDescent="0.25">
      <c r="C247" s="25" t="str">
        <f t="shared" si="3"/>
        <v/>
      </c>
      <c r="F247" s="29" cm="1">
        <f t="array" ref="F247">SUMPRODUCT((Radio!$A$2:$A$1000=Радиостанции!A247)*(Radio!$B$2:$B$1000=Радиостанции!D247)*Radio!$C$2:$C$1000)</f>
        <v>0</v>
      </c>
    </row>
    <row r="248" spans="3:6" x14ac:dyDescent="0.25">
      <c r="C248" s="25" t="str">
        <f t="shared" si="3"/>
        <v/>
      </c>
      <c r="F248" s="29" cm="1">
        <f t="array" ref="F248">SUMPRODUCT((Radio!$A$2:$A$1000=Радиостанции!A248)*(Radio!$B$2:$B$1000=Радиостанции!D248)*Radio!$C$2:$C$1000)</f>
        <v>0</v>
      </c>
    </row>
    <row r="249" spans="3:6" x14ac:dyDescent="0.25">
      <c r="C249" s="25" t="str">
        <f t="shared" si="3"/>
        <v/>
      </c>
      <c r="F249" s="29" cm="1">
        <f t="array" ref="F249">SUMPRODUCT((Radio!$A$2:$A$1000=Радиостанции!A249)*(Radio!$B$2:$B$1000=Радиостанции!D249)*Radio!$C$2:$C$1000)</f>
        <v>0</v>
      </c>
    </row>
    <row r="250" spans="3:6" x14ac:dyDescent="0.25">
      <c r="C250" s="25" t="str">
        <f t="shared" si="3"/>
        <v/>
      </c>
      <c r="F250" s="29" cm="1">
        <f t="array" ref="F250">SUMPRODUCT((Radio!$A$2:$A$1000=Радиостанции!A250)*(Radio!$B$2:$B$1000=Радиостанции!D250)*Radio!$C$2:$C$1000)</f>
        <v>0</v>
      </c>
    </row>
    <row r="251" spans="3:6" x14ac:dyDescent="0.25">
      <c r="C251" s="25" t="str">
        <f t="shared" si="3"/>
        <v/>
      </c>
      <c r="F251" s="29" cm="1">
        <f t="array" ref="F251">SUMPRODUCT((Radio!$A$2:$A$1000=Радиостанции!A251)*(Radio!$B$2:$B$1000=Радиостанции!D251)*Radio!$C$2:$C$1000)</f>
        <v>0</v>
      </c>
    </row>
    <row r="252" spans="3:6" x14ac:dyDescent="0.25">
      <c r="C252" s="25" t="str">
        <f t="shared" si="3"/>
        <v/>
      </c>
      <c r="F252" s="29" cm="1">
        <f t="array" ref="F252">SUMPRODUCT((Radio!$A$2:$A$1000=Радиостанции!A252)*(Radio!$B$2:$B$1000=Радиостанции!D252)*Radio!$C$2:$C$1000)</f>
        <v>0</v>
      </c>
    </row>
    <row r="253" spans="3:6" x14ac:dyDescent="0.25">
      <c r="C253" s="25" t="str">
        <f t="shared" si="3"/>
        <v/>
      </c>
      <c r="F253" s="29" cm="1">
        <f t="array" ref="F253">SUMPRODUCT((Radio!$A$2:$A$1000=Радиостанции!A253)*(Radio!$B$2:$B$1000=Радиостанции!D253)*Radio!$C$2:$C$1000)</f>
        <v>0</v>
      </c>
    </row>
    <row r="254" spans="3:6" x14ac:dyDescent="0.25">
      <c r="C254" s="25" t="str">
        <f t="shared" si="3"/>
        <v/>
      </c>
      <c r="F254" s="29" cm="1">
        <f t="array" ref="F254">SUMPRODUCT((Radio!$A$2:$A$1000=Радиостанции!A254)*(Radio!$B$2:$B$1000=Радиостанции!D254)*Radio!$C$2:$C$1000)</f>
        <v>0</v>
      </c>
    </row>
    <row r="255" spans="3:6" x14ac:dyDescent="0.25">
      <c r="C255" s="25" t="str">
        <f t="shared" si="3"/>
        <v/>
      </c>
      <c r="F255" s="29" cm="1">
        <f t="array" ref="F255">SUMPRODUCT((Radio!$A$2:$A$1000=Радиостанции!A255)*(Radio!$B$2:$B$1000=Радиостанции!D255)*Radio!$C$2:$C$1000)</f>
        <v>0</v>
      </c>
    </row>
    <row r="256" spans="3:6" x14ac:dyDescent="0.25">
      <c r="C256" s="25" t="str">
        <f t="shared" si="3"/>
        <v/>
      </c>
      <c r="F256" s="29" cm="1">
        <f t="array" ref="F256">SUMPRODUCT((Radio!$A$2:$A$1000=Радиостанции!A256)*(Radio!$B$2:$B$1000=Радиостанции!D256)*Radio!$C$2:$C$1000)</f>
        <v>0</v>
      </c>
    </row>
    <row r="257" spans="3:6" x14ac:dyDescent="0.25">
      <c r="C257" s="25" t="str">
        <f t="shared" si="3"/>
        <v/>
      </c>
      <c r="F257" s="29" cm="1">
        <f t="array" ref="F257">SUMPRODUCT((Radio!$A$2:$A$1000=Радиостанции!A257)*(Radio!$B$2:$B$1000=Радиостанции!D257)*Radio!$C$2:$C$1000)</f>
        <v>0</v>
      </c>
    </row>
    <row r="258" spans="3:6" x14ac:dyDescent="0.25">
      <c r="C258" s="25" t="str">
        <f t="shared" si="3"/>
        <v/>
      </c>
      <c r="F258" s="29" cm="1">
        <f t="array" ref="F258">SUMPRODUCT((Radio!$A$2:$A$1000=Радиостанции!A258)*(Radio!$B$2:$B$1000=Радиостанции!D258)*Radio!$C$2:$C$1000)</f>
        <v>0</v>
      </c>
    </row>
    <row r="259" spans="3:6" x14ac:dyDescent="0.25">
      <c r="C259" s="25" t="str">
        <f t="shared" ref="C259:C322" si="4">_xlfn.CONCAT(A259,B259)</f>
        <v/>
      </c>
      <c r="F259" s="29" cm="1">
        <f t="array" ref="F259">SUMPRODUCT((Radio!$A$2:$A$1000=Радиостанции!A259)*(Radio!$B$2:$B$1000=Радиостанции!D259)*Radio!$C$2:$C$1000)</f>
        <v>0</v>
      </c>
    </row>
    <row r="260" spans="3:6" x14ac:dyDescent="0.25">
      <c r="C260" s="25" t="str">
        <f t="shared" si="4"/>
        <v/>
      </c>
      <c r="F260" s="29" cm="1">
        <f t="array" ref="F260">SUMPRODUCT((Radio!$A$2:$A$1000=Радиостанции!A260)*(Radio!$B$2:$B$1000=Радиостанции!D260)*Radio!$C$2:$C$1000)</f>
        <v>0</v>
      </c>
    </row>
    <row r="261" spans="3:6" x14ac:dyDescent="0.25">
      <c r="C261" s="25" t="str">
        <f t="shared" si="4"/>
        <v/>
      </c>
      <c r="F261" s="29" cm="1">
        <f t="array" ref="F261">SUMPRODUCT((Radio!$A$2:$A$1000=Радиостанции!A261)*(Radio!$B$2:$B$1000=Радиостанции!D261)*Radio!$C$2:$C$1000)</f>
        <v>0</v>
      </c>
    </row>
    <row r="262" spans="3:6" x14ac:dyDescent="0.25">
      <c r="C262" s="25" t="str">
        <f t="shared" si="4"/>
        <v/>
      </c>
      <c r="F262" s="29" cm="1">
        <f t="array" ref="F262">SUMPRODUCT((Radio!$A$2:$A$1000=Радиостанции!A262)*(Radio!$B$2:$B$1000=Радиостанции!D262)*Radio!$C$2:$C$1000)</f>
        <v>0</v>
      </c>
    </row>
    <row r="263" spans="3:6" x14ac:dyDescent="0.25">
      <c r="C263" s="25" t="str">
        <f t="shared" si="4"/>
        <v/>
      </c>
      <c r="F263" s="29" cm="1">
        <f t="array" ref="F263">SUMPRODUCT((Radio!$A$2:$A$1000=Радиостанции!A263)*(Radio!$B$2:$B$1000=Радиостанции!D263)*Radio!$C$2:$C$1000)</f>
        <v>0</v>
      </c>
    </row>
    <row r="264" spans="3:6" x14ac:dyDescent="0.25">
      <c r="C264" s="25" t="str">
        <f t="shared" si="4"/>
        <v/>
      </c>
      <c r="F264" s="29" cm="1">
        <f t="array" ref="F264">SUMPRODUCT((Radio!$A$2:$A$1000=Радиостанции!A264)*(Radio!$B$2:$B$1000=Радиостанции!D264)*Radio!$C$2:$C$1000)</f>
        <v>0</v>
      </c>
    </row>
    <row r="265" spans="3:6" x14ac:dyDescent="0.25">
      <c r="C265" s="25" t="str">
        <f t="shared" si="4"/>
        <v/>
      </c>
      <c r="F265" s="29" cm="1">
        <f t="array" ref="F265">SUMPRODUCT((Radio!$A$2:$A$1000=Радиостанции!A265)*(Radio!$B$2:$B$1000=Радиостанции!D265)*Radio!$C$2:$C$1000)</f>
        <v>0</v>
      </c>
    </row>
    <row r="266" spans="3:6" x14ac:dyDescent="0.25">
      <c r="C266" s="25" t="str">
        <f t="shared" si="4"/>
        <v/>
      </c>
      <c r="F266" s="29" cm="1">
        <f t="array" ref="F266">SUMPRODUCT((Radio!$A$2:$A$1000=Радиостанции!A266)*(Radio!$B$2:$B$1000=Радиостанции!D266)*Radio!$C$2:$C$1000)</f>
        <v>0</v>
      </c>
    </row>
    <row r="267" spans="3:6" x14ac:dyDescent="0.25">
      <c r="C267" s="25" t="str">
        <f t="shared" si="4"/>
        <v/>
      </c>
      <c r="F267" s="29" cm="1">
        <f t="array" ref="F267">SUMPRODUCT((Radio!$A$2:$A$1000=Радиостанции!A267)*(Radio!$B$2:$B$1000=Радиостанции!D267)*Radio!$C$2:$C$1000)</f>
        <v>0</v>
      </c>
    </row>
    <row r="268" spans="3:6" x14ac:dyDescent="0.25">
      <c r="C268" s="25" t="str">
        <f t="shared" si="4"/>
        <v/>
      </c>
      <c r="F268" s="29" cm="1">
        <f t="array" ref="F268">SUMPRODUCT((Radio!$A$2:$A$1000=Радиостанции!A268)*(Radio!$B$2:$B$1000=Радиостанции!D268)*Radio!$C$2:$C$1000)</f>
        <v>0</v>
      </c>
    </row>
    <row r="269" spans="3:6" x14ac:dyDescent="0.25">
      <c r="C269" s="25" t="str">
        <f t="shared" si="4"/>
        <v/>
      </c>
      <c r="F269" s="29" cm="1">
        <f t="array" ref="F269">SUMPRODUCT((Radio!$A$2:$A$1000=Радиостанции!A269)*(Radio!$B$2:$B$1000=Радиостанции!D269)*Radio!$C$2:$C$1000)</f>
        <v>0</v>
      </c>
    </row>
    <row r="270" spans="3:6" x14ac:dyDescent="0.25">
      <c r="C270" s="25" t="str">
        <f t="shared" si="4"/>
        <v/>
      </c>
      <c r="F270" s="29" cm="1">
        <f t="array" ref="F270">SUMPRODUCT((Radio!$A$2:$A$1000=Радиостанции!A270)*(Radio!$B$2:$B$1000=Радиостанции!D270)*Radio!$C$2:$C$1000)</f>
        <v>0</v>
      </c>
    </row>
    <row r="271" spans="3:6" x14ac:dyDescent="0.25">
      <c r="C271" s="25" t="str">
        <f t="shared" si="4"/>
        <v/>
      </c>
      <c r="F271" s="29" cm="1">
        <f t="array" ref="F271">SUMPRODUCT((Radio!$A$2:$A$1000=Радиостанции!A271)*(Radio!$B$2:$B$1000=Радиостанции!D271)*Radio!$C$2:$C$1000)</f>
        <v>0</v>
      </c>
    </row>
    <row r="272" spans="3:6" x14ac:dyDescent="0.25">
      <c r="C272" s="25" t="str">
        <f t="shared" si="4"/>
        <v/>
      </c>
      <c r="F272" s="29" cm="1">
        <f t="array" ref="F272">SUMPRODUCT((Radio!$A$2:$A$1000=Радиостанции!A272)*(Radio!$B$2:$B$1000=Радиостанции!D272)*Radio!$C$2:$C$1000)</f>
        <v>0</v>
      </c>
    </row>
    <row r="273" spans="3:6" x14ac:dyDescent="0.25">
      <c r="C273" s="25" t="str">
        <f t="shared" si="4"/>
        <v/>
      </c>
      <c r="F273" s="29" cm="1">
        <f t="array" ref="F273">SUMPRODUCT((Radio!$A$2:$A$1000=Радиостанции!A273)*(Radio!$B$2:$B$1000=Радиостанции!D273)*Radio!$C$2:$C$1000)</f>
        <v>0</v>
      </c>
    </row>
    <row r="274" spans="3:6" x14ac:dyDescent="0.25">
      <c r="C274" s="25" t="str">
        <f t="shared" si="4"/>
        <v/>
      </c>
      <c r="F274" s="29" cm="1">
        <f t="array" ref="F274">SUMPRODUCT((Radio!$A$2:$A$1000=Радиостанции!A274)*(Radio!$B$2:$B$1000=Радиостанции!D274)*Radio!$C$2:$C$1000)</f>
        <v>0</v>
      </c>
    </row>
    <row r="275" spans="3:6" x14ac:dyDescent="0.25">
      <c r="C275" s="25" t="str">
        <f t="shared" si="4"/>
        <v/>
      </c>
      <c r="F275" s="29" cm="1">
        <f t="array" ref="F275">SUMPRODUCT((Radio!$A$2:$A$1000=Радиостанции!A275)*(Radio!$B$2:$B$1000=Радиостанции!D275)*Radio!$C$2:$C$1000)</f>
        <v>0</v>
      </c>
    </row>
    <row r="276" spans="3:6" x14ac:dyDescent="0.25">
      <c r="C276" s="25" t="str">
        <f t="shared" si="4"/>
        <v/>
      </c>
      <c r="F276" s="29" cm="1">
        <f t="array" ref="F276">SUMPRODUCT((Radio!$A$2:$A$1000=Радиостанции!A276)*(Radio!$B$2:$B$1000=Радиостанции!D276)*Radio!$C$2:$C$1000)</f>
        <v>0</v>
      </c>
    </row>
    <row r="277" spans="3:6" x14ac:dyDescent="0.25">
      <c r="C277" s="25" t="str">
        <f t="shared" si="4"/>
        <v/>
      </c>
      <c r="F277" s="29" cm="1">
        <f t="array" ref="F277">SUMPRODUCT((Radio!$A$2:$A$1000=Радиостанции!A277)*(Radio!$B$2:$B$1000=Радиостанции!D277)*Radio!$C$2:$C$1000)</f>
        <v>0</v>
      </c>
    </row>
    <row r="278" spans="3:6" x14ac:dyDescent="0.25">
      <c r="C278" s="25" t="str">
        <f t="shared" si="4"/>
        <v/>
      </c>
      <c r="F278" s="29" cm="1">
        <f t="array" ref="F278">SUMPRODUCT((Radio!$A$2:$A$1000=Радиостанции!A278)*(Radio!$B$2:$B$1000=Радиостанции!D278)*Radio!$C$2:$C$1000)</f>
        <v>0</v>
      </c>
    </row>
    <row r="279" spans="3:6" x14ac:dyDescent="0.25">
      <c r="C279" s="25" t="str">
        <f t="shared" si="4"/>
        <v/>
      </c>
      <c r="F279" s="29" cm="1">
        <f t="array" ref="F279">SUMPRODUCT((Radio!$A$2:$A$1000=Радиостанции!A279)*(Radio!$B$2:$B$1000=Радиостанции!D279)*Radio!$C$2:$C$1000)</f>
        <v>0</v>
      </c>
    </row>
    <row r="280" spans="3:6" x14ac:dyDescent="0.25">
      <c r="C280" s="25" t="str">
        <f t="shared" si="4"/>
        <v/>
      </c>
      <c r="F280" s="29" cm="1">
        <f t="array" ref="F280">SUMPRODUCT((Radio!$A$2:$A$1000=Радиостанции!A280)*(Radio!$B$2:$B$1000=Радиостанции!D280)*Radio!$C$2:$C$1000)</f>
        <v>0</v>
      </c>
    </row>
    <row r="281" spans="3:6" x14ac:dyDescent="0.25">
      <c r="C281" s="25" t="str">
        <f t="shared" si="4"/>
        <v/>
      </c>
      <c r="F281" s="29" cm="1">
        <f t="array" ref="F281">SUMPRODUCT((Radio!$A$2:$A$1000=Радиостанции!A281)*(Radio!$B$2:$B$1000=Радиостанции!D281)*Radio!$C$2:$C$1000)</f>
        <v>0</v>
      </c>
    </row>
    <row r="282" spans="3:6" x14ac:dyDescent="0.25">
      <c r="C282" s="25" t="str">
        <f t="shared" si="4"/>
        <v/>
      </c>
      <c r="F282" s="29" cm="1">
        <f t="array" ref="F282">SUMPRODUCT((Radio!$A$2:$A$1000=Радиостанции!A282)*(Radio!$B$2:$B$1000=Радиостанции!D282)*Radio!$C$2:$C$1000)</f>
        <v>0</v>
      </c>
    </row>
    <row r="283" spans="3:6" x14ac:dyDescent="0.25">
      <c r="C283" s="25" t="str">
        <f t="shared" si="4"/>
        <v/>
      </c>
      <c r="F283" s="29" cm="1">
        <f t="array" ref="F283">SUMPRODUCT((Radio!$A$2:$A$1000=Радиостанции!A283)*(Radio!$B$2:$B$1000=Радиостанции!D283)*Radio!$C$2:$C$1000)</f>
        <v>0</v>
      </c>
    </row>
    <row r="284" spans="3:6" x14ac:dyDescent="0.25">
      <c r="C284" s="25" t="str">
        <f t="shared" si="4"/>
        <v/>
      </c>
      <c r="F284" s="29" cm="1">
        <f t="array" ref="F284">SUMPRODUCT((Radio!$A$2:$A$1000=Радиостанции!A284)*(Radio!$B$2:$B$1000=Радиостанции!D284)*Radio!$C$2:$C$1000)</f>
        <v>0</v>
      </c>
    </row>
    <row r="285" spans="3:6" x14ac:dyDescent="0.25">
      <c r="C285" s="25" t="str">
        <f t="shared" si="4"/>
        <v/>
      </c>
      <c r="F285" s="29" cm="1">
        <f t="array" ref="F285">SUMPRODUCT((Radio!$A$2:$A$1000=Радиостанции!A285)*(Radio!$B$2:$B$1000=Радиостанции!D285)*Radio!$C$2:$C$1000)</f>
        <v>0</v>
      </c>
    </row>
    <row r="286" spans="3:6" x14ac:dyDescent="0.25">
      <c r="C286" s="25" t="str">
        <f t="shared" si="4"/>
        <v/>
      </c>
      <c r="F286" s="29" cm="1">
        <f t="array" ref="F286">SUMPRODUCT((Radio!$A$2:$A$1000=Радиостанции!A286)*(Radio!$B$2:$B$1000=Радиостанции!D286)*Radio!$C$2:$C$1000)</f>
        <v>0</v>
      </c>
    </row>
    <row r="287" spans="3:6" x14ac:dyDescent="0.25">
      <c r="C287" s="25" t="str">
        <f t="shared" si="4"/>
        <v/>
      </c>
      <c r="F287" s="29" cm="1">
        <f t="array" ref="F287">SUMPRODUCT((Radio!$A$2:$A$1000=Радиостанции!A287)*(Radio!$B$2:$B$1000=Радиостанции!D287)*Radio!$C$2:$C$1000)</f>
        <v>0</v>
      </c>
    </row>
    <row r="288" spans="3:6" x14ac:dyDescent="0.25">
      <c r="C288" s="25" t="str">
        <f t="shared" si="4"/>
        <v/>
      </c>
      <c r="F288" s="29" cm="1">
        <f t="array" ref="F288">SUMPRODUCT((Radio!$A$2:$A$1000=Радиостанции!A288)*(Radio!$B$2:$B$1000=Радиостанции!D288)*Radio!$C$2:$C$1000)</f>
        <v>0</v>
      </c>
    </row>
    <row r="289" spans="3:6" x14ac:dyDescent="0.25">
      <c r="C289" s="25" t="str">
        <f t="shared" si="4"/>
        <v/>
      </c>
      <c r="F289" s="29" cm="1">
        <f t="array" ref="F289">SUMPRODUCT((Radio!$A$2:$A$1000=Радиостанции!A289)*(Radio!$B$2:$B$1000=Радиостанции!D289)*Radio!$C$2:$C$1000)</f>
        <v>0</v>
      </c>
    </row>
    <row r="290" spans="3:6" x14ac:dyDescent="0.25">
      <c r="C290" s="25" t="str">
        <f t="shared" si="4"/>
        <v/>
      </c>
      <c r="F290" s="29" cm="1">
        <f t="array" ref="F290">SUMPRODUCT((Radio!$A$2:$A$1000=Радиостанции!A290)*(Radio!$B$2:$B$1000=Радиостанции!D290)*Radio!$C$2:$C$1000)</f>
        <v>0</v>
      </c>
    </row>
    <row r="291" spans="3:6" x14ac:dyDescent="0.25">
      <c r="C291" s="25" t="str">
        <f t="shared" si="4"/>
        <v/>
      </c>
      <c r="F291" s="29" cm="1">
        <f t="array" ref="F291">SUMPRODUCT((Radio!$A$2:$A$1000=Радиостанции!A291)*(Radio!$B$2:$B$1000=Радиостанции!D291)*Radio!$C$2:$C$1000)</f>
        <v>0</v>
      </c>
    </row>
    <row r="292" spans="3:6" x14ac:dyDescent="0.25">
      <c r="C292" s="25" t="str">
        <f t="shared" si="4"/>
        <v/>
      </c>
      <c r="F292" s="29" cm="1">
        <f t="array" ref="F292">SUMPRODUCT((Radio!$A$2:$A$1000=Радиостанции!A292)*(Radio!$B$2:$B$1000=Радиостанции!D292)*Radio!$C$2:$C$1000)</f>
        <v>0</v>
      </c>
    </row>
    <row r="293" spans="3:6" x14ac:dyDescent="0.25">
      <c r="C293" s="25" t="str">
        <f t="shared" si="4"/>
        <v/>
      </c>
      <c r="F293" s="29" cm="1">
        <f t="array" ref="F293">SUMPRODUCT((Radio!$A$2:$A$1000=Радиостанции!A293)*(Radio!$B$2:$B$1000=Радиостанции!D293)*Radio!$C$2:$C$1000)</f>
        <v>0</v>
      </c>
    </row>
    <row r="294" spans="3:6" x14ac:dyDescent="0.25">
      <c r="C294" s="25" t="str">
        <f t="shared" si="4"/>
        <v/>
      </c>
      <c r="F294" s="29" cm="1">
        <f t="array" ref="F294">SUMPRODUCT((Radio!$A$2:$A$1000=Радиостанции!A294)*(Radio!$B$2:$B$1000=Радиостанции!D294)*Radio!$C$2:$C$1000)</f>
        <v>0</v>
      </c>
    </row>
    <row r="295" spans="3:6" x14ac:dyDescent="0.25">
      <c r="C295" s="25" t="str">
        <f t="shared" si="4"/>
        <v/>
      </c>
      <c r="F295" s="29" cm="1">
        <f t="array" ref="F295">SUMPRODUCT((Radio!$A$2:$A$1000=Радиостанции!A295)*(Radio!$B$2:$B$1000=Радиостанции!D295)*Radio!$C$2:$C$1000)</f>
        <v>0</v>
      </c>
    </row>
    <row r="296" spans="3:6" x14ac:dyDescent="0.25">
      <c r="C296" s="25" t="str">
        <f t="shared" si="4"/>
        <v/>
      </c>
      <c r="F296" s="29" cm="1">
        <f t="array" ref="F296">SUMPRODUCT((Radio!$A$2:$A$1000=Радиостанции!A296)*(Radio!$B$2:$B$1000=Радиостанции!D296)*Radio!$C$2:$C$1000)</f>
        <v>0</v>
      </c>
    </row>
    <row r="297" spans="3:6" x14ac:dyDescent="0.25">
      <c r="C297" s="25" t="str">
        <f t="shared" si="4"/>
        <v/>
      </c>
      <c r="F297" s="29" cm="1">
        <f t="array" ref="F297">SUMPRODUCT((Radio!$A$2:$A$1000=Радиостанции!A297)*(Radio!$B$2:$B$1000=Радиостанции!D297)*Radio!$C$2:$C$1000)</f>
        <v>0</v>
      </c>
    </row>
    <row r="298" spans="3:6" x14ac:dyDescent="0.25">
      <c r="C298" s="25" t="str">
        <f t="shared" si="4"/>
        <v/>
      </c>
      <c r="F298" s="29" cm="1">
        <f t="array" ref="F298">SUMPRODUCT((Radio!$A$2:$A$1000=Радиостанции!A298)*(Radio!$B$2:$B$1000=Радиостанции!D298)*Radio!$C$2:$C$1000)</f>
        <v>0</v>
      </c>
    </row>
    <row r="299" spans="3:6" x14ac:dyDescent="0.25">
      <c r="C299" s="25" t="str">
        <f t="shared" si="4"/>
        <v/>
      </c>
      <c r="F299" s="29" cm="1">
        <f t="array" ref="F299">SUMPRODUCT((Radio!$A$2:$A$1000=Радиостанции!A299)*(Radio!$B$2:$B$1000=Радиостанции!D299)*Radio!$C$2:$C$1000)</f>
        <v>0</v>
      </c>
    </row>
    <row r="300" spans="3:6" x14ac:dyDescent="0.25">
      <c r="C300" s="25" t="str">
        <f t="shared" si="4"/>
        <v/>
      </c>
      <c r="F300" s="29" cm="1">
        <f t="array" ref="F300">SUMPRODUCT((Radio!$A$2:$A$1000=Радиостанции!A300)*(Radio!$B$2:$B$1000=Радиостанции!D300)*Radio!$C$2:$C$1000)</f>
        <v>0</v>
      </c>
    </row>
    <row r="301" spans="3:6" x14ac:dyDescent="0.25">
      <c r="C301" s="25" t="str">
        <f t="shared" si="4"/>
        <v/>
      </c>
      <c r="F301" s="29" cm="1">
        <f t="array" ref="F301">SUMPRODUCT((Radio!$A$2:$A$1000=Радиостанции!A301)*(Radio!$B$2:$B$1000=Радиостанции!D301)*Radio!$C$2:$C$1000)</f>
        <v>0</v>
      </c>
    </row>
    <row r="302" spans="3:6" x14ac:dyDescent="0.25">
      <c r="C302" s="25" t="str">
        <f t="shared" si="4"/>
        <v/>
      </c>
      <c r="F302" s="29" cm="1">
        <f t="array" ref="F302">SUMPRODUCT((Radio!$A$2:$A$1000=Радиостанции!A302)*(Radio!$B$2:$B$1000=Радиостанции!D302)*Radio!$C$2:$C$1000)</f>
        <v>0</v>
      </c>
    </row>
    <row r="303" spans="3:6" x14ac:dyDescent="0.25">
      <c r="C303" s="25" t="str">
        <f t="shared" si="4"/>
        <v/>
      </c>
      <c r="F303" s="29" cm="1">
        <f t="array" ref="F303">SUMPRODUCT((Radio!$A$2:$A$1000=Радиостанции!A303)*(Radio!$B$2:$B$1000=Радиостанции!D303)*Radio!$C$2:$C$1000)</f>
        <v>0</v>
      </c>
    </row>
    <row r="304" spans="3:6" x14ac:dyDescent="0.25">
      <c r="C304" s="25" t="str">
        <f t="shared" si="4"/>
        <v/>
      </c>
      <c r="F304" s="29" cm="1">
        <f t="array" ref="F304">SUMPRODUCT((Radio!$A$2:$A$1000=Радиостанции!A304)*(Radio!$B$2:$B$1000=Радиостанции!D304)*Radio!$C$2:$C$1000)</f>
        <v>0</v>
      </c>
    </row>
    <row r="305" spans="3:6" x14ac:dyDescent="0.25">
      <c r="C305" s="25" t="str">
        <f t="shared" si="4"/>
        <v/>
      </c>
      <c r="F305" s="29" cm="1">
        <f t="array" ref="F305">SUMPRODUCT((Radio!$A$2:$A$1000=Радиостанции!A305)*(Radio!$B$2:$B$1000=Радиостанции!D305)*Radio!$C$2:$C$1000)</f>
        <v>0</v>
      </c>
    </row>
    <row r="306" spans="3:6" x14ac:dyDescent="0.25">
      <c r="C306" s="25" t="str">
        <f t="shared" si="4"/>
        <v/>
      </c>
      <c r="F306" s="29" cm="1">
        <f t="array" ref="F306">SUMPRODUCT((Radio!$A$2:$A$1000=Радиостанции!A306)*(Radio!$B$2:$B$1000=Радиостанции!D306)*Radio!$C$2:$C$1000)</f>
        <v>0</v>
      </c>
    </row>
    <row r="307" spans="3:6" x14ac:dyDescent="0.25">
      <c r="C307" s="25" t="str">
        <f t="shared" si="4"/>
        <v/>
      </c>
      <c r="F307" s="29" cm="1">
        <f t="array" ref="F307">SUMPRODUCT((Radio!$A$2:$A$1000=Радиостанции!A307)*(Radio!$B$2:$B$1000=Радиостанции!D307)*Radio!$C$2:$C$1000)</f>
        <v>0</v>
      </c>
    </row>
    <row r="308" spans="3:6" x14ac:dyDescent="0.25">
      <c r="C308" s="25" t="str">
        <f t="shared" si="4"/>
        <v/>
      </c>
      <c r="F308" s="29" cm="1">
        <f t="array" ref="F308">SUMPRODUCT((Radio!$A$2:$A$1000=Радиостанции!A308)*(Radio!$B$2:$B$1000=Радиостанции!D308)*Radio!$C$2:$C$1000)</f>
        <v>0</v>
      </c>
    </row>
    <row r="309" spans="3:6" x14ac:dyDescent="0.25">
      <c r="C309" s="25" t="str">
        <f t="shared" si="4"/>
        <v/>
      </c>
      <c r="F309" s="29" cm="1">
        <f t="array" ref="F309">SUMPRODUCT((Radio!$A$2:$A$1000=Радиостанции!A309)*(Radio!$B$2:$B$1000=Радиостанции!D309)*Radio!$C$2:$C$1000)</f>
        <v>0</v>
      </c>
    </row>
    <row r="310" spans="3:6" x14ac:dyDescent="0.25">
      <c r="C310" s="25" t="str">
        <f t="shared" si="4"/>
        <v/>
      </c>
      <c r="F310" s="29" cm="1">
        <f t="array" ref="F310">SUMPRODUCT((Radio!$A$2:$A$1000=Радиостанции!A310)*(Radio!$B$2:$B$1000=Радиостанции!D310)*Radio!$C$2:$C$1000)</f>
        <v>0</v>
      </c>
    </row>
    <row r="311" spans="3:6" x14ac:dyDescent="0.25">
      <c r="C311" s="25" t="str">
        <f t="shared" si="4"/>
        <v/>
      </c>
      <c r="F311" s="29" cm="1">
        <f t="array" ref="F311">SUMPRODUCT((Radio!$A$2:$A$1000=Радиостанции!A311)*(Radio!$B$2:$B$1000=Радиостанции!D311)*Radio!$C$2:$C$1000)</f>
        <v>0</v>
      </c>
    </row>
    <row r="312" spans="3:6" x14ac:dyDescent="0.25">
      <c r="C312" s="25" t="str">
        <f t="shared" si="4"/>
        <v/>
      </c>
      <c r="F312" s="29" cm="1">
        <f t="array" ref="F312">SUMPRODUCT((Radio!$A$2:$A$1000=Радиостанции!A312)*(Radio!$B$2:$B$1000=Радиостанции!D312)*Radio!$C$2:$C$1000)</f>
        <v>0</v>
      </c>
    </row>
    <row r="313" spans="3:6" x14ac:dyDescent="0.25">
      <c r="C313" s="25" t="str">
        <f t="shared" si="4"/>
        <v/>
      </c>
      <c r="F313" s="29" cm="1">
        <f t="array" ref="F313">SUMPRODUCT((Radio!$A$2:$A$1000=Радиостанции!A313)*(Radio!$B$2:$B$1000=Радиостанции!D313)*Radio!$C$2:$C$1000)</f>
        <v>0</v>
      </c>
    </row>
    <row r="314" spans="3:6" x14ac:dyDescent="0.25">
      <c r="C314" s="25" t="str">
        <f t="shared" si="4"/>
        <v/>
      </c>
      <c r="F314" s="29" cm="1">
        <f t="array" ref="F314">SUMPRODUCT((Radio!$A$2:$A$1000=Радиостанции!A314)*(Radio!$B$2:$B$1000=Радиостанции!D314)*Radio!$C$2:$C$1000)</f>
        <v>0</v>
      </c>
    </row>
    <row r="315" spans="3:6" x14ac:dyDescent="0.25">
      <c r="C315" s="25" t="str">
        <f t="shared" si="4"/>
        <v/>
      </c>
      <c r="F315" s="29" cm="1">
        <f t="array" ref="F315">SUMPRODUCT((Radio!$A$2:$A$1000=Радиостанции!A315)*(Radio!$B$2:$B$1000=Радиостанции!D315)*Radio!$C$2:$C$1000)</f>
        <v>0</v>
      </c>
    </row>
    <row r="316" spans="3:6" x14ac:dyDescent="0.25">
      <c r="C316" s="25" t="str">
        <f t="shared" si="4"/>
        <v/>
      </c>
      <c r="F316" s="29" cm="1">
        <f t="array" ref="F316">SUMPRODUCT((Radio!$A$2:$A$1000=Радиостанции!A316)*(Radio!$B$2:$B$1000=Радиостанции!D316)*Radio!$C$2:$C$1000)</f>
        <v>0</v>
      </c>
    </row>
    <row r="317" spans="3:6" x14ac:dyDescent="0.25">
      <c r="C317" s="25" t="str">
        <f t="shared" si="4"/>
        <v/>
      </c>
      <c r="F317" s="29" cm="1">
        <f t="array" ref="F317">SUMPRODUCT((Radio!$A$2:$A$1000=Радиостанции!A317)*(Radio!$B$2:$B$1000=Радиостанции!D317)*Radio!$C$2:$C$1000)</f>
        <v>0</v>
      </c>
    </row>
    <row r="318" spans="3:6" x14ac:dyDescent="0.25">
      <c r="C318" s="25" t="str">
        <f t="shared" si="4"/>
        <v/>
      </c>
      <c r="F318" s="29" cm="1">
        <f t="array" ref="F318">SUMPRODUCT((Radio!$A$2:$A$1000=Радиостанции!A318)*(Radio!$B$2:$B$1000=Радиостанции!D318)*Radio!$C$2:$C$1000)</f>
        <v>0</v>
      </c>
    </row>
    <row r="319" spans="3:6" x14ac:dyDescent="0.25">
      <c r="C319" s="25" t="str">
        <f t="shared" si="4"/>
        <v/>
      </c>
      <c r="F319" s="29" cm="1">
        <f t="array" ref="F319">SUMPRODUCT((Radio!$A$2:$A$1000=Радиостанции!A319)*(Radio!$B$2:$B$1000=Радиостанции!D319)*Radio!$C$2:$C$1000)</f>
        <v>0</v>
      </c>
    </row>
    <row r="320" spans="3:6" x14ac:dyDescent="0.25">
      <c r="C320" s="25" t="str">
        <f t="shared" si="4"/>
        <v/>
      </c>
      <c r="F320" s="29" cm="1">
        <f t="array" ref="F320">SUMPRODUCT((Radio!$A$2:$A$1000=Радиостанции!A320)*(Radio!$B$2:$B$1000=Радиостанции!D320)*Radio!$C$2:$C$1000)</f>
        <v>0</v>
      </c>
    </row>
    <row r="321" spans="3:6" x14ac:dyDescent="0.25">
      <c r="C321" s="25" t="str">
        <f t="shared" si="4"/>
        <v/>
      </c>
      <c r="F321" s="29" cm="1">
        <f t="array" ref="F321">SUMPRODUCT((Radio!$A$2:$A$1000=Радиостанции!A321)*(Radio!$B$2:$B$1000=Радиостанции!D321)*Radio!$C$2:$C$1000)</f>
        <v>0</v>
      </c>
    </row>
    <row r="322" spans="3:6" x14ac:dyDescent="0.25">
      <c r="C322" s="25" t="str">
        <f t="shared" si="4"/>
        <v/>
      </c>
      <c r="F322" s="29" cm="1">
        <f t="array" ref="F322">SUMPRODUCT((Radio!$A$2:$A$1000=Радиостанции!A322)*(Radio!$B$2:$B$1000=Радиостанции!D322)*Radio!$C$2:$C$1000)</f>
        <v>0</v>
      </c>
    </row>
    <row r="323" spans="3:6" x14ac:dyDescent="0.25">
      <c r="C323" s="25" t="str">
        <f t="shared" ref="C323:C386" si="5">_xlfn.CONCAT(A323,B323)</f>
        <v/>
      </c>
      <c r="F323" s="29" cm="1">
        <f t="array" ref="F323">SUMPRODUCT((Radio!$A$2:$A$1000=Радиостанции!A323)*(Radio!$B$2:$B$1000=Радиостанции!D323)*Radio!$C$2:$C$1000)</f>
        <v>0</v>
      </c>
    </row>
    <row r="324" spans="3:6" x14ac:dyDescent="0.25">
      <c r="C324" s="25" t="str">
        <f t="shared" si="5"/>
        <v/>
      </c>
      <c r="F324" s="29" cm="1">
        <f t="array" ref="F324">SUMPRODUCT((Radio!$A$2:$A$1000=Радиостанции!A324)*(Radio!$B$2:$B$1000=Радиостанции!D324)*Radio!$C$2:$C$1000)</f>
        <v>0</v>
      </c>
    </row>
    <row r="325" spans="3:6" x14ac:dyDescent="0.25">
      <c r="C325" s="25" t="str">
        <f t="shared" si="5"/>
        <v/>
      </c>
      <c r="F325" s="29" cm="1">
        <f t="array" ref="F325">SUMPRODUCT((Radio!$A$2:$A$1000=Радиостанции!A325)*(Radio!$B$2:$B$1000=Радиостанции!D325)*Radio!$C$2:$C$1000)</f>
        <v>0</v>
      </c>
    </row>
    <row r="326" spans="3:6" x14ac:dyDescent="0.25">
      <c r="C326" s="25" t="str">
        <f t="shared" si="5"/>
        <v/>
      </c>
      <c r="F326" s="29" cm="1">
        <f t="array" ref="F326">SUMPRODUCT((Radio!$A$2:$A$1000=Радиостанции!A326)*(Radio!$B$2:$B$1000=Радиостанции!D326)*Radio!$C$2:$C$1000)</f>
        <v>0</v>
      </c>
    </row>
    <row r="327" spans="3:6" x14ac:dyDescent="0.25">
      <c r="C327" s="25" t="str">
        <f t="shared" si="5"/>
        <v/>
      </c>
      <c r="F327" s="29" cm="1">
        <f t="array" ref="F327">SUMPRODUCT((Radio!$A$2:$A$1000=Радиостанции!A327)*(Radio!$B$2:$B$1000=Радиостанции!D327)*Radio!$C$2:$C$1000)</f>
        <v>0</v>
      </c>
    </row>
    <row r="328" spans="3:6" x14ac:dyDescent="0.25">
      <c r="C328" s="25" t="str">
        <f t="shared" si="5"/>
        <v/>
      </c>
      <c r="F328" s="29" cm="1">
        <f t="array" ref="F328">SUMPRODUCT((Radio!$A$2:$A$1000=Радиостанции!A328)*(Radio!$B$2:$B$1000=Радиостанции!D328)*Radio!$C$2:$C$1000)</f>
        <v>0</v>
      </c>
    </row>
    <row r="329" spans="3:6" x14ac:dyDescent="0.25">
      <c r="C329" s="25" t="str">
        <f t="shared" si="5"/>
        <v/>
      </c>
      <c r="F329" s="29" cm="1">
        <f t="array" ref="F329">SUMPRODUCT((Radio!$A$2:$A$1000=Радиостанции!A329)*(Radio!$B$2:$B$1000=Радиостанции!D329)*Radio!$C$2:$C$1000)</f>
        <v>0</v>
      </c>
    </row>
    <row r="330" spans="3:6" x14ac:dyDescent="0.25">
      <c r="C330" s="25" t="str">
        <f t="shared" si="5"/>
        <v/>
      </c>
      <c r="F330" s="29" cm="1">
        <f t="array" ref="F330">SUMPRODUCT((Radio!$A$2:$A$1000=Радиостанции!A330)*(Radio!$B$2:$B$1000=Радиостанции!D330)*Radio!$C$2:$C$1000)</f>
        <v>0</v>
      </c>
    </row>
    <row r="331" spans="3:6" x14ac:dyDescent="0.25">
      <c r="C331" s="25" t="str">
        <f t="shared" si="5"/>
        <v/>
      </c>
      <c r="F331" s="29" cm="1">
        <f t="array" ref="F331">SUMPRODUCT((Radio!$A$2:$A$1000=Радиостанции!A331)*(Radio!$B$2:$B$1000=Радиостанции!D331)*Radio!$C$2:$C$1000)</f>
        <v>0</v>
      </c>
    </row>
    <row r="332" spans="3:6" x14ac:dyDescent="0.25">
      <c r="C332" s="25" t="str">
        <f t="shared" si="5"/>
        <v/>
      </c>
      <c r="F332" s="29" cm="1">
        <f t="array" ref="F332">SUMPRODUCT((Radio!$A$2:$A$1000=Радиостанции!A332)*(Radio!$B$2:$B$1000=Радиостанции!D332)*Radio!$C$2:$C$1000)</f>
        <v>0</v>
      </c>
    </row>
    <row r="333" spans="3:6" x14ac:dyDescent="0.25">
      <c r="C333" s="25" t="str">
        <f t="shared" si="5"/>
        <v/>
      </c>
      <c r="F333" s="29" cm="1">
        <f t="array" ref="F333">SUMPRODUCT((Radio!$A$2:$A$1000=Радиостанции!A333)*(Radio!$B$2:$B$1000=Радиостанции!D333)*Radio!$C$2:$C$1000)</f>
        <v>0</v>
      </c>
    </row>
    <row r="334" spans="3:6" x14ac:dyDescent="0.25">
      <c r="C334" s="25" t="str">
        <f t="shared" si="5"/>
        <v/>
      </c>
      <c r="F334" s="29" cm="1">
        <f t="array" ref="F334">SUMPRODUCT((Radio!$A$2:$A$1000=Радиостанции!A334)*(Radio!$B$2:$B$1000=Радиостанции!D334)*Radio!$C$2:$C$1000)</f>
        <v>0</v>
      </c>
    </row>
    <row r="335" spans="3:6" x14ac:dyDescent="0.25">
      <c r="C335" s="25" t="str">
        <f t="shared" si="5"/>
        <v/>
      </c>
      <c r="F335" s="29" cm="1">
        <f t="array" ref="F335">SUMPRODUCT((Radio!$A$2:$A$1000=Радиостанции!A335)*(Radio!$B$2:$B$1000=Радиостанции!D335)*Radio!$C$2:$C$1000)</f>
        <v>0</v>
      </c>
    </row>
    <row r="336" spans="3:6" x14ac:dyDescent="0.25">
      <c r="C336" s="25" t="str">
        <f t="shared" si="5"/>
        <v/>
      </c>
      <c r="F336" s="29" cm="1">
        <f t="array" ref="F336">SUMPRODUCT((Radio!$A$2:$A$1000=Радиостанции!A336)*(Radio!$B$2:$B$1000=Радиостанции!D336)*Radio!$C$2:$C$1000)</f>
        <v>0</v>
      </c>
    </row>
    <row r="337" spans="3:6" x14ac:dyDescent="0.25">
      <c r="C337" s="25" t="str">
        <f t="shared" si="5"/>
        <v/>
      </c>
      <c r="F337" s="29" cm="1">
        <f t="array" ref="F337">SUMPRODUCT((Radio!$A$2:$A$1000=Радиостанции!A337)*(Radio!$B$2:$B$1000=Радиостанции!D337)*Radio!$C$2:$C$1000)</f>
        <v>0</v>
      </c>
    </row>
    <row r="338" spans="3:6" x14ac:dyDescent="0.25">
      <c r="C338" s="25" t="str">
        <f t="shared" si="5"/>
        <v/>
      </c>
      <c r="F338" s="29" cm="1">
        <f t="array" ref="F338">SUMPRODUCT((Radio!$A$2:$A$1000=Радиостанции!A338)*(Radio!$B$2:$B$1000=Радиостанции!D338)*Radio!$C$2:$C$1000)</f>
        <v>0</v>
      </c>
    </row>
    <row r="339" spans="3:6" x14ac:dyDescent="0.25">
      <c r="C339" s="25" t="str">
        <f t="shared" si="5"/>
        <v/>
      </c>
      <c r="F339" s="29" cm="1">
        <f t="array" ref="F339">SUMPRODUCT((Radio!$A$2:$A$1000=Радиостанции!A339)*(Radio!$B$2:$B$1000=Радиостанции!D339)*Radio!$C$2:$C$1000)</f>
        <v>0</v>
      </c>
    </row>
    <row r="340" spans="3:6" x14ac:dyDescent="0.25">
      <c r="C340" s="25" t="str">
        <f t="shared" si="5"/>
        <v/>
      </c>
      <c r="F340" s="29" cm="1">
        <f t="array" ref="F340">SUMPRODUCT((Radio!$A$2:$A$1000=Радиостанции!A340)*(Radio!$B$2:$B$1000=Радиостанции!D340)*Radio!$C$2:$C$1000)</f>
        <v>0</v>
      </c>
    </row>
    <row r="341" spans="3:6" x14ac:dyDescent="0.25">
      <c r="C341" s="25" t="str">
        <f t="shared" si="5"/>
        <v/>
      </c>
      <c r="F341" s="29" cm="1">
        <f t="array" ref="F341">SUMPRODUCT((Radio!$A$2:$A$1000=Радиостанции!A341)*(Radio!$B$2:$B$1000=Радиостанции!D341)*Radio!$C$2:$C$1000)</f>
        <v>0</v>
      </c>
    </row>
    <row r="342" spans="3:6" x14ac:dyDescent="0.25">
      <c r="C342" s="25" t="str">
        <f t="shared" si="5"/>
        <v/>
      </c>
      <c r="F342" s="29" cm="1">
        <f t="array" ref="F342">SUMPRODUCT((Radio!$A$2:$A$1000=Радиостанции!A342)*(Radio!$B$2:$B$1000=Радиостанции!D342)*Radio!$C$2:$C$1000)</f>
        <v>0</v>
      </c>
    </row>
    <row r="343" spans="3:6" x14ac:dyDescent="0.25">
      <c r="C343" s="25" t="str">
        <f t="shared" si="5"/>
        <v/>
      </c>
      <c r="F343" s="29" cm="1">
        <f t="array" ref="F343">SUMPRODUCT((Radio!$A$2:$A$1000=Радиостанции!A343)*(Radio!$B$2:$B$1000=Радиостанции!D343)*Radio!$C$2:$C$1000)</f>
        <v>0</v>
      </c>
    </row>
    <row r="344" spans="3:6" x14ac:dyDescent="0.25">
      <c r="C344" s="25" t="str">
        <f t="shared" si="5"/>
        <v/>
      </c>
      <c r="F344" s="29" cm="1">
        <f t="array" ref="F344">SUMPRODUCT((Radio!$A$2:$A$1000=Радиостанции!A344)*(Radio!$B$2:$B$1000=Радиостанции!D344)*Radio!$C$2:$C$1000)</f>
        <v>0</v>
      </c>
    </row>
    <row r="345" spans="3:6" x14ac:dyDescent="0.25">
      <c r="C345" s="25" t="str">
        <f t="shared" si="5"/>
        <v/>
      </c>
      <c r="F345" s="29" cm="1">
        <f t="array" ref="F345">SUMPRODUCT((Radio!$A$2:$A$1000=Радиостанции!A345)*(Radio!$B$2:$B$1000=Радиостанции!D345)*Radio!$C$2:$C$1000)</f>
        <v>0</v>
      </c>
    </row>
    <row r="346" spans="3:6" x14ac:dyDescent="0.25">
      <c r="C346" s="25" t="str">
        <f t="shared" si="5"/>
        <v/>
      </c>
      <c r="F346" s="29" cm="1">
        <f t="array" ref="F346">SUMPRODUCT((Radio!$A$2:$A$1000=Радиостанции!A346)*(Radio!$B$2:$B$1000=Радиостанции!D346)*Radio!$C$2:$C$1000)</f>
        <v>0</v>
      </c>
    </row>
    <row r="347" spans="3:6" x14ac:dyDescent="0.25">
      <c r="C347" s="25" t="str">
        <f t="shared" si="5"/>
        <v/>
      </c>
      <c r="F347" s="29" cm="1">
        <f t="array" ref="F347">SUMPRODUCT((Radio!$A$2:$A$1000=Радиостанции!A347)*(Radio!$B$2:$B$1000=Радиостанции!D347)*Radio!$C$2:$C$1000)</f>
        <v>0</v>
      </c>
    </row>
    <row r="348" spans="3:6" x14ac:dyDescent="0.25">
      <c r="C348" s="25" t="str">
        <f t="shared" si="5"/>
        <v/>
      </c>
      <c r="F348" s="29" cm="1">
        <f t="array" ref="F348">SUMPRODUCT((Radio!$A$2:$A$1000=Радиостанции!A348)*(Radio!$B$2:$B$1000=Радиостанции!D348)*Radio!$C$2:$C$1000)</f>
        <v>0</v>
      </c>
    </row>
    <row r="349" spans="3:6" x14ac:dyDescent="0.25">
      <c r="C349" s="25" t="str">
        <f t="shared" si="5"/>
        <v/>
      </c>
      <c r="F349" s="29" cm="1">
        <f t="array" ref="F349">SUMPRODUCT((Radio!$A$2:$A$1000=Радиостанции!A349)*(Radio!$B$2:$B$1000=Радиостанции!D349)*Radio!$C$2:$C$1000)</f>
        <v>0</v>
      </c>
    </row>
    <row r="350" spans="3:6" x14ac:dyDescent="0.25">
      <c r="C350" s="25" t="str">
        <f t="shared" si="5"/>
        <v/>
      </c>
      <c r="F350" s="29" cm="1">
        <f t="array" ref="F350">SUMPRODUCT((Radio!$A$2:$A$1000=Радиостанции!A350)*(Radio!$B$2:$B$1000=Радиостанции!D350)*Radio!$C$2:$C$1000)</f>
        <v>0</v>
      </c>
    </row>
    <row r="351" spans="3:6" x14ac:dyDescent="0.25">
      <c r="C351" s="25" t="str">
        <f t="shared" si="5"/>
        <v/>
      </c>
      <c r="F351" s="29" cm="1">
        <f t="array" ref="F351">SUMPRODUCT((Radio!$A$2:$A$1000=Радиостанции!A351)*(Radio!$B$2:$B$1000=Радиостанции!D351)*Radio!$C$2:$C$1000)</f>
        <v>0</v>
      </c>
    </row>
    <row r="352" spans="3:6" x14ac:dyDescent="0.25">
      <c r="C352" s="25" t="str">
        <f t="shared" si="5"/>
        <v/>
      </c>
      <c r="F352" s="29" cm="1">
        <f t="array" ref="F352">SUMPRODUCT((Radio!$A$2:$A$1000=Радиостанции!A352)*(Radio!$B$2:$B$1000=Радиостанции!D352)*Radio!$C$2:$C$1000)</f>
        <v>0</v>
      </c>
    </row>
    <row r="353" spans="3:6" x14ac:dyDescent="0.25">
      <c r="C353" s="25" t="str">
        <f t="shared" si="5"/>
        <v/>
      </c>
      <c r="F353" s="29" cm="1">
        <f t="array" ref="F353">SUMPRODUCT((Radio!$A$2:$A$1000=Радиостанции!A353)*(Radio!$B$2:$B$1000=Радиостанции!D353)*Radio!$C$2:$C$1000)</f>
        <v>0</v>
      </c>
    </row>
    <row r="354" spans="3:6" x14ac:dyDescent="0.25">
      <c r="C354" s="25" t="str">
        <f t="shared" si="5"/>
        <v/>
      </c>
      <c r="F354" s="29" cm="1">
        <f t="array" ref="F354">SUMPRODUCT((Radio!$A$2:$A$1000=Радиостанции!A354)*(Radio!$B$2:$B$1000=Радиостанции!D354)*Radio!$C$2:$C$1000)</f>
        <v>0</v>
      </c>
    </row>
    <row r="355" spans="3:6" x14ac:dyDescent="0.25">
      <c r="C355" s="25" t="str">
        <f t="shared" si="5"/>
        <v/>
      </c>
      <c r="F355" s="29" cm="1">
        <f t="array" ref="F355">SUMPRODUCT((Radio!$A$2:$A$1000=Радиостанции!A355)*(Radio!$B$2:$B$1000=Радиостанции!D355)*Radio!$C$2:$C$1000)</f>
        <v>0</v>
      </c>
    </row>
    <row r="356" spans="3:6" x14ac:dyDescent="0.25">
      <c r="C356" s="25" t="str">
        <f t="shared" si="5"/>
        <v/>
      </c>
      <c r="F356" s="29" cm="1">
        <f t="array" ref="F356">SUMPRODUCT((Radio!$A$2:$A$1000=Радиостанции!A356)*(Radio!$B$2:$B$1000=Радиостанции!D356)*Radio!$C$2:$C$1000)</f>
        <v>0</v>
      </c>
    </row>
    <row r="357" spans="3:6" x14ac:dyDescent="0.25">
      <c r="C357" s="25" t="str">
        <f t="shared" si="5"/>
        <v/>
      </c>
      <c r="F357" s="29" cm="1">
        <f t="array" ref="F357">SUMPRODUCT((Radio!$A$2:$A$1000=Радиостанции!A357)*(Radio!$B$2:$B$1000=Радиостанции!D357)*Radio!$C$2:$C$1000)</f>
        <v>0</v>
      </c>
    </row>
    <row r="358" spans="3:6" x14ac:dyDescent="0.25">
      <c r="C358" s="25" t="str">
        <f t="shared" si="5"/>
        <v/>
      </c>
      <c r="F358" s="29" cm="1">
        <f t="array" ref="F358">SUMPRODUCT((Radio!$A$2:$A$1000=Радиостанции!A358)*(Radio!$B$2:$B$1000=Радиостанции!D358)*Radio!$C$2:$C$1000)</f>
        <v>0</v>
      </c>
    </row>
    <row r="359" spans="3:6" x14ac:dyDescent="0.25">
      <c r="C359" s="25" t="str">
        <f t="shared" si="5"/>
        <v/>
      </c>
      <c r="F359" s="29" cm="1">
        <f t="array" ref="F359">SUMPRODUCT((Radio!$A$2:$A$1000=Радиостанции!A359)*(Radio!$B$2:$B$1000=Радиостанции!D359)*Radio!$C$2:$C$1000)</f>
        <v>0</v>
      </c>
    </row>
    <row r="360" spans="3:6" x14ac:dyDescent="0.25">
      <c r="C360" s="25" t="str">
        <f t="shared" si="5"/>
        <v/>
      </c>
      <c r="F360" s="29" cm="1">
        <f t="array" ref="F360">SUMPRODUCT((Radio!$A$2:$A$1000=Радиостанции!A360)*(Radio!$B$2:$B$1000=Радиостанции!D360)*Radio!$C$2:$C$1000)</f>
        <v>0</v>
      </c>
    </row>
    <row r="361" spans="3:6" x14ac:dyDescent="0.25">
      <c r="C361" s="25" t="str">
        <f t="shared" si="5"/>
        <v/>
      </c>
      <c r="F361" s="29" cm="1">
        <f t="array" ref="F361">SUMPRODUCT((Radio!$A$2:$A$1000=Радиостанции!A361)*(Radio!$B$2:$B$1000=Радиостанции!D361)*Radio!$C$2:$C$1000)</f>
        <v>0</v>
      </c>
    </row>
    <row r="362" spans="3:6" x14ac:dyDescent="0.25">
      <c r="C362" s="25" t="str">
        <f t="shared" si="5"/>
        <v/>
      </c>
      <c r="F362" s="29" cm="1">
        <f t="array" ref="F362">SUMPRODUCT((Radio!$A$2:$A$1000=Радиостанции!A362)*(Radio!$B$2:$B$1000=Радиостанции!D362)*Radio!$C$2:$C$1000)</f>
        <v>0</v>
      </c>
    </row>
    <row r="363" spans="3:6" x14ac:dyDescent="0.25">
      <c r="C363" s="25" t="str">
        <f t="shared" si="5"/>
        <v/>
      </c>
      <c r="F363" s="29" cm="1">
        <f t="array" ref="F363">SUMPRODUCT((Radio!$A$2:$A$1000=Радиостанции!A363)*(Radio!$B$2:$B$1000=Радиостанции!D363)*Radio!$C$2:$C$1000)</f>
        <v>0</v>
      </c>
    </row>
    <row r="364" spans="3:6" x14ac:dyDescent="0.25">
      <c r="C364" s="25" t="str">
        <f t="shared" si="5"/>
        <v/>
      </c>
      <c r="F364" s="29" cm="1">
        <f t="array" ref="F364">SUMPRODUCT((Radio!$A$2:$A$1000=Радиостанции!A364)*(Radio!$B$2:$B$1000=Радиостанции!D364)*Radio!$C$2:$C$1000)</f>
        <v>0</v>
      </c>
    </row>
    <row r="365" spans="3:6" x14ac:dyDescent="0.25">
      <c r="C365" s="25" t="str">
        <f t="shared" si="5"/>
        <v/>
      </c>
      <c r="F365" s="29" cm="1">
        <f t="array" ref="F365">SUMPRODUCT((Radio!$A$2:$A$1000=Радиостанции!A365)*(Radio!$B$2:$B$1000=Радиостанции!D365)*Radio!$C$2:$C$1000)</f>
        <v>0</v>
      </c>
    </row>
    <row r="366" spans="3:6" x14ac:dyDescent="0.25">
      <c r="C366" s="25" t="str">
        <f t="shared" si="5"/>
        <v/>
      </c>
      <c r="F366" s="29" cm="1">
        <f t="array" ref="F366">SUMPRODUCT((Radio!$A$2:$A$1000=Радиостанции!A366)*(Radio!$B$2:$B$1000=Радиостанции!D366)*Radio!$C$2:$C$1000)</f>
        <v>0</v>
      </c>
    </row>
    <row r="367" spans="3:6" x14ac:dyDescent="0.25">
      <c r="C367" s="25" t="str">
        <f t="shared" si="5"/>
        <v/>
      </c>
      <c r="F367" s="29" cm="1">
        <f t="array" ref="F367">SUMPRODUCT((Radio!$A$2:$A$1000=Радиостанции!A367)*(Radio!$B$2:$B$1000=Радиостанции!D367)*Radio!$C$2:$C$1000)</f>
        <v>0</v>
      </c>
    </row>
    <row r="368" spans="3:6" x14ac:dyDescent="0.25">
      <c r="C368" s="25" t="str">
        <f t="shared" si="5"/>
        <v/>
      </c>
      <c r="F368" s="29" cm="1">
        <f t="array" ref="F368">SUMPRODUCT((Radio!$A$2:$A$1000=Радиостанции!A368)*(Radio!$B$2:$B$1000=Радиостанции!D368)*Radio!$C$2:$C$1000)</f>
        <v>0</v>
      </c>
    </row>
    <row r="369" spans="3:6" x14ac:dyDescent="0.25">
      <c r="C369" s="25" t="str">
        <f t="shared" si="5"/>
        <v/>
      </c>
      <c r="F369" s="29" cm="1">
        <f t="array" ref="F369">SUMPRODUCT((Radio!$A$2:$A$1000=Радиостанции!A369)*(Radio!$B$2:$B$1000=Радиостанции!D369)*Radio!$C$2:$C$1000)</f>
        <v>0</v>
      </c>
    </row>
    <row r="370" spans="3:6" x14ac:dyDescent="0.25">
      <c r="C370" s="25" t="str">
        <f t="shared" si="5"/>
        <v/>
      </c>
      <c r="F370" s="29" cm="1">
        <f t="array" ref="F370">SUMPRODUCT((Radio!$A$2:$A$1000=Радиостанции!A370)*(Radio!$B$2:$B$1000=Радиостанции!D370)*Radio!$C$2:$C$1000)</f>
        <v>0</v>
      </c>
    </row>
    <row r="371" spans="3:6" x14ac:dyDescent="0.25">
      <c r="C371" s="25" t="str">
        <f t="shared" si="5"/>
        <v/>
      </c>
      <c r="F371" s="29" cm="1">
        <f t="array" ref="F371">SUMPRODUCT((Radio!$A$2:$A$1000=Радиостанции!A371)*(Radio!$B$2:$B$1000=Радиостанции!D371)*Radio!$C$2:$C$1000)</f>
        <v>0</v>
      </c>
    </row>
    <row r="372" spans="3:6" x14ac:dyDescent="0.25">
      <c r="C372" s="25" t="str">
        <f t="shared" si="5"/>
        <v/>
      </c>
      <c r="F372" s="29" cm="1">
        <f t="array" ref="F372">SUMPRODUCT((Radio!$A$2:$A$1000=Радиостанции!A372)*(Radio!$B$2:$B$1000=Радиостанции!D372)*Radio!$C$2:$C$1000)</f>
        <v>0</v>
      </c>
    </row>
    <row r="373" spans="3:6" x14ac:dyDescent="0.25">
      <c r="C373" s="25" t="str">
        <f t="shared" si="5"/>
        <v/>
      </c>
      <c r="F373" s="29" cm="1">
        <f t="array" ref="F373">SUMPRODUCT((Radio!$A$2:$A$1000=Радиостанции!A373)*(Radio!$B$2:$B$1000=Радиостанции!D373)*Radio!$C$2:$C$1000)</f>
        <v>0</v>
      </c>
    </row>
    <row r="374" spans="3:6" x14ac:dyDescent="0.25">
      <c r="C374" s="25" t="str">
        <f t="shared" si="5"/>
        <v/>
      </c>
      <c r="F374" s="29" cm="1">
        <f t="array" ref="F374">SUMPRODUCT((Radio!$A$2:$A$1000=Радиостанции!A374)*(Radio!$B$2:$B$1000=Радиостанции!D374)*Radio!$C$2:$C$1000)</f>
        <v>0</v>
      </c>
    </row>
    <row r="375" spans="3:6" x14ac:dyDescent="0.25">
      <c r="C375" s="25" t="str">
        <f t="shared" si="5"/>
        <v/>
      </c>
      <c r="F375" s="29" cm="1">
        <f t="array" ref="F375">SUMPRODUCT((Radio!$A$2:$A$1000=Радиостанции!A375)*(Radio!$B$2:$B$1000=Радиостанции!D375)*Radio!$C$2:$C$1000)</f>
        <v>0</v>
      </c>
    </row>
    <row r="376" spans="3:6" x14ac:dyDescent="0.25">
      <c r="C376" s="25" t="str">
        <f t="shared" si="5"/>
        <v/>
      </c>
      <c r="F376" s="29" cm="1">
        <f t="array" ref="F376">SUMPRODUCT((Radio!$A$2:$A$1000=Радиостанции!A376)*(Radio!$B$2:$B$1000=Радиостанции!D376)*Radio!$C$2:$C$1000)</f>
        <v>0</v>
      </c>
    </row>
    <row r="377" spans="3:6" x14ac:dyDescent="0.25">
      <c r="C377" s="25" t="str">
        <f t="shared" si="5"/>
        <v/>
      </c>
      <c r="F377" s="29" cm="1">
        <f t="array" ref="F377">SUMPRODUCT((Radio!$A$2:$A$1000=Радиостанции!A377)*(Radio!$B$2:$B$1000=Радиостанции!D377)*Radio!$C$2:$C$1000)</f>
        <v>0</v>
      </c>
    </row>
    <row r="378" spans="3:6" x14ac:dyDescent="0.25">
      <c r="C378" s="25" t="str">
        <f t="shared" si="5"/>
        <v/>
      </c>
      <c r="F378" s="29" cm="1">
        <f t="array" ref="F378">SUMPRODUCT((Radio!$A$2:$A$1000=Радиостанции!A378)*(Radio!$B$2:$B$1000=Радиостанции!D378)*Radio!$C$2:$C$1000)</f>
        <v>0</v>
      </c>
    </row>
    <row r="379" spans="3:6" x14ac:dyDescent="0.25">
      <c r="C379" s="25" t="str">
        <f t="shared" si="5"/>
        <v/>
      </c>
      <c r="F379" s="29" cm="1">
        <f t="array" ref="F379">SUMPRODUCT((Radio!$A$2:$A$1000=Радиостанции!A379)*(Radio!$B$2:$B$1000=Радиостанции!D379)*Radio!$C$2:$C$1000)</f>
        <v>0</v>
      </c>
    </row>
    <row r="380" spans="3:6" x14ac:dyDescent="0.25">
      <c r="C380" s="25" t="str">
        <f t="shared" si="5"/>
        <v/>
      </c>
      <c r="F380" s="29" cm="1">
        <f t="array" ref="F380">SUMPRODUCT((Radio!$A$2:$A$1000=Радиостанции!A380)*(Radio!$B$2:$B$1000=Радиостанции!D380)*Radio!$C$2:$C$1000)</f>
        <v>0</v>
      </c>
    </row>
    <row r="381" spans="3:6" x14ac:dyDescent="0.25">
      <c r="C381" s="25" t="str">
        <f t="shared" si="5"/>
        <v/>
      </c>
      <c r="F381" s="29" cm="1">
        <f t="array" ref="F381">SUMPRODUCT((Radio!$A$2:$A$1000=Радиостанции!A381)*(Radio!$B$2:$B$1000=Радиостанции!D381)*Radio!$C$2:$C$1000)</f>
        <v>0</v>
      </c>
    </row>
    <row r="382" spans="3:6" x14ac:dyDescent="0.25">
      <c r="C382" s="25" t="str">
        <f t="shared" si="5"/>
        <v/>
      </c>
      <c r="F382" s="29" cm="1">
        <f t="array" ref="F382">SUMPRODUCT((Radio!$A$2:$A$1000=Радиостанции!A382)*(Radio!$B$2:$B$1000=Радиостанции!D382)*Radio!$C$2:$C$1000)</f>
        <v>0</v>
      </c>
    </row>
    <row r="383" spans="3:6" x14ac:dyDescent="0.25">
      <c r="C383" s="25" t="str">
        <f t="shared" si="5"/>
        <v/>
      </c>
      <c r="F383" s="29" cm="1">
        <f t="array" ref="F383">SUMPRODUCT((Radio!$A$2:$A$1000=Радиостанции!A383)*(Radio!$B$2:$B$1000=Радиостанции!D383)*Radio!$C$2:$C$1000)</f>
        <v>0</v>
      </c>
    </row>
    <row r="384" spans="3:6" x14ac:dyDescent="0.25">
      <c r="C384" s="25" t="str">
        <f t="shared" si="5"/>
        <v/>
      </c>
      <c r="F384" s="29" cm="1">
        <f t="array" ref="F384">SUMPRODUCT((Radio!$A$2:$A$1000=Радиостанции!A384)*(Radio!$B$2:$B$1000=Радиостанции!D384)*Radio!$C$2:$C$1000)</f>
        <v>0</v>
      </c>
    </row>
    <row r="385" spans="3:6" x14ac:dyDescent="0.25">
      <c r="C385" s="25" t="str">
        <f t="shared" si="5"/>
        <v/>
      </c>
      <c r="F385" s="29" cm="1">
        <f t="array" ref="F385">SUMPRODUCT((Radio!$A$2:$A$1000=Радиостанции!A385)*(Radio!$B$2:$B$1000=Радиостанции!D385)*Radio!$C$2:$C$1000)</f>
        <v>0</v>
      </c>
    </row>
    <row r="386" spans="3:6" x14ac:dyDescent="0.25">
      <c r="C386" s="25" t="str">
        <f t="shared" si="5"/>
        <v/>
      </c>
      <c r="F386" s="29" cm="1">
        <f t="array" ref="F386">SUMPRODUCT((Radio!$A$2:$A$1000=Радиостанции!A386)*(Radio!$B$2:$B$1000=Радиостанции!D386)*Radio!$C$2:$C$1000)</f>
        <v>0</v>
      </c>
    </row>
    <row r="387" spans="3:6" x14ac:dyDescent="0.25">
      <c r="C387" s="25" t="str">
        <f t="shared" ref="C387:C450" si="6">_xlfn.CONCAT(A387,B387)</f>
        <v/>
      </c>
      <c r="F387" s="29" cm="1">
        <f t="array" ref="F387">SUMPRODUCT((Radio!$A$2:$A$1000=Радиостанции!A387)*(Radio!$B$2:$B$1000=Радиостанции!D387)*Radio!$C$2:$C$1000)</f>
        <v>0</v>
      </c>
    </row>
    <row r="388" spans="3:6" x14ac:dyDescent="0.25">
      <c r="C388" s="25" t="str">
        <f t="shared" si="6"/>
        <v/>
      </c>
      <c r="F388" s="29" cm="1">
        <f t="array" ref="F388">SUMPRODUCT((Radio!$A$2:$A$1000=Радиостанции!A388)*(Radio!$B$2:$B$1000=Радиостанции!D388)*Radio!$C$2:$C$1000)</f>
        <v>0</v>
      </c>
    </row>
    <row r="389" spans="3:6" x14ac:dyDescent="0.25">
      <c r="C389" s="25" t="str">
        <f t="shared" si="6"/>
        <v/>
      </c>
      <c r="F389" s="29" cm="1">
        <f t="array" ref="F389">SUMPRODUCT((Radio!$A$2:$A$1000=Радиостанции!A389)*(Radio!$B$2:$B$1000=Радиостанции!D389)*Radio!$C$2:$C$1000)</f>
        <v>0</v>
      </c>
    </row>
    <row r="390" spans="3:6" x14ac:dyDescent="0.25">
      <c r="C390" s="25" t="str">
        <f t="shared" si="6"/>
        <v/>
      </c>
      <c r="F390" s="29" cm="1">
        <f t="array" ref="F390">SUMPRODUCT((Radio!$A$2:$A$1000=Радиостанции!A390)*(Radio!$B$2:$B$1000=Радиостанции!D390)*Radio!$C$2:$C$1000)</f>
        <v>0</v>
      </c>
    </row>
    <row r="391" spans="3:6" x14ac:dyDescent="0.25">
      <c r="C391" s="25" t="str">
        <f t="shared" si="6"/>
        <v/>
      </c>
      <c r="F391" s="29" cm="1">
        <f t="array" ref="F391">SUMPRODUCT((Radio!$A$2:$A$1000=Радиостанции!A391)*(Radio!$B$2:$B$1000=Радиостанции!D391)*Radio!$C$2:$C$1000)</f>
        <v>0</v>
      </c>
    </row>
    <row r="392" spans="3:6" x14ac:dyDescent="0.25">
      <c r="C392" s="25" t="str">
        <f t="shared" si="6"/>
        <v/>
      </c>
      <c r="F392" s="29" cm="1">
        <f t="array" ref="F392">SUMPRODUCT((Radio!$A$2:$A$1000=Радиостанции!A392)*(Radio!$B$2:$B$1000=Радиостанции!D392)*Radio!$C$2:$C$1000)</f>
        <v>0</v>
      </c>
    </row>
    <row r="393" spans="3:6" x14ac:dyDescent="0.25">
      <c r="C393" s="25" t="str">
        <f t="shared" si="6"/>
        <v/>
      </c>
      <c r="F393" s="29" cm="1">
        <f t="array" ref="F393">SUMPRODUCT((Radio!$A$2:$A$1000=Радиостанции!A393)*(Radio!$B$2:$B$1000=Радиостанции!D393)*Radio!$C$2:$C$1000)</f>
        <v>0</v>
      </c>
    </row>
    <row r="394" spans="3:6" x14ac:dyDescent="0.25">
      <c r="C394" s="25" t="str">
        <f t="shared" si="6"/>
        <v/>
      </c>
      <c r="F394" s="29" cm="1">
        <f t="array" ref="F394">SUMPRODUCT((Radio!$A$2:$A$1000=Радиостанции!A394)*(Radio!$B$2:$B$1000=Радиостанции!D394)*Radio!$C$2:$C$1000)</f>
        <v>0</v>
      </c>
    </row>
    <row r="395" spans="3:6" x14ac:dyDescent="0.25">
      <c r="C395" s="25" t="str">
        <f t="shared" si="6"/>
        <v/>
      </c>
      <c r="F395" s="29" cm="1">
        <f t="array" ref="F395">SUMPRODUCT((Radio!$A$2:$A$1000=Радиостанции!A395)*(Radio!$B$2:$B$1000=Радиостанции!D395)*Radio!$C$2:$C$1000)</f>
        <v>0</v>
      </c>
    </row>
    <row r="396" spans="3:6" x14ac:dyDescent="0.25">
      <c r="C396" s="25" t="str">
        <f t="shared" si="6"/>
        <v/>
      </c>
      <c r="F396" s="29" cm="1">
        <f t="array" ref="F396">SUMPRODUCT((Radio!$A$2:$A$1000=Радиостанции!A396)*(Radio!$B$2:$B$1000=Радиостанции!D396)*Radio!$C$2:$C$1000)</f>
        <v>0</v>
      </c>
    </row>
    <row r="397" spans="3:6" x14ac:dyDescent="0.25">
      <c r="C397" s="25" t="str">
        <f t="shared" si="6"/>
        <v/>
      </c>
      <c r="F397" s="29" cm="1">
        <f t="array" ref="F397">SUMPRODUCT((Radio!$A$2:$A$1000=Радиостанции!A397)*(Radio!$B$2:$B$1000=Радиостанции!D397)*Radio!$C$2:$C$1000)</f>
        <v>0</v>
      </c>
    </row>
    <row r="398" spans="3:6" x14ac:dyDescent="0.25">
      <c r="C398" s="25" t="str">
        <f t="shared" si="6"/>
        <v/>
      </c>
      <c r="F398" s="29" cm="1">
        <f t="array" ref="F398">SUMPRODUCT((Radio!$A$2:$A$1000=Радиостанции!A398)*(Radio!$B$2:$B$1000=Радиостанции!D398)*Radio!$C$2:$C$1000)</f>
        <v>0</v>
      </c>
    </row>
    <row r="399" spans="3:6" x14ac:dyDescent="0.25">
      <c r="C399" s="25" t="str">
        <f t="shared" si="6"/>
        <v/>
      </c>
      <c r="F399" s="29" cm="1">
        <f t="array" ref="F399">SUMPRODUCT((Radio!$A$2:$A$1000=Радиостанции!A399)*(Radio!$B$2:$B$1000=Радиостанции!D399)*Radio!$C$2:$C$1000)</f>
        <v>0</v>
      </c>
    </row>
    <row r="400" spans="3:6" x14ac:dyDescent="0.25">
      <c r="C400" s="25" t="str">
        <f t="shared" si="6"/>
        <v/>
      </c>
      <c r="F400" s="29" cm="1">
        <f t="array" ref="F400">SUMPRODUCT((Radio!$A$2:$A$1000=Радиостанции!A400)*(Radio!$B$2:$B$1000=Радиостанции!D400)*Radio!$C$2:$C$1000)</f>
        <v>0</v>
      </c>
    </row>
    <row r="401" spans="3:6" x14ac:dyDescent="0.25">
      <c r="C401" s="25" t="str">
        <f t="shared" si="6"/>
        <v/>
      </c>
      <c r="F401" s="29" cm="1">
        <f t="array" ref="F401">SUMPRODUCT((Radio!$A$2:$A$1000=Радиостанции!A401)*(Radio!$B$2:$B$1000=Радиостанции!D401)*Radio!$C$2:$C$1000)</f>
        <v>0</v>
      </c>
    </row>
    <row r="402" spans="3:6" x14ac:dyDescent="0.25">
      <c r="C402" s="25" t="str">
        <f t="shared" si="6"/>
        <v/>
      </c>
      <c r="F402" s="29" cm="1">
        <f t="array" ref="F402">SUMPRODUCT((Radio!$A$2:$A$1000=Радиостанции!A402)*(Radio!$B$2:$B$1000=Радиостанции!D402)*Radio!$C$2:$C$1000)</f>
        <v>0</v>
      </c>
    </row>
    <row r="403" spans="3:6" x14ac:dyDescent="0.25">
      <c r="C403" s="25" t="str">
        <f t="shared" si="6"/>
        <v/>
      </c>
      <c r="F403" s="29" cm="1">
        <f t="array" ref="F403">SUMPRODUCT((Radio!$A$2:$A$1000=Радиостанции!A403)*(Radio!$B$2:$B$1000=Радиостанции!D403)*Radio!$C$2:$C$1000)</f>
        <v>0</v>
      </c>
    </row>
    <row r="404" spans="3:6" x14ac:dyDescent="0.25">
      <c r="C404" s="25" t="str">
        <f t="shared" si="6"/>
        <v/>
      </c>
      <c r="F404" s="29" cm="1">
        <f t="array" ref="F404">SUMPRODUCT((Radio!$A$2:$A$1000=Радиостанции!A404)*(Radio!$B$2:$B$1000=Радиостанции!D404)*Radio!$C$2:$C$1000)</f>
        <v>0</v>
      </c>
    </row>
    <row r="405" spans="3:6" x14ac:dyDescent="0.25">
      <c r="C405" s="25" t="str">
        <f t="shared" si="6"/>
        <v/>
      </c>
      <c r="F405" s="29" cm="1">
        <f t="array" ref="F405">SUMPRODUCT((Radio!$A$2:$A$1000=Радиостанции!A405)*(Radio!$B$2:$B$1000=Радиостанции!D405)*Radio!$C$2:$C$1000)</f>
        <v>0</v>
      </c>
    </row>
    <row r="406" spans="3:6" x14ac:dyDescent="0.25">
      <c r="C406" s="25" t="str">
        <f t="shared" si="6"/>
        <v/>
      </c>
      <c r="F406" s="29" cm="1">
        <f t="array" ref="F406">SUMPRODUCT((Radio!$A$2:$A$1000=Радиостанции!A406)*(Radio!$B$2:$B$1000=Радиостанции!D406)*Radio!$C$2:$C$1000)</f>
        <v>0</v>
      </c>
    </row>
    <row r="407" spans="3:6" x14ac:dyDescent="0.25">
      <c r="C407" s="25" t="str">
        <f t="shared" si="6"/>
        <v/>
      </c>
      <c r="F407" s="29" cm="1">
        <f t="array" ref="F407">SUMPRODUCT((Radio!$A$2:$A$1000=Радиостанции!A407)*(Radio!$B$2:$B$1000=Радиостанции!D407)*Radio!$C$2:$C$1000)</f>
        <v>0</v>
      </c>
    </row>
    <row r="408" spans="3:6" x14ac:dyDescent="0.25">
      <c r="C408" s="25" t="str">
        <f t="shared" si="6"/>
        <v/>
      </c>
      <c r="F408" s="29" cm="1">
        <f t="array" ref="F408">SUMPRODUCT((Radio!$A$2:$A$1000=Радиостанции!A408)*(Radio!$B$2:$B$1000=Радиостанции!D408)*Radio!$C$2:$C$1000)</f>
        <v>0</v>
      </c>
    </row>
    <row r="409" spans="3:6" x14ac:dyDescent="0.25">
      <c r="C409" s="25" t="str">
        <f t="shared" si="6"/>
        <v/>
      </c>
      <c r="F409" s="29" cm="1">
        <f t="array" ref="F409">SUMPRODUCT((Radio!$A$2:$A$1000=Радиостанции!A409)*(Radio!$B$2:$B$1000=Радиостанции!D409)*Radio!$C$2:$C$1000)</f>
        <v>0</v>
      </c>
    </row>
    <row r="410" spans="3:6" x14ac:dyDescent="0.25">
      <c r="C410" s="25" t="str">
        <f t="shared" si="6"/>
        <v/>
      </c>
      <c r="F410" s="29" cm="1">
        <f t="array" ref="F410">SUMPRODUCT((Radio!$A$2:$A$1000=Радиостанции!A410)*(Radio!$B$2:$B$1000=Радиостанции!D410)*Radio!$C$2:$C$1000)</f>
        <v>0</v>
      </c>
    </row>
    <row r="411" spans="3:6" x14ac:dyDescent="0.25">
      <c r="C411" s="25" t="str">
        <f t="shared" si="6"/>
        <v/>
      </c>
      <c r="F411" s="29" cm="1">
        <f t="array" ref="F411">SUMPRODUCT((Radio!$A$2:$A$1000=Радиостанции!A411)*(Radio!$B$2:$B$1000=Радиостанции!D411)*Radio!$C$2:$C$1000)</f>
        <v>0</v>
      </c>
    </row>
    <row r="412" spans="3:6" x14ac:dyDescent="0.25">
      <c r="C412" s="25" t="str">
        <f t="shared" si="6"/>
        <v/>
      </c>
      <c r="F412" s="29" cm="1">
        <f t="array" ref="F412">SUMPRODUCT((Radio!$A$2:$A$1000=Радиостанции!A412)*(Radio!$B$2:$B$1000=Радиостанции!D412)*Radio!$C$2:$C$1000)</f>
        <v>0</v>
      </c>
    </row>
    <row r="413" spans="3:6" x14ac:dyDescent="0.25">
      <c r="C413" s="25" t="str">
        <f t="shared" si="6"/>
        <v/>
      </c>
      <c r="F413" s="29" cm="1">
        <f t="array" ref="F413">SUMPRODUCT((Radio!$A$2:$A$1000=Радиостанции!A413)*(Radio!$B$2:$B$1000=Радиостанции!D413)*Radio!$C$2:$C$1000)</f>
        <v>0</v>
      </c>
    </row>
    <row r="414" spans="3:6" x14ac:dyDescent="0.25">
      <c r="C414" s="25" t="str">
        <f t="shared" si="6"/>
        <v/>
      </c>
      <c r="F414" s="29" cm="1">
        <f t="array" ref="F414">SUMPRODUCT((Radio!$A$2:$A$1000=Радиостанции!A414)*(Radio!$B$2:$B$1000=Радиостанции!D414)*Radio!$C$2:$C$1000)</f>
        <v>0</v>
      </c>
    </row>
    <row r="415" spans="3:6" x14ac:dyDescent="0.25">
      <c r="C415" s="25" t="str">
        <f t="shared" si="6"/>
        <v/>
      </c>
      <c r="F415" s="29" cm="1">
        <f t="array" ref="F415">SUMPRODUCT((Radio!$A$2:$A$1000=Радиостанции!A415)*(Radio!$B$2:$B$1000=Радиостанции!D415)*Radio!$C$2:$C$1000)</f>
        <v>0</v>
      </c>
    </row>
    <row r="416" spans="3:6" x14ac:dyDescent="0.25">
      <c r="C416" s="25" t="str">
        <f t="shared" si="6"/>
        <v/>
      </c>
      <c r="F416" s="29" cm="1">
        <f t="array" ref="F416">SUMPRODUCT((Radio!$A$2:$A$1000=Радиостанции!A416)*(Radio!$B$2:$B$1000=Радиостанции!D416)*Radio!$C$2:$C$1000)</f>
        <v>0</v>
      </c>
    </row>
    <row r="417" spans="3:6" x14ac:dyDescent="0.25">
      <c r="C417" s="25" t="str">
        <f t="shared" si="6"/>
        <v/>
      </c>
      <c r="F417" s="29" cm="1">
        <f t="array" ref="F417">SUMPRODUCT((Radio!$A$2:$A$1000=Радиостанции!A417)*(Radio!$B$2:$B$1000=Радиостанции!D417)*Radio!$C$2:$C$1000)</f>
        <v>0</v>
      </c>
    </row>
    <row r="418" spans="3:6" x14ac:dyDescent="0.25">
      <c r="C418" s="25" t="str">
        <f t="shared" si="6"/>
        <v/>
      </c>
      <c r="F418" s="29" cm="1">
        <f t="array" ref="F418">SUMPRODUCT((Radio!$A$2:$A$1000=Радиостанции!A418)*(Radio!$B$2:$B$1000=Радиостанции!D418)*Radio!$C$2:$C$1000)</f>
        <v>0</v>
      </c>
    </row>
    <row r="419" spans="3:6" x14ac:dyDescent="0.25">
      <c r="C419" s="25" t="str">
        <f t="shared" si="6"/>
        <v/>
      </c>
      <c r="F419" s="29" cm="1">
        <f t="array" ref="F419">SUMPRODUCT((Radio!$A$2:$A$1000=Радиостанции!A419)*(Radio!$B$2:$B$1000=Радиостанции!D419)*Radio!$C$2:$C$1000)</f>
        <v>0</v>
      </c>
    </row>
    <row r="420" spans="3:6" x14ac:dyDescent="0.25">
      <c r="C420" s="25" t="str">
        <f t="shared" si="6"/>
        <v/>
      </c>
      <c r="F420" s="29" cm="1">
        <f t="array" ref="F420">SUMPRODUCT((Radio!$A$2:$A$1000=Радиостанции!A420)*(Radio!$B$2:$B$1000=Радиостанции!D420)*Radio!$C$2:$C$1000)</f>
        <v>0</v>
      </c>
    </row>
    <row r="421" spans="3:6" x14ac:dyDescent="0.25">
      <c r="C421" s="25" t="str">
        <f t="shared" si="6"/>
        <v/>
      </c>
      <c r="F421" s="29" cm="1">
        <f t="array" ref="F421">SUMPRODUCT((Radio!$A$2:$A$1000=Радиостанции!A421)*(Radio!$B$2:$B$1000=Радиостанции!D421)*Radio!$C$2:$C$1000)</f>
        <v>0</v>
      </c>
    </row>
    <row r="422" spans="3:6" x14ac:dyDescent="0.25">
      <c r="C422" s="25" t="str">
        <f t="shared" si="6"/>
        <v/>
      </c>
      <c r="F422" s="29" cm="1">
        <f t="array" ref="F422">SUMPRODUCT((Radio!$A$2:$A$1000=Радиостанции!A422)*(Radio!$B$2:$B$1000=Радиостанции!D422)*Radio!$C$2:$C$1000)</f>
        <v>0</v>
      </c>
    </row>
    <row r="423" spans="3:6" x14ac:dyDescent="0.25">
      <c r="C423" s="25" t="str">
        <f t="shared" si="6"/>
        <v/>
      </c>
      <c r="F423" s="29" cm="1">
        <f t="array" ref="F423">SUMPRODUCT((Radio!$A$2:$A$1000=Радиостанции!A423)*(Radio!$B$2:$B$1000=Радиостанции!D423)*Radio!$C$2:$C$1000)</f>
        <v>0</v>
      </c>
    </row>
    <row r="424" spans="3:6" x14ac:dyDescent="0.25">
      <c r="C424" s="25" t="str">
        <f t="shared" si="6"/>
        <v/>
      </c>
      <c r="F424" s="29" cm="1">
        <f t="array" ref="F424">SUMPRODUCT((Radio!$A$2:$A$1000=Радиостанции!A424)*(Radio!$B$2:$B$1000=Радиостанции!D424)*Radio!$C$2:$C$1000)</f>
        <v>0</v>
      </c>
    </row>
    <row r="425" spans="3:6" x14ac:dyDescent="0.25">
      <c r="C425" s="25" t="str">
        <f t="shared" si="6"/>
        <v/>
      </c>
      <c r="F425" s="29" cm="1">
        <f t="array" ref="F425">SUMPRODUCT((Radio!$A$2:$A$1000=Радиостанции!A425)*(Radio!$B$2:$B$1000=Радиостанции!D425)*Radio!$C$2:$C$1000)</f>
        <v>0</v>
      </c>
    </row>
    <row r="426" spans="3:6" x14ac:dyDescent="0.25">
      <c r="C426" s="25" t="str">
        <f t="shared" si="6"/>
        <v/>
      </c>
      <c r="F426" s="29" cm="1">
        <f t="array" ref="F426">SUMPRODUCT((Radio!$A$2:$A$1000=Радиостанции!A426)*(Radio!$B$2:$B$1000=Радиостанции!D426)*Radio!$C$2:$C$1000)</f>
        <v>0</v>
      </c>
    </row>
    <row r="427" spans="3:6" x14ac:dyDescent="0.25">
      <c r="C427" s="25" t="str">
        <f t="shared" si="6"/>
        <v/>
      </c>
      <c r="F427" s="29" cm="1">
        <f t="array" ref="F427">SUMPRODUCT((Radio!$A$2:$A$1000=Радиостанции!A427)*(Radio!$B$2:$B$1000=Радиостанции!D427)*Radio!$C$2:$C$1000)</f>
        <v>0</v>
      </c>
    </row>
    <row r="428" spans="3:6" x14ac:dyDescent="0.25">
      <c r="C428" s="25" t="str">
        <f t="shared" si="6"/>
        <v/>
      </c>
      <c r="F428" s="29" cm="1">
        <f t="array" ref="F428">SUMPRODUCT((Radio!$A$2:$A$1000=Радиостанции!A428)*(Radio!$B$2:$B$1000=Радиостанции!D428)*Radio!$C$2:$C$1000)</f>
        <v>0</v>
      </c>
    </row>
    <row r="429" spans="3:6" x14ac:dyDescent="0.25">
      <c r="C429" s="25" t="str">
        <f t="shared" si="6"/>
        <v/>
      </c>
      <c r="F429" s="29" cm="1">
        <f t="array" ref="F429">SUMPRODUCT((Radio!$A$2:$A$1000=Радиостанции!A429)*(Radio!$B$2:$B$1000=Радиостанции!D429)*Radio!$C$2:$C$1000)</f>
        <v>0</v>
      </c>
    </row>
    <row r="430" spans="3:6" x14ac:dyDescent="0.25">
      <c r="C430" s="25" t="str">
        <f t="shared" si="6"/>
        <v/>
      </c>
      <c r="F430" s="29" cm="1">
        <f t="array" ref="F430">SUMPRODUCT((Radio!$A$2:$A$1000=Радиостанции!A430)*(Radio!$B$2:$B$1000=Радиостанции!D430)*Radio!$C$2:$C$1000)</f>
        <v>0</v>
      </c>
    </row>
    <row r="431" spans="3:6" x14ac:dyDescent="0.25">
      <c r="C431" s="25" t="str">
        <f t="shared" si="6"/>
        <v/>
      </c>
      <c r="F431" s="29" cm="1">
        <f t="array" ref="F431">SUMPRODUCT((Radio!$A$2:$A$1000=Радиостанции!A431)*(Radio!$B$2:$B$1000=Радиостанции!D431)*Radio!$C$2:$C$1000)</f>
        <v>0</v>
      </c>
    </row>
    <row r="432" spans="3:6" x14ac:dyDescent="0.25">
      <c r="C432" s="25" t="str">
        <f t="shared" si="6"/>
        <v/>
      </c>
      <c r="F432" s="29" cm="1">
        <f t="array" ref="F432">SUMPRODUCT((Radio!$A$2:$A$1000=Радиостанции!A432)*(Radio!$B$2:$B$1000=Радиостанции!D432)*Radio!$C$2:$C$1000)</f>
        <v>0</v>
      </c>
    </row>
    <row r="433" spans="3:6" x14ac:dyDescent="0.25">
      <c r="C433" s="25" t="str">
        <f t="shared" si="6"/>
        <v/>
      </c>
      <c r="F433" s="29" cm="1">
        <f t="array" ref="F433">SUMPRODUCT((Radio!$A$2:$A$1000=Радиостанции!A433)*(Radio!$B$2:$B$1000=Радиостанции!D433)*Radio!$C$2:$C$1000)</f>
        <v>0</v>
      </c>
    </row>
    <row r="434" spans="3:6" x14ac:dyDescent="0.25">
      <c r="C434" s="25" t="str">
        <f t="shared" si="6"/>
        <v/>
      </c>
      <c r="F434" s="29" cm="1">
        <f t="array" ref="F434">SUMPRODUCT((Radio!$A$2:$A$1000=Радиостанции!A434)*(Radio!$B$2:$B$1000=Радиостанции!D434)*Radio!$C$2:$C$1000)</f>
        <v>0</v>
      </c>
    </row>
    <row r="435" spans="3:6" x14ac:dyDescent="0.25">
      <c r="C435" s="25" t="str">
        <f t="shared" si="6"/>
        <v/>
      </c>
      <c r="F435" s="29" cm="1">
        <f t="array" ref="F435">SUMPRODUCT((Radio!$A$2:$A$1000=Радиостанции!A435)*(Radio!$B$2:$B$1000=Радиостанции!D435)*Radio!$C$2:$C$1000)</f>
        <v>0</v>
      </c>
    </row>
    <row r="436" spans="3:6" x14ac:dyDescent="0.25">
      <c r="C436" s="25" t="str">
        <f t="shared" si="6"/>
        <v/>
      </c>
      <c r="F436" s="29" cm="1">
        <f t="array" ref="F436">SUMPRODUCT((Radio!$A$2:$A$1000=Радиостанции!A436)*(Radio!$B$2:$B$1000=Радиостанции!D436)*Radio!$C$2:$C$1000)</f>
        <v>0</v>
      </c>
    </row>
    <row r="437" spans="3:6" x14ac:dyDescent="0.25">
      <c r="C437" s="25" t="str">
        <f t="shared" si="6"/>
        <v/>
      </c>
      <c r="F437" s="29" cm="1">
        <f t="array" ref="F437">SUMPRODUCT((Radio!$A$2:$A$1000=Радиостанции!A437)*(Radio!$B$2:$B$1000=Радиостанции!D437)*Radio!$C$2:$C$1000)</f>
        <v>0</v>
      </c>
    </row>
    <row r="438" spans="3:6" x14ac:dyDescent="0.25">
      <c r="C438" s="25" t="str">
        <f t="shared" si="6"/>
        <v/>
      </c>
      <c r="F438" s="29" cm="1">
        <f t="array" ref="F438">SUMPRODUCT((Radio!$A$2:$A$1000=Радиостанции!A438)*(Radio!$B$2:$B$1000=Радиостанции!D438)*Radio!$C$2:$C$1000)</f>
        <v>0</v>
      </c>
    </row>
    <row r="439" spans="3:6" x14ac:dyDescent="0.25">
      <c r="C439" s="25" t="str">
        <f t="shared" si="6"/>
        <v/>
      </c>
      <c r="F439" s="29" cm="1">
        <f t="array" ref="F439">SUMPRODUCT((Radio!$A$2:$A$1000=Радиостанции!A439)*(Radio!$B$2:$B$1000=Радиостанции!D439)*Radio!$C$2:$C$1000)</f>
        <v>0</v>
      </c>
    </row>
    <row r="440" spans="3:6" x14ac:dyDescent="0.25">
      <c r="C440" s="25" t="str">
        <f t="shared" si="6"/>
        <v/>
      </c>
      <c r="F440" s="29" cm="1">
        <f t="array" ref="F440">SUMPRODUCT((Radio!$A$2:$A$1000=Радиостанции!A440)*(Radio!$B$2:$B$1000=Радиостанции!D440)*Radio!$C$2:$C$1000)</f>
        <v>0</v>
      </c>
    </row>
    <row r="441" spans="3:6" x14ac:dyDescent="0.25">
      <c r="C441" s="25" t="str">
        <f t="shared" si="6"/>
        <v/>
      </c>
      <c r="F441" s="29" cm="1">
        <f t="array" ref="F441">SUMPRODUCT((Radio!$A$2:$A$1000=Радиостанции!A441)*(Radio!$B$2:$B$1000=Радиостанции!D441)*Radio!$C$2:$C$1000)</f>
        <v>0</v>
      </c>
    </row>
    <row r="442" spans="3:6" x14ac:dyDescent="0.25">
      <c r="C442" s="25" t="str">
        <f t="shared" si="6"/>
        <v/>
      </c>
      <c r="F442" s="29" cm="1">
        <f t="array" ref="F442">SUMPRODUCT((Radio!$A$2:$A$1000=Радиостанции!A442)*(Radio!$B$2:$B$1000=Радиостанции!D442)*Radio!$C$2:$C$1000)</f>
        <v>0</v>
      </c>
    </row>
    <row r="443" spans="3:6" x14ac:dyDescent="0.25">
      <c r="C443" s="25" t="str">
        <f t="shared" si="6"/>
        <v/>
      </c>
      <c r="F443" s="29" cm="1">
        <f t="array" ref="F443">SUMPRODUCT((Radio!$A$2:$A$1000=Радиостанции!A443)*(Radio!$B$2:$B$1000=Радиостанции!D443)*Radio!$C$2:$C$1000)</f>
        <v>0</v>
      </c>
    </row>
    <row r="444" spans="3:6" x14ac:dyDescent="0.25">
      <c r="C444" s="25" t="str">
        <f t="shared" si="6"/>
        <v/>
      </c>
      <c r="F444" s="29" cm="1">
        <f t="array" ref="F444">SUMPRODUCT((Radio!$A$2:$A$1000=Радиостанции!A444)*(Radio!$B$2:$B$1000=Радиостанции!D444)*Radio!$C$2:$C$1000)</f>
        <v>0</v>
      </c>
    </row>
    <row r="445" spans="3:6" x14ac:dyDescent="0.25">
      <c r="C445" s="25" t="str">
        <f t="shared" si="6"/>
        <v/>
      </c>
      <c r="F445" s="29" cm="1">
        <f t="array" ref="F445">SUMPRODUCT((Radio!$A$2:$A$1000=Радиостанции!A445)*(Radio!$B$2:$B$1000=Радиостанции!D445)*Radio!$C$2:$C$1000)</f>
        <v>0</v>
      </c>
    </row>
    <row r="446" spans="3:6" x14ac:dyDescent="0.25">
      <c r="C446" s="25" t="str">
        <f t="shared" si="6"/>
        <v/>
      </c>
      <c r="F446" s="29" cm="1">
        <f t="array" ref="F446">SUMPRODUCT((Radio!$A$2:$A$1000=Радиостанции!A446)*(Radio!$B$2:$B$1000=Радиостанции!D446)*Radio!$C$2:$C$1000)</f>
        <v>0</v>
      </c>
    </row>
    <row r="447" spans="3:6" x14ac:dyDescent="0.25">
      <c r="C447" s="25" t="str">
        <f t="shared" si="6"/>
        <v/>
      </c>
      <c r="F447" s="29" cm="1">
        <f t="array" ref="F447">SUMPRODUCT((Radio!$A$2:$A$1000=Радиостанции!A447)*(Radio!$B$2:$B$1000=Радиостанции!D447)*Radio!$C$2:$C$1000)</f>
        <v>0</v>
      </c>
    </row>
    <row r="448" spans="3:6" x14ac:dyDescent="0.25">
      <c r="C448" s="25" t="str">
        <f t="shared" si="6"/>
        <v/>
      </c>
      <c r="F448" s="29" cm="1">
        <f t="array" ref="F448">SUMPRODUCT((Radio!$A$2:$A$1000=Радиостанции!A448)*(Radio!$B$2:$B$1000=Радиостанции!D448)*Radio!$C$2:$C$1000)</f>
        <v>0</v>
      </c>
    </row>
    <row r="449" spans="3:6" x14ac:dyDescent="0.25">
      <c r="C449" s="25" t="str">
        <f t="shared" si="6"/>
        <v/>
      </c>
      <c r="F449" s="29" cm="1">
        <f t="array" ref="F449">SUMPRODUCT((Radio!$A$2:$A$1000=Радиостанции!A449)*(Radio!$B$2:$B$1000=Радиостанции!D449)*Radio!$C$2:$C$1000)</f>
        <v>0</v>
      </c>
    </row>
    <row r="450" spans="3:6" x14ac:dyDescent="0.25">
      <c r="C450" s="25" t="str">
        <f t="shared" si="6"/>
        <v/>
      </c>
      <c r="F450" s="29" cm="1">
        <f t="array" ref="F450">SUMPRODUCT((Radio!$A$2:$A$1000=Радиостанции!A450)*(Radio!$B$2:$B$1000=Радиостанции!D450)*Radio!$C$2:$C$1000)</f>
        <v>0</v>
      </c>
    </row>
    <row r="451" spans="3:6" x14ac:dyDescent="0.25">
      <c r="C451" s="25" t="str">
        <f t="shared" ref="C451:C514" si="7">_xlfn.CONCAT(A451,B451)</f>
        <v/>
      </c>
      <c r="F451" s="29" cm="1">
        <f t="array" ref="F451">SUMPRODUCT((Radio!$A$2:$A$1000=Радиостанции!A451)*(Radio!$B$2:$B$1000=Радиостанции!D451)*Radio!$C$2:$C$1000)</f>
        <v>0</v>
      </c>
    </row>
    <row r="452" spans="3:6" x14ac:dyDescent="0.25">
      <c r="C452" s="25" t="str">
        <f t="shared" si="7"/>
        <v/>
      </c>
      <c r="F452" s="29" cm="1">
        <f t="array" ref="F452">SUMPRODUCT((Radio!$A$2:$A$1000=Радиостанции!A452)*(Radio!$B$2:$B$1000=Радиостанции!D452)*Radio!$C$2:$C$1000)</f>
        <v>0</v>
      </c>
    </row>
    <row r="453" spans="3:6" x14ac:dyDescent="0.25">
      <c r="C453" s="25" t="str">
        <f t="shared" si="7"/>
        <v/>
      </c>
      <c r="F453" s="29" cm="1">
        <f t="array" ref="F453">SUMPRODUCT((Radio!$A$2:$A$1000=Радиостанции!A453)*(Radio!$B$2:$B$1000=Радиостанции!D453)*Radio!$C$2:$C$1000)</f>
        <v>0</v>
      </c>
    </row>
    <row r="454" spans="3:6" x14ac:dyDescent="0.25">
      <c r="C454" s="25" t="str">
        <f t="shared" si="7"/>
        <v/>
      </c>
      <c r="F454" s="29" cm="1">
        <f t="array" ref="F454">SUMPRODUCT((Radio!$A$2:$A$1000=Радиостанции!A454)*(Radio!$B$2:$B$1000=Радиостанции!D454)*Radio!$C$2:$C$1000)</f>
        <v>0</v>
      </c>
    </row>
    <row r="455" spans="3:6" x14ac:dyDescent="0.25">
      <c r="C455" s="25" t="str">
        <f t="shared" si="7"/>
        <v/>
      </c>
      <c r="F455" s="29" cm="1">
        <f t="array" ref="F455">SUMPRODUCT((Radio!$A$2:$A$1000=Радиостанции!A455)*(Radio!$B$2:$B$1000=Радиостанции!D455)*Radio!$C$2:$C$1000)</f>
        <v>0</v>
      </c>
    </row>
    <row r="456" spans="3:6" x14ac:dyDescent="0.25">
      <c r="C456" s="25" t="str">
        <f t="shared" si="7"/>
        <v/>
      </c>
      <c r="F456" s="29" cm="1">
        <f t="array" ref="F456">SUMPRODUCT((Radio!$A$2:$A$1000=Радиостанции!A456)*(Radio!$B$2:$B$1000=Радиостанции!D456)*Radio!$C$2:$C$1000)</f>
        <v>0</v>
      </c>
    </row>
    <row r="457" spans="3:6" x14ac:dyDescent="0.25">
      <c r="C457" s="25" t="str">
        <f t="shared" si="7"/>
        <v/>
      </c>
      <c r="F457" s="29" cm="1">
        <f t="array" ref="F457">SUMPRODUCT((Radio!$A$2:$A$1000=Радиостанции!A457)*(Radio!$B$2:$B$1000=Радиостанции!D457)*Radio!$C$2:$C$1000)</f>
        <v>0</v>
      </c>
    </row>
    <row r="458" spans="3:6" x14ac:dyDescent="0.25">
      <c r="C458" s="25" t="str">
        <f t="shared" si="7"/>
        <v/>
      </c>
      <c r="F458" s="29" cm="1">
        <f t="array" ref="F458">SUMPRODUCT((Radio!$A$2:$A$1000=Радиостанции!A458)*(Radio!$B$2:$B$1000=Радиостанции!D458)*Radio!$C$2:$C$1000)</f>
        <v>0</v>
      </c>
    </row>
    <row r="459" spans="3:6" x14ac:dyDescent="0.25">
      <c r="C459" s="25" t="str">
        <f t="shared" si="7"/>
        <v/>
      </c>
      <c r="F459" s="29" cm="1">
        <f t="array" ref="F459">SUMPRODUCT((Radio!$A$2:$A$1000=Радиостанции!A459)*(Radio!$B$2:$B$1000=Радиостанции!D459)*Radio!$C$2:$C$1000)</f>
        <v>0</v>
      </c>
    </row>
    <row r="460" spans="3:6" x14ac:dyDescent="0.25">
      <c r="C460" s="25" t="str">
        <f t="shared" si="7"/>
        <v/>
      </c>
      <c r="F460" s="29" cm="1">
        <f t="array" ref="F460">SUMPRODUCT((Radio!$A$2:$A$1000=Радиостанции!A460)*(Radio!$B$2:$B$1000=Радиостанции!D460)*Radio!$C$2:$C$1000)</f>
        <v>0</v>
      </c>
    </row>
    <row r="461" spans="3:6" x14ac:dyDescent="0.25">
      <c r="C461" s="25" t="str">
        <f t="shared" si="7"/>
        <v/>
      </c>
      <c r="F461" s="29" cm="1">
        <f t="array" ref="F461">SUMPRODUCT((Radio!$A$2:$A$1000=Радиостанции!A461)*(Radio!$B$2:$B$1000=Радиостанции!D461)*Radio!$C$2:$C$1000)</f>
        <v>0</v>
      </c>
    </row>
    <row r="462" spans="3:6" x14ac:dyDescent="0.25">
      <c r="C462" s="25" t="str">
        <f t="shared" si="7"/>
        <v/>
      </c>
      <c r="F462" s="29" cm="1">
        <f t="array" ref="F462">SUMPRODUCT((Radio!$A$2:$A$1000=Радиостанции!A462)*(Radio!$B$2:$B$1000=Радиостанции!D462)*Radio!$C$2:$C$1000)</f>
        <v>0</v>
      </c>
    </row>
    <row r="463" spans="3:6" x14ac:dyDescent="0.25">
      <c r="C463" s="25" t="str">
        <f t="shared" si="7"/>
        <v/>
      </c>
      <c r="F463" s="29" cm="1">
        <f t="array" ref="F463">SUMPRODUCT((Radio!$A$2:$A$1000=Радиостанции!A463)*(Radio!$B$2:$B$1000=Радиостанции!D463)*Radio!$C$2:$C$1000)</f>
        <v>0</v>
      </c>
    </row>
    <row r="464" spans="3:6" x14ac:dyDescent="0.25">
      <c r="C464" s="25" t="str">
        <f t="shared" si="7"/>
        <v/>
      </c>
      <c r="F464" s="29" cm="1">
        <f t="array" ref="F464">SUMPRODUCT((Radio!$A$2:$A$1000=Радиостанции!A464)*(Radio!$B$2:$B$1000=Радиостанции!D464)*Radio!$C$2:$C$1000)</f>
        <v>0</v>
      </c>
    </row>
    <row r="465" spans="3:6" x14ac:dyDescent="0.25">
      <c r="C465" s="25" t="str">
        <f t="shared" si="7"/>
        <v/>
      </c>
      <c r="F465" s="29" cm="1">
        <f t="array" ref="F465">SUMPRODUCT((Radio!$A$2:$A$1000=Радиостанции!A465)*(Radio!$B$2:$B$1000=Радиостанции!D465)*Radio!$C$2:$C$1000)</f>
        <v>0</v>
      </c>
    </row>
    <row r="466" spans="3:6" x14ac:dyDescent="0.25">
      <c r="C466" s="25" t="str">
        <f t="shared" si="7"/>
        <v/>
      </c>
      <c r="F466" s="29" cm="1">
        <f t="array" ref="F466">SUMPRODUCT((Radio!$A$2:$A$1000=Радиостанции!A466)*(Radio!$B$2:$B$1000=Радиостанции!D466)*Radio!$C$2:$C$1000)</f>
        <v>0</v>
      </c>
    </row>
    <row r="467" spans="3:6" x14ac:dyDescent="0.25">
      <c r="C467" s="25" t="str">
        <f t="shared" si="7"/>
        <v/>
      </c>
      <c r="F467" s="29" cm="1">
        <f t="array" ref="F467">SUMPRODUCT((Radio!$A$2:$A$1000=Радиостанции!A467)*(Radio!$B$2:$B$1000=Радиостанции!D467)*Radio!$C$2:$C$1000)</f>
        <v>0</v>
      </c>
    </row>
    <row r="468" spans="3:6" x14ac:dyDescent="0.25">
      <c r="C468" s="25" t="str">
        <f t="shared" si="7"/>
        <v/>
      </c>
      <c r="F468" s="29" cm="1">
        <f t="array" ref="F468">SUMPRODUCT((Radio!$A$2:$A$1000=Радиостанции!A468)*(Radio!$B$2:$B$1000=Радиостанции!D468)*Radio!$C$2:$C$1000)</f>
        <v>0</v>
      </c>
    </row>
    <row r="469" spans="3:6" x14ac:dyDescent="0.25">
      <c r="C469" s="25" t="str">
        <f t="shared" si="7"/>
        <v/>
      </c>
      <c r="F469" s="29" cm="1">
        <f t="array" ref="F469">SUMPRODUCT((Radio!$A$2:$A$1000=Радиостанции!A469)*(Radio!$B$2:$B$1000=Радиостанции!D469)*Radio!$C$2:$C$1000)</f>
        <v>0</v>
      </c>
    </row>
    <row r="470" spans="3:6" x14ac:dyDescent="0.25">
      <c r="C470" s="25" t="str">
        <f t="shared" si="7"/>
        <v/>
      </c>
      <c r="F470" s="29" cm="1">
        <f t="array" ref="F470">SUMPRODUCT((Radio!$A$2:$A$1000=Радиостанции!A470)*(Radio!$B$2:$B$1000=Радиостанции!D470)*Radio!$C$2:$C$1000)</f>
        <v>0</v>
      </c>
    </row>
    <row r="471" spans="3:6" x14ac:dyDescent="0.25">
      <c r="C471" s="25" t="str">
        <f t="shared" si="7"/>
        <v/>
      </c>
      <c r="F471" s="29" cm="1">
        <f t="array" ref="F471">SUMPRODUCT((Radio!$A$2:$A$1000=Радиостанции!A471)*(Radio!$B$2:$B$1000=Радиостанции!D471)*Radio!$C$2:$C$1000)</f>
        <v>0</v>
      </c>
    </row>
    <row r="472" spans="3:6" x14ac:dyDescent="0.25">
      <c r="C472" s="25" t="str">
        <f t="shared" si="7"/>
        <v/>
      </c>
      <c r="F472" s="29" cm="1">
        <f t="array" ref="F472">SUMPRODUCT((Radio!$A$2:$A$1000=Радиостанции!A472)*(Radio!$B$2:$B$1000=Радиостанции!D472)*Radio!$C$2:$C$1000)</f>
        <v>0</v>
      </c>
    </row>
    <row r="473" spans="3:6" x14ac:dyDescent="0.25">
      <c r="C473" s="25" t="str">
        <f t="shared" si="7"/>
        <v/>
      </c>
      <c r="F473" s="29" cm="1">
        <f t="array" ref="F473">SUMPRODUCT((Radio!$A$2:$A$1000=Радиостанции!A473)*(Radio!$B$2:$B$1000=Радиостанции!D473)*Radio!$C$2:$C$1000)</f>
        <v>0</v>
      </c>
    </row>
    <row r="474" spans="3:6" x14ac:dyDescent="0.25">
      <c r="C474" s="25" t="str">
        <f t="shared" si="7"/>
        <v/>
      </c>
      <c r="F474" s="29" cm="1">
        <f t="array" ref="F474">SUMPRODUCT((Radio!$A$2:$A$1000=Радиостанции!A474)*(Radio!$B$2:$B$1000=Радиостанции!D474)*Radio!$C$2:$C$1000)</f>
        <v>0</v>
      </c>
    </row>
    <row r="475" spans="3:6" x14ac:dyDescent="0.25">
      <c r="C475" s="25" t="str">
        <f t="shared" si="7"/>
        <v/>
      </c>
      <c r="F475" s="29" cm="1">
        <f t="array" ref="F475">SUMPRODUCT((Radio!$A$2:$A$1000=Радиостанции!A475)*(Radio!$B$2:$B$1000=Радиостанции!D475)*Radio!$C$2:$C$1000)</f>
        <v>0</v>
      </c>
    </row>
    <row r="476" spans="3:6" x14ac:dyDescent="0.25">
      <c r="C476" s="25" t="str">
        <f t="shared" si="7"/>
        <v/>
      </c>
      <c r="F476" s="29" cm="1">
        <f t="array" ref="F476">SUMPRODUCT((Radio!$A$2:$A$1000=Радиостанции!A476)*(Radio!$B$2:$B$1000=Радиостанции!D476)*Radio!$C$2:$C$1000)</f>
        <v>0</v>
      </c>
    </row>
    <row r="477" spans="3:6" x14ac:dyDescent="0.25">
      <c r="C477" s="25" t="str">
        <f t="shared" si="7"/>
        <v/>
      </c>
      <c r="F477" s="29" cm="1">
        <f t="array" ref="F477">SUMPRODUCT((Radio!$A$2:$A$1000=Радиостанции!A477)*(Radio!$B$2:$B$1000=Радиостанции!D477)*Radio!$C$2:$C$1000)</f>
        <v>0</v>
      </c>
    </row>
    <row r="478" spans="3:6" x14ac:dyDescent="0.25">
      <c r="C478" s="25" t="str">
        <f t="shared" si="7"/>
        <v/>
      </c>
      <c r="F478" s="29" cm="1">
        <f t="array" ref="F478">SUMPRODUCT((Radio!$A$2:$A$1000=Радиостанции!A478)*(Radio!$B$2:$B$1000=Радиостанции!D478)*Radio!$C$2:$C$1000)</f>
        <v>0</v>
      </c>
    </row>
    <row r="479" spans="3:6" x14ac:dyDescent="0.25">
      <c r="C479" s="25" t="str">
        <f t="shared" si="7"/>
        <v/>
      </c>
      <c r="F479" s="29" cm="1">
        <f t="array" ref="F479">SUMPRODUCT((Radio!$A$2:$A$1000=Радиостанции!A479)*(Radio!$B$2:$B$1000=Радиостанции!D479)*Radio!$C$2:$C$1000)</f>
        <v>0</v>
      </c>
    </row>
    <row r="480" spans="3:6" x14ac:dyDescent="0.25">
      <c r="C480" s="25" t="str">
        <f t="shared" si="7"/>
        <v/>
      </c>
      <c r="F480" s="29" cm="1">
        <f t="array" ref="F480">SUMPRODUCT((Radio!$A$2:$A$1000=Радиостанции!A480)*(Radio!$B$2:$B$1000=Радиостанции!D480)*Radio!$C$2:$C$1000)</f>
        <v>0</v>
      </c>
    </row>
    <row r="481" spans="3:6" x14ac:dyDescent="0.25">
      <c r="C481" s="25" t="str">
        <f t="shared" si="7"/>
        <v/>
      </c>
      <c r="F481" s="29" cm="1">
        <f t="array" ref="F481">SUMPRODUCT((Radio!$A$2:$A$1000=Радиостанции!A481)*(Radio!$B$2:$B$1000=Радиостанции!D481)*Radio!$C$2:$C$1000)</f>
        <v>0</v>
      </c>
    </row>
    <row r="482" spans="3:6" x14ac:dyDescent="0.25">
      <c r="C482" s="25" t="str">
        <f t="shared" si="7"/>
        <v/>
      </c>
      <c r="F482" s="29" cm="1">
        <f t="array" ref="F482">SUMPRODUCT((Radio!$A$2:$A$1000=Радиостанции!A482)*(Radio!$B$2:$B$1000=Радиостанции!D482)*Radio!$C$2:$C$1000)</f>
        <v>0</v>
      </c>
    </row>
    <row r="483" spans="3:6" x14ac:dyDescent="0.25">
      <c r="C483" s="25" t="str">
        <f t="shared" si="7"/>
        <v/>
      </c>
      <c r="F483" s="29" cm="1">
        <f t="array" ref="F483">SUMPRODUCT((Radio!$A$2:$A$1000=Радиостанции!A483)*(Radio!$B$2:$B$1000=Радиостанции!D483)*Radio!$C$2:$C$1000)</f>
        <v>0</v>
      </c>
    </row>
    <row r="484" spans="3:6" x14ac:dyDescent="0.25">
      <c r="C484" s="25" t="str">
        <f t="shared" si="7"/>
        <v/>
      </c>
      <c r="F484" s="29" cm="1">
        <f t="array" ref="F484">SUMPRODUCT((Radio!$A$2:$A$1000=Радиостанции!A484)*(Radio!$B$2:$B$1000=Радиостанции!D484)*Radio!$C$2:$C$1000)</f>
        <v>0</v>
      </c>
    </row>
    <row r="485" spans="3:6" x14ac:dyDescent="0.25">
      <c r="C485" s="25" t="str">
        <f t="shared" si="7"/>
        <v/>
      </c>
      <c r="F485" s="29" cm="1">
        <f t="array" ref="F485">SUMPRODUCT((Radio!$A$2:$A$1000=Радиостанции!A485)*(Radio!$B$2:$B$1000=Радиостанции!D485)*Radio!$C$2:$C$1000)</f>
        <v>0</v>
      </c>
    </row>
    <row r="486" spans="3:6" x14ac:dyDescent="0.25">
      <c r="C486" s="25" t="str">
        <f t="shared" si="7"/>
        <v/>
      </c>
      <c r="F486" s="29" cm="1">
        <f t="array" ref="F486">SUMPRODUCT((Radio!$A$2:$A$1000=Радиостанции!A486)*(Radio!$B$2:$B$1000=Радиостанции!D486)*Radio!$C$2:$C$1000)</f>
        <v>0</v>
      </c>
    </row>
    <row r="487" spans="3:6" x14ac:dyDescent="0.25">
      <c r="C487" s="25" t="str">
        <f t="shared" si="7"/>
        <v/>
      </c>
      <c r="F487" s="29" cm="1">
        <f t="array" ref="F487">SUMPRODUCT((Radio!$A$2:$A$1000=Радиостанции!A487)*(Radio!$B$2:$B$1000=Радиостанции!D487)*Radio!$C$2:$C$1000)</f>
        <v>0</v>
      </c>
    </row>
    <row r="488" spans="3:6" x14ac:dyDescent="0.25">
      <c r="C488" s="25" t="str">
        <f t="shared" si="7"/>
        <v/>
      </c>
      <c r="F488" s="29" cm="1">
        <f t="array" ref="F488">SUMPRODUCT((Radio!$A$2:$A$1000=Радиостанции!A488)*(Radio!$B$2:$B$1000=Радиостанции!D488)*Radio!$C$2:$C$1000)</f>
        <v>0</v>
      </c>
    </row>
    <row r="489" spans="3:6" x14ac:dyDescent="0.25">
      <c r="C489" s="25" t="str">
        <f t="shared" si="7"/>
        <v/>
      </c>
      <c r="F489" s="29" cm="1">
        <f t="array" ref="F489">SUMPRODUCT((Radio!$A$2:$A$1000=Радиостанции!A489)*(Radio!$B$2:$B$1000=Радиостанции!D489)*Radio!$C$2:$C$1000)</f>
        <v>0</v>
      </c>
    </row>
    <row r="490" spans="3:6" x14ac:dyDescent="0.25">
      <c r="C490" s="25" t="str">
        <f t="shared" si="7"/>
        <v/>
      </c>
      <c r="F490" s="29" cm="1">
        <f t="array" ref="F490">SUMPRODUCT((Radio!$A$2:$A$1000=Радиостанции!A490)*(Radio!$B$2:$B$1000=Радиостанции!D490)*Radio!$C$2:$C$1000)</f>
        <v>0</v>
      </c>
    </row>
    <row r="491" spans="3:6" x14ac:dyDescent="0.25">
      <c r="C491" s="25" t="str">
        <f t="shared" si="7"/>
        <v/>
      </c>
      <c r="F491" s="29" cm="1">
        <f t="array" ref="F491">SUMPRODUCT((Radio!$A$2:$A$1000=Радиостанции!A491)*(Radio!$B$2:$B$1000=Радиостанции!D491)*Radio!$C$2:$C$1000)</f>
        <v>0</v>
      </c>
    </row>
    <row r="492" spans="3:6" x14ac:dyDescent="0.25">
      <c r="C492" s="25" t="str">
        <f t="shared" si="7"/>
        <v/>
      </c>
      <c r="F492" s="29" cm="1">
        <f t="array" ref="F492">SUMPRODUCT((Radio!$A$2:$A$1000=Радиостанции!A492)*(Radio!$B$2:$B$1000=Радиостанции!D492)*Radio!$C$2:$C$1000)</f>
        <v>0</v>
      </c>
    </row>
    <row r="493" spans="3:6" x14ac:dyDescent="0.25">
      <c r="C493" s="25" t="str">
        <f t="shared" si="7"/>
        <v/>
      </c>
      <c r="F493" s="29" cm="1">
        <f t="array" ref="F493">SUMPRODUCT((Radio!$A$2:$A$1000=Радиостанции!A493)*(Radio!$B$2:$B$1000=Радиостанции!D493)*Radio!$C$2:$C$1000)</f>
        <v>0</v>
      </c>
    </row>
    <row r="494" spans="3:6" x14ac:dyDescent="0.25">
      <c r="C494" s="25" t="str">
        <f t="shared" si="7"/>
        <v/>
      </c>
      <c r="F494" s="29" cm="1">
        <f t="array" ref="F494">SUMPRODUCT((Radio!$A$2:$A$1000=Радиостанции!A494)*(Radio!$B$2:$B$1000=Радиостанции!D494)*Radio!$C$2:$C$1000)</f>
        <v>0</v>
      </c>
    </row>
    <row r="495" spans="3:6" x14ac:dyDescent="0.25">
      <c r="C495" s="25" t="str">
        <f t="shared" si="7"/>
        <v/>
      </c>
      <c r="F495" s="29" cm="1">
        <f t="array" ref="F495">SUMPRODUCT((Radio!$A$2:$A$1000=Радиостанции!A495)*(Radio!$B$2:$B$1000=Радиостанции!D495)*Radio!$C$2:$C$1000)</f>
        <v>0</v>
      </c>
    </row>
    <row r="496" spans="3:6" x14ac:dyDescent="0.25">
      <c r="C496" s="25" t="str">
        <f t="shared" si="7"/>
        <v/>
      </c>
      <c r="F496" s="29" cm="1">
        <f t="array" ref="F496">SUMPRODUCT((Radio!$A$2:$A$1000=Радиостанции!A496)*(Radio!$B$2:$B$1000=Радиостанции!D496)*Radio!$C$2:$C$1000)</f>
        <v>0</v>
      </c>
    </row>
    <row r="497" spans="3:6" x14ac:dyDescent="0.25">
      <c r="C497" s="25" t="str">
        <f t="shared" si="7"/>
        <v/>
      </c>
      <c r="F497" s="29" cm="1">
        <f t="array" ref="F497">SUMPRODUCT((Radio!$A$2:$A$1000=Радиостанции!A497)*(Radio!$B$2:$B$1000=Радиостанции!D497)*Radio!$C$2:$C$1000)</f>
        <v>0</v>
      </c>
    </row>
    <row r="498" spans="3:6" x14ac:dyDescent="0.25">
      <c r="C498" s="25" t="str">
        <f t="shared" si="7"/>
        <v/>
      </c>
      <c r="F498" s="29" cm="1">
        <f t="array" ref="F498">SUMPRODUCT((Radio!$A$2:$A$1000=Радиостанции!A498)*(Radio!$B$2:$B$1000=Радиостанции!D498)*Radio!$C$2:$C$1000)</f>
        <v>0</v>
      </c>
    </row>
    <row r="499" spans="3:6" x14ac:dyDescent="0.25">
      <c r="C499" s="25" t="str">
        <f t="shared" si="7"/>
        <v/>
      </c>
      <c r="F499" s="29" cm="1">
        <f t="array" ref="F499">SUMPRODUCT((Radio!$A$2:$A$1000=Радиостанции!A499)*(Radio!$B$2:$B$1000=Радиостанции!D499)*Radio!$C$2:$C$1000)</f>
        <v>0</v>
      </c>
    </row>
    <row r="500" spans="3:6" x14ac:dyDescent="0.25">
      <c r="C500" s="25" t="str">
        <f t="shared" si="7"/>
        <v/>
      </c>
      <c r="F500" s="29" cm="1">
        <f t="array" ref="F500">SUMPRODUCT((Radio!$A$2:$A$1000=Радиостанции!A500)*(Radio!$B$2:$B$1000=Радиостанции!D500)*Radio!$C$2:$C$1000)</f>
        <v>0</v>
      </c>
    </row>
    <row r="501" spans="3:6" x14ac:dyDescent="0.25">
      <c r="C501" s="25" t="str">
        <f t="shared" si="7"/>
        <v/>
      </c>
      <c r="F501" s="29" cm="1">
        <f t="array" ref="F501">SUMPRODUCT((Radio!$A$2:$A$1000=Радиостанции!A501)*(Radio!$B$2:$B$1000=Радиостанции!D501)*Radio!$C$2:$C$1000)</f>
        <v>0</v>
      </c>
    </row>
    <row r="502" spans="3:6" x14ac:dyDescent="0.25">
      <c r="C502" s="25" t="str">
        <f t="shared" si="7"/>
        <v/>
      </c>
      <c r="F502" s="29" cm="1">
        <f t="array" ref="F502">SUMPRODUCT((Radio!$A$2:$A$1000=Радиостанции!A502)*(Radio!$B$2:$B$1000=Радиостанции!D502)*Radio!$C$2:$C$1000)</f>
        <v>0</v>
      </c>
    </row>
    <row r="503" spans="3:6" x14ac:dyDescent="0.25">
      <c r="C503" s="25" t="str">
        <f t="shared" si="7"/>
        <v/>
      </c>
      <c r="F503" s="29" cm="1">
        <f t="array" ref="F503">SUMPRODUCT((Radio!$A$2:$A$1000=Радиостанции!A503)*(Radio!$B$2:$B$1000=Радиостанции!D503)*Radio!$C$2:$C$1000)</f>
        <v>0</v>
      </c>
    </row>
    <row r="504" spans="3:6" x14ac:dyDescent="0.25">
      <c r="C504" s="25" t="str">
        <f t="shared" si="7"/>
        <v/>
      </c>
      <c r="F504" s="29" cm="1">
        <f t="array" ref="F504">SUMPRODUCT((Radio!$A$2:$A$1000=Радиостанции!A504)*(Radio!$B$2:$B$1000=Радиостанции!D504)*Radio!$C$2:$C$1000)</f>
        <v>0</v>
      </c>
    </row>
    <row r="505" spans="3:6" x14ac:dyDescent="0.25">
      <c r="C505" s="25" t="str">
        <f t="shared" si="7"/>
        <v/>
      </c>
      <c r="F505" s="29" cm="1">
        <f t="array" ref="F505">SUMPRODUCT((Radio!$A$2:$A$1000=Радиостанции!A505)*(Radio!$B$2:$B$1000=Радиостанции!D505)*Radio!$C$2:$C$1000)</f>
        <v>0</v>
      </c>
    </row>
    <row r="506" spans="3:6" x14ac:dyDescent="0.25">
      <c r="C506" s="25" t="str">
        <f t="shared" si="7"/>
        <v/>
      </c>
      <c r="F506" s="29" cm="1">
        <f t="array" ref="F506">SUMPRODUCT((Radio!$A$2:$A$1000=Радиостанции!A506)*(Radio!$B$2:$B$1000=Радиостанции!D506)*Radio!$C$2:$C$1000)</f>
        <v>0</v>
      </c>
    </row>
    <row r="507" spans="3:6" x14ac:dyDescent="0.25">
      <c r="C507" s="25" t="str">
        <f t="shared" si="7"/>
        <v/>
      </c>
      <c r="F507" s="29" cm="1">
        <f t="array" ref="F507">SUMPRODUCT((Radio!$A$2:$A$1000=Радиостанции!A507)*(Radio!$B$2:$B$1000=Радиостанции!D507)*Radio!$C$2:$C$1000)</f>
        <v>0</v>
      </c>
    </row>
    <row r="508" spans="3:6" x14ac:dyDescent="0.25">
      <c r="C508" s="25" t="str">
        <f t="shared" si="7"/>
        <v/>
      </c>
      <c r="F508" s="29" cm="1">
        <f t="array" ref="F508">SUMPRODUCT((Radio!$A$2:$A$1000=Радиостанции!A508)*(Radio!$B$2:$B$1000=Радиостанции!D508)*Radio!$C$2:$C$1000)</f>
        <v>0</v>
      </c>
    </row>
    <row r="509" spans="3:6" x14ac:dyDescent="0.25">
      <c r="C509" s="25" t="str">
        <f t="shared" si="7"/>
        <v/>
      </c>
      <c r="F509" s="29" cm="1">
        <f t="array" ref="F509">SUMPRODUCT((Radio!$A$2:$A$1000=Радиостанции!A509)*(Radio!$B$2:$B$1000=Радиостанции!D509)*Radio!$C$2:$C$1000)</f>
        <v>0</v>
      </c>
    </row>
    <row r="510" spans="3:6" x14ac:dyDescent="0.25">
      <c r="C510" s="25" t="str">
        <f t="shared" si="7"/>
        <v/>
      </c>
      <c r="F510" s="29" cm="1">
        <f t="array" ref="F510">SUMPRODUCT((Radio!$A$2:$A$1000=Радиостанции!A510)*(Radio!$B$2:$B$1000=Радиостанции!D510)*Radio!$C$2:$C$1000)</f>
        <v>0</v>
      </c>
    </row>
    <row r="511" spans="3:6" x14ac:dyDescent="0.25">
      <c r="C511" s="25" t="str">
        <f t="shared" si="7"/>
        <v/>
      </c>
      <c r="F511" s="29" cm="1">
        <f t="array" ref="F511">SUMPRODUCT((Radio!$A$2:$A$1000=Радиостанции!A511)*(Radio!$B$2:$B$1000=Радиостанции!D511)*Radio!$C$2:$C$1000)</f>
        <v>0</v>
      </c>
    </row>
    <row r="512" spans="3:6" x14ac:dyDescent="0.25">
      <c r="C512" s="25" t="str">
        <f t="shared" si="7"/>
        <v/>
      </c>
      <c r="F512" s="29" cm="1">
        <f t="array" ref="F512">SUMPRODUCT((Radio!$A$2:$A$1000=Радиостанции!A512)*(Radio!$B$2:$B$1000=Радиостанции!D512)*Radio!$C$2:$C$1000)</f>
        <v>0</v>
      </c>
    </row>
    <row r="513" spans="3:6" x14ac:dyDescent="0.25">
      <c r="C513" s="25" t="str">
        <f t="shared" si="7"/>
        <v/>
      </c>
      <c r="F513" s="29" cm="1">
        <f t="array" ref="F513">SUMPRODUCT((Radio!$A$2:$A$1000=Радиостанции!A513)*(Radio!$B$2:$B$1000=Радиостанции!D513)*Radio!$C$2:$C$1000)</f>
        <v>0</v>
      </c>
    </row>
    <row r="514" spans="3:6" x14ac:dyDescent="0.25">
      <c r="C514" s="25" t="str">
        <f t="shared" si="7"/>
        <v/>
      </c>
      <c r="F514" s="29" cm="1">
        <f t="array" ref="F514">SUMPRODUCT((Radio!$A$2:$A$1000=Радиостанции!A514)*(Radio!$B$2:$B$1000=Радиостанции!D514)*Radio!$C$2:$C$1000)</f>
        <v>0</v>
      </c>
    </row>
    <row r="515" spans="3:6" x14ac:dyDescent="0.25">
      <c r="C515" s="25" t="str">
        <f t="shared" ref="C515:C578" si="8">_xlfn.CONCAT(A515,B515)</f>
        <v/>
      </c>
      <c r="F515" s="29" cm="1">
        <f t="array" ref="F515">SUMPRODUCT((Radio!$A$2:$A$1000=Радиостанции!A515)*(Radio!$B$2:$B$1000=Радиостанции!D515)*Radio!$C$2:$C$1000)</f>
        <v>0</v>
      </c>
    </row>
    <row r="516" spans="3:6" x14ac:dyDescent="0.25">
      <c r="C516" s="25" t="str">
        <f t="shared" si="8"/>
        <v/>
      </c>
      <c r="F516" s="29" cm="1">
        <f t="array" ref="F516">SUMPRODUCT((Radio!$A$2:$A$1000=Радиостанции!A516)*(Radio!$B$2:$B$1000=Радиостанции!D516)*Radio!$C$2:$C$1000)</f>
        <v>0</v>
      </c>
    </row>
    <row r="517" spans="3:6" x14ac:dyDescent="0.25">
      <c r="C517" s="25" t="str">
        <f t="shared" si="8"/>
        <v/>
      </c>
      <c r="F517" s="29" cm="1">
        <f t="array" ref="F517">SUMPRODUCT((Radio!$A$2:$A$1000=Радиостанции!A517)*(Radio!$B$2:$B$1000=Радиостанции!D517)*Radio!$C$2:$C$1000)</f>
        <v>0</v>
      </c>
    </row>
    <row r="518" spans="3:6" x14ac:dyDescent="0.25">
      <c r="C518" s="25" t="str">
        <f t="shared" si="8"/>
        <v/>
      </c>
      <c r="F518" s="29" cm="1">
        <f t="array" ref="F518">SUMPRODUCT((Radio!$A$2:$A$1000=Радиостанции!A518)*(Radio!$B$2:$B$1000=Радиостанции!D518)*Radio!$C$2:$C$1000)</f>
        <v>0</v>
      </c>
    </row>
    <row r="519" spans="3:6" x14ac:dyDescent="0.25">
      <c r="C519" s="25" t="str">
        <f t="shared" si="8"/>
        <v/>
      </c>
      <c r="F519" s="29" cm="1">
        <f t="array" ref="F519">SUMPRODUCT((Radio!$A$2:$A$1000=Радиостанции!A519)*(Radio!$B$2:$B$1000=Радиостанции!D519)*Radio!$C$2:$C$1000)</f>
        <v>0</v>
      </c>
    </row>
    <row r="520" spans="3:6" x14ac:dyDescent="0.25">
      <c r="C520" s="25" t="str">
        <f t="shared" si="8"/>
        <v/>
      </c>
      <c r="F520" s="29" cm="1">
        <f t="array" ref="F520">SUMPRODUCT((Radio!$A$2:$A$1000=Радиостанции!A520)*(Radio!$B$2:$B$1000=Радиостанции!D520)*Radio!$C$2:$C$1000)</f>
        <v>0</v>
      </c>
    </row>
    <row r="521" spans="3:6" x14ac:dyDescent="0.25">
      <c r="C521" s="25" t="str">
        <f t="shared" si="8"/>
        <v/>
      </c>
      <c r="F521" s="29" cm="1">
        <f t="array" ref="F521">SUMPRODUCT((Radio!$A$2:$A$1000=Радиостанции!A521)*(Radio!$B$2:$B$1000=Радиостанции!D521)*Radio!$C$2:$C$1000)</f>
        <v>0</v>
      </c>
    </row>
    <row r="522" spans="3:6" x14ac:dyDescent="0.25">
      <c r="C522" s="25" t="str">
        <f t="shared" si="8"/>
        <v/>
      </c>
      <c r="F522" s="29" cm="1">
        <f t="array" ref="F522">SUMPRODUCT((Radio!$A$2:$A$1000=Радиостанции!A522)*(Radio!$B$2:$B$1000=Радиостанции!D522)*Radio!$C$2:$C$1000)</f>
        <v>0</v>
      </c>
    </row>
    <row r="523" spans="3:6" x14ac:dyDescent="0.25">
      <c r="C523" s="25" t="str">
        <f t="shared" si="8"/>
        <v/>
      </c>
      <c r="F523" s="29" cm="1">
        <f t="array" ref="F523">SUMPRODUCT((Radio!$A$2:$A$1000=Радиостанции!A523)*(Radio!$B$2:$B$1000=Радиостанции!D523)*Radio!$C$2:$C$1000)</f>
        <v>0</v>
      </c>
    </row>
    <row r="524" spans="3:6" x14ac:dyDescent="0.25">
      <c r="C524" s="25" t="str">
        <f t="shared" si="8"/>
        <v/>
      </c>
      <c r="F524" s="29" cm="1">
        <f t="array" ref="F524">SUMPRODUCT((Radio!$A$2:$A$1000=Радиостанции!A524)*(Radio!$B$2:$B$1000=Радиостанции!D524)*Radio!$C$2:$C$1000)</f>
        <v>0</v>
      </c>
    </row>
    <row r="525" spans="3:6" x14ac:dyDescent="0.25">
      <c r="C525" s="25" t="str">
        <f t="shared" si="8"/>
        <v/>
      </c>
      <c r="F525" s="29" cm="1">
        <f t="array" ref="F525">SUMPRODUCT((Radio!$A$2:$A$1000=Радиостанции!A525)*(Radio!$B$2:$B$1000=Радиостанции!D525)*Radio!$C$2:$C$1000)</f>
        <v>0</v>
      </c>
    </row>
    <row r="526" spans="3:6" x14ac:dyDescent="0.25">
      <c r="C526" s="25" t="str">
        <f t="shared" si="8"/>
        <v/>
      </c>
      <c r="F526" s="29" cm="1">
        <f t="array" ref="F526">SUMPRODUCT((Radio!$A$2:$A$1000=Радиостанции!A526)*(Radio!$B$2:$B$1000=Радиостанции!D526)*Radio!$C$2:$C$1000)</f>
        <v>0</v>
      </c>
    </row>
    <row r="527" spans="3:6" x14ac:dyDescent="0.25">
      <c r="C527" s="25" t="str">
        <f t="shared" si="8"/>
        <v/>
      </c>
      <c r="F527" s="29" cm="1">
        <f t="array" ref="F527">SUMPRODUCT((Radio!$A$2:$A$1000=Радиостанции!A527)*(Radio!$B$2:$B$1000=Радиостанции!D527)*Radio!$C$2:$C$1000)</f>
        <v>0</v>
      </c>
    </row>
    <row r="528" spans="3:6" x14ac:dyDescent="0.25">
      <c r="C528" s="25" t="str">
        <f t="shared" si="8"/>
        <v/>
      </c>
      <c r="F528" s="29" cm="1">
        <f t="array" ref="F528">SUMPRODUCT((Radio!$A$2:$A$1000=Радиостанции!A528)*(Radio!$B$2:$B$1000=Радиостанции!D528)*Radio!$C$2:$C$1000)</f>
        <v>0</v>
      </c>
    </row>
    <row r="529" spans="3:6" x14ac:dyDescent="0.25">
      <c r="C529" s="25" t="str">
        <f t="shared" si="8"/>
        <v/>
      </c>
      <c r="F529" s="29" cm="1">
        <f t="array" ref="F529">SUMPRODUCT((Radio!$A$2:$A$1000=Радиостанции!A529)*(Radio!$B$2:$B$1000=Радиостанции!D529)*Radio!$C$2:$C$1000)</f>
        <v>0</v>
      </c>
    </row>
    <row r="530" spans="3:6" x14ac:dyDescent="0.25">
      <c r="C530" s="25" t="str">
        <f t="shared" si="8"/>
        <v/>
      </c>
      <c r="F530" s="29" cm="1">
        <f t="array" ref="F530">SUMPRODUCT((Radio!$A$2:$A$1000=Радиостанции!A530)*(Radio!$B$2:$B$1000=Радиостанции!D530)*Radio!$C$2:$C$1000)</f>
        <v>0</v>
      </c>
    </row>
    <row r="531" spans="3:6" x14ac:dyDescent="0.25">
      <c r="C531" s="25" t="str">
        <f t="shared" si="8"/>
        <v/>
      </c>
      <c r="F531" s="29" cm="1">
        <f t="array" ref="F531">SUMPRODUCT((Radio!$A$2:$A$1000=Радиостанции!A531)*(Radio!$B$2:$B$1000=Радиостанции!D531)*Radio!$C$2:$C$1000)</f>
        <v>0</v>
      </c>
    </row>
    <row r="532" spans="3:6" x14ac:dyDescent="0.25">
      <c r="C532" s="25" t="str">
        <f t="shared" si="8"/>
        <v/>
      </c>
      <c r="F532" s="29" cm="1">
        <f t="array" ref="F532">SUMPRODUCT((Radio!$A$2:$A$1000=Радиостанции!A532)*(Radio!$B$2:$B$1000=Радиостанции!D532)*Radio!$C$2:$C$1000)</f>
        <v>0</v>
      </c>
    </row>
    <row r="533" spans="3:6" x14ac:dyDescent="0.25">
      <c r="C533" s="25" t="str">
        <f t="shared" si="8"/>
        <v/>
      </c>
      <c r="F533" s="29" cm="1">
        <f t="array" ref="F533">SUMPRODUCT((Radio!$A$2:$A$1000=Радиостанции!A533)*(Radio!$B$2:$B$1000=Радиостанции!D533)*Radio!$C$2:$C$1000)</f>
        <v>0</v>
      </c>
    </row>
    <row r="534" spans="3:6" x14ac:dyDescent="0.25">
      <c r="C534" s="25" t="str">
        <f t="shared" si="8"/>
        <v/>
      </c>
      <c r="F534" s="29" cm="1">
        <f t="array" ref="F534">SUMPRODUCT((Radio!$A$2:$A$1000=Радиостанции!A534)*(Radio!$B$2:$B$1000=Радиостанции!D534)*Radio!$C$2:$C$1000)</f>
        <v>0</v>
      </c>
    </row>
    <row r="535" spans="3:6" x14ac:dyDescent="0.25">
      <c r="C535" s="25" t="str">
        <f t="shared" si="8"/>
        <v/>
      </c>
      <c r="F535" s="29" cm="1">
        <f t="array" ref="F535">SUMPRODUCT((Radio!$A$2:$A$1000=Радиостанции!A535)*(Radio!$B$2:$B$1000=Радиостанции!D535)*Radio!$C$2:$C$1000)</f>
        <v>0</v>
      </c>
    </row>
    <row r="536" spans="3:6" x14ac:dyDescent="0.25">
      <c r="C536" s="25" t="str">
        <f t="shared" si="8"/>
        <v/>
      </c>
      <c r="F536" s="29" cm="1">
        <f t="array" ref="F536">SUMPRODUCT((Radio!$A$2:$A$1000=Радиостанции!A536)*(Radio!$B$2:$B$1000=Радиостанции!D536)*Radio!$C$2:$C$1000)</f>
        <v>0</v>
      </c>
    </row>
    <row r="537" spans="3:6" x14ac:dyDescent="0.25">
      <c r="C537" s="25" t="str">
        <f t="shared" si="8"/>
        <v/>
      </c>
      <c r="F537" s="29" cm="1">
        <f t="array" ref="F537">SUMPRODUCT((Radio!$A$2:$A$1000=Радиостанции!A537)*(Radio!$B$2:$B$1000=Радиостанции!D537)*Radio!$C$2:$C$1000)</f>
        <v>0</v>
      </c>
    </row>
    <row r="538" spans="3:6" x14ac:dyDescent="0.25">
      <c r="C538" s="25" t="str">
        <f t="shared" si="8"/>
        <v/>
      </c>
      <c r="F538" s="29" cm="1">
        <f t="array" ref="F538">SUMPRODUCT((Radio!$A$2:$A$1000=Радиостанции!A538)*(Radio!$B$2:$B$1000=Радиостанции!D538)*Radio!$C$2:$C$1000)</f>
        <v>0</v>
      </c>
    </row>
    <row r="539" spans="3:6" x14ac:dyDescent="0.25">
      <c r="C539" s="25" t="str">
        <f t="shared" si="8"/>
        <v/>
      </c>
      <c r="F539" s="29" cm="1">
        <f t="array" ref="F539">SUMPRODUCT((Radio!$A$2:$A$1000=Радиостанции!A539)*(Radio!$B$2:$B$1000=Радиостанции!D539)*Radio!$C$2:$C$1000)</f>
        <v>0</v>
      </c>
    </row>
    <row r="540" spans="3:6" x14ac:dyDescent="0.25">
      <c r="C540" s="25" t="str">
        <f t="shared" si="8"/>
        <v/>
      </c>
      <c r="F540" s="29" cm="1">
        <f t="array" ref="F540">SUMPRODUCT((Radio!$A$2:$A$1000=Радиостанции!A540)*(Radio!$B$2:$B$1000=Радиостанции!D540)*Radio!$C$2:$C$1000)</f>
        <v>0</v>
      </c>
    </row>
    <row r="541" spans="3:6" x14ac:dyDescent="0.25">
      <c r="C541" s="25" t="str">
        <f t="shared" si="8"/>
        <v/>
      </c>
      <c r="F541" s="29" cm="1">
        <f t="array" ref="F541">SUMPRODUCT((Radio!$A$2:$A$1000=Радиостанции!A541)*(Radio!$B$2:$B$1000=Радиостанции!D541)*Radio!$C$2:$C$1000)</f>
        <v>0</v>
      </c>
    </row>
    <row r="542" spans="3:6" x14ac:dyDescent="0.25">
      <c r="C542" s="25" t="str">
        <f t="shared" si="8"/>
        <v/>
      </c>
      <c r="F542" s="29" cm="1">
        <f t="array" ref="F542">SUMPRODUCT((Radio!$A$2:$A$1000=Радиостанции!A542)*(Radio!$B$2:$B$1000=Радиостанции!D542)*Radio!$C$2:$C$1000)</f>
        <v>0</v>
      </c>
    </row>
    <row r="543" spans="3:6" x14ac:dyDescent="0.25">
      <c r="C543" s="25" t="str">
        <f t="shared" si="8"/>
        <v/>
      </c>
      <c r="F543" s="29" cm="1">
        <f t="array" ref="F543">SUMPRODUCT((Radio!$A$2:$A$1000=Радиостанции!A543)*(Radio!$B$2:$B$1000=Радиостанции!D543)*Radio!$C$2:$C$1000)</f>
        <v>0</v>
      </c>
    </row>
    <row r="544" spans="3:6" x14ac:dyDescent="0.25">
      <c r="C544" s="25" t="str">
        <f t="shared" si="8"/>
        <v/>
      </c>
      <c r="F544" s="29" cm="1">
        <f t="array" ref="F544">SUMPRODUCT((Radio!$A$2:$A$1000=Радиостанции!A544)*(Radio!$B$2:$B$1000=Радиостанции!D544)*Radio!$C$2:$C$1000)</f>
        <v>0</v>
      </c>
    </row>
    <row r="545" spans="3:6" x14ac:dyDescent="0.25">
      <c r="C545" s="25" t="str">
        <f t="shared" si="8"/>
        <v/>
      </c>
      <c r="F545" s="29" cm="1">
        <f t="array" ref="F545">SUMPRODUCT((Radio!$A$2:$A$1000=Радиостанции!A545)*(Radio!$B$2:$B$1000=Радиостанции!D545)*Radio!$C$2:$C$1000)</f>
        <v>0</v>
      </c>
    </row>
    <row r="546" spans="3:6" x14ac:dyDescent="0.25">
      <c r="C546" s="25" t="str">
        <f t="shared" si="8"/>
        <v/>
      </c>
      <c r="F546" s="29" cm="1">
        <f t="array" ref="F546">SUMPRODUCT((Radio!$A$2:$A$1000=Радиостанции!A546)*(Radio!$B$2:$B$1000=Радиостанции!D546)*Radio!$C$2:$C$1000)</f>
        <v>0</v>
      </c>
    </row>
    <row r="547" spans="3:6" x14ac:dyDescent="0.25">
      <c r="C547" s="25" t="str">
        <f t="shared" si="8"/>
        <v/>
      </c>
      <c r="F547" s="29" cm="1">
        <f t="array" ref="F547">SUMPRODUCT((Radio!$A$2:$A$1000=Радиостанции!A547)*(Radio!$B$2:$B$1000=Радиостанции!D547)*Radio!$C$2:$C$1000)</f>
        <v>0</v>
      </c>
    </row>
    <row r="548" spans="3:6" x14ac:dyDescent="0.25">
      <c r="C548" s="25" t="str">
        <f t="shared" si="8"/>
        <v/>
      </c>
      <c r="F548" s="29" cm="1">
        <f t="array" ref="F548">SUMPRODUCT((Radio!$A$2:$A$1000=Радиостанции!A548)*(Radio!$B$2:$B$1000=Радиостанции!D548)*Radio!$C$2:$C$1000)</f>
        <v>0</v>
      </c>
    </row>
    <row r="549" spans="3:6" x14ac:dyDescent="0.25">
      <c r="C549" s="25" t="str">
        <f t="shared" si="8"/>
        <v/>
      </c>
      <c r="F549" s="29" cm="1">
        <f t="array" ref="F549">SUMPRODUCT((Radio!$A$2:$A$1000=Радиостанции!A549)*(Radio!$B$2:$B$1000=Радиостанции!D549)*Radio!$C$2:$C$1000)</f>
        <v>0</v>
      </c>
    </row>
    <row r="550" spans="3:6" x14ac:dyDescent="0.25">
      <c r="C550" s="25" t="str">
        <f t="shared" si="8"/>
        <v/>
      </c>
      <c r="F550" s="29" cm="1">
        <f t="array" ref="F550">SUMPRODUCT((Radio!$A$2:$A$1000=Радиостанции!A550)*(Radio!$B$2:$B$1000=Радиостанции!D550)*Radio!$C$2:$C$1000)</f>
        <v>0</v>
      </c>
    </row>
    <row r="551" spans="3:6" x14ac:dyDescent="0.25">
      <c r="C551" s="25" t="str">
        <f t="shared" si="8"/>
        <v/>
      </c>
      <c r="F551" s="29" cm="1">
        <f t="array" ref="F551">SUMPRODUCT((Radio!$A$2:$A$1000=Радиостанции!A551)*(Radio!$B$2:$B$1000=Радиостанции!D551)*Radio!$C$2:$C$1000)</f>
        <v>0</v>
      </c>
    </row>
    <row r="552" spans="3:6" x14ac:dyDescent="0.25">
      <c r="C552" s="25" t="str">
        <f t="shared" si="8"/>
        <v/>
      </c>
      <c r="F552" s="29" cm="1">
        <f t="array" ref="F552">SUMPRODUCT((Radio!$A$2:$A$1000=Радиостанции!A552)*(Radio!$B$2:$B$1000=Радиостанции!D552)*Radio!$C$2:$C$1000)</f>
        <v>0</v>
      </c>
    </row>
    <row r="553" spans="3:6" x14ac:dyDescent="0.25">
      <c r="C553" s="25" t="str">
        <f t="shared" si="8"/>
        <v/>
      </c>
      <c r="F553" s="29" cm="1">
        <f t="array" ref="F553">SUMPRODUCT((Radio!$A$2:$A$1000=Радиостанции!A553)*(Radio!$B$2:$B$1000=Радиостанции!D553)*Radio!$C$2:$C$1000)</f>
        <v>0</v>
      </c>
    </row>
    <row r="554" spans="3:6" x14ac:dyDescent="0.25">
      <c r="C554" s="25" t="str">
        <f t="shared" si="8"/>
        <v/>
      </c>
      <c r="F554" s="29" cm="1">
        <f t="array" ref="F554">SUMPRODUCT((Radio!$A$2:$A$1000=Радиостанции!A554)*(Radio!$B$2:$B$1000=Радиостанции!D554)*Radio!$C$2:$C$1000)</f>
        <v>0</v>
      </c>
    </row>
    <row r="555" spans="3:6" x14ac:dyDescent="0.25">
      <c r="C555" s="25" t="str">
        <f t="shared" si="8"/>
        <v/>
      </c>
      <c r="F555" s="29" cm="1">
        <f t="array" ref="F555">SUMPRODUCT((Radio!$A$2:$A$1000=Радиостанции!A555)*(Radio!$B$2:$B$1000=Радиостанции!D555)*Radio!$C$2:$C$1000)</f>
        <v>0</v>
      </c>
    </row>
    <row r="556" spans="3:6" x14ac:dyDescent="0.25">
      <c r="C556" s="25" t="str">
        <f t="shared" si="8"/>
        <v/>
      </c>
      <c r="F556" s="29" cm="1">
        <f t="array" ref="F556">SUMPRODUCT((Radio!$A$2:$A$1000=Радиостанции!A556)*(Radio!$B$2:$B$1000=Радиостанции!D556)*Radio!$C$2:$C$1000)</f>
        <v>0</v>
      </c>
    </row>
    <row r="557" spans="3:6" x14ac:dyDescent="0.25">
      <c r="C557" s="25" t="str">
        <f t="shared" si="8"/>
        <v/>
      </c>
      <c r="F557" s="29" cm="1">
        <f t="array" ref="F557">SUMPRODUCT((Radio!$A$2:$A$1000=Радиостанции!A557)*(Radio!$B$2:$B$1000=Радиостанции!D557)*Radio!$C$2:$C$1000)</f>
        <v>0</v>
      </c>
    </row>
    <row r="558" spans="3:6" x14ac:dyDescent="0.25">
      <c r="C558" s="25" t="str">
        <f t="shared" si="8"/>
        <v/>
      </c>
      <c r="F558" s="29" cm="1">
        <f t="array" ref="F558">SUMPRODUCT((Radio!$A$2:$A$1000=Радиостанции!A558)*(Radio!$B$2:$B$1000=Радиостанции!D558)*Radio!$C$2:$C$1000)</f>
        <v>0</v>
      </c>
    </row>
    <row r="559" spans="3:6" x14ac:dyDescent="0.25">
      <c r="C559" s="25" t="str">
        <f t="shared" si="8"/>
        <v/>
      </c>
      <c r="F559" s="29" cm="1">
        <f t="array" ref="F559">SUMPRODUCT((Radio!$A$2:$A$1000=Радиостанции!A559)*(Radio!$B$2:$B$1000=Радиостанции!D559)*Radio!$C$2:$C$1000)</f>
        <v>0</v>
      </c>
    </row>
    <row r="560" spans="3:6" x14ac:dyDescent="0.25">
      <c r="C560" s="25" t="str">
        <f t="shared" si="8"/>
        <v/>
      </c>
      <c r="F560" s="29" cm="1">
        <f t="array" ref="F560">SUMPRODUCT((Radio!$A$2:$A$1000=Радиостанции!A560)*(Radio!$B$2:$B$1000=Радиостанции!D560)*Radio!$C$2:$C$1000)</f>
        <v>0</v>
      </c>
    </row>
    <row r="561" spans="3:6" x14ac:dyDescent="0.25">
      <c r="C561" s="25" t="str">
        <f t="shared" si="8"/>
        <v/>
      </c>
      <c r="F561" s="29" cm="1">
        <f t="array" ref="F561">SUMPRODUCT((Radio!$A$2:$A$1000=Радиостанции!A561)*(Radio!$B$2:$B$1000=Радиостанции!D561)*Radio!$C$2:$C$1000)</f>
        <v>0</v>
      </c>
    </row>
    <row r="562" spans="3:6" x14ac:dyDescent="0.25">
      <c r="C562" s="25" t="str">
        <f t="shared" si="8"/>
        <v/>
      </c>
      <c r="F562" s="29" cm="1">
        <f t="array" ref="F562">SUMPRODUCT((Radio!$A$2:$A$1000=Радиостанции!A562)*(Radio!$B$2:$B$1000=Радиостанции!D562)*Radio!$C$2:$C$1000)</f>
        <v>0</v>
      </c>
    </row>
    <row r="563" spans="3:6" x14ac:dyDescent="0.25">
      <c r="C563" s="25" t="str">
        <f t="shared" si="8"/>
        <v/>
      </c>
      <c r="F563" s="29" cm="1">
        <f t="array" ref="F563">SUMPRODUCT((Radio!$A$2:$A$1000=Радиостанции!A563)*(Radio!$B$2:$B$1000=Радиостанции!D563)*Radio!$C$2:$C$1000)</f>
        <v>0</v>
      </c>
    </row>
    <row r="564" spans="3:6" x14ac:dyDescent="0.25">
      <c r="C564" s="25" t="str">
        <f t="shared" si="8"/>
        <v/>
      </c>
      <c r="F564" s="29" cm="1">
        <f t="array" ref="F564">SUMPRODUCT((Radio!$A$2:$A$1000=Радиостанции!A564)*(Radio!$B$2:$B$1000=Радиостанции!D564)*Radio!$C$2:$C$1000)</f>
        <v>0</v>
      </c>
    </row>
    <row r="565" spans="3:6" x14ac:dyDescent="0.25">
      <c r="C565" s="25" t="str">
        <f t="shared" si="8"/>
        <v/>
      </c>
      <c r="F565" s="29" cm="1">
        <f t="array" ref="F565">SUMPRODUCT((Radio!$A$2:$A$1000=Радиостанции!A565)*(Radio!$B$2:$B$1000=Радиостанции!D565)*Radio!$C$2:$C$1000)</f>
        <v>0</v>
      </c>
    </row>
    <row r="566" spans="3:6" x14ac:dyDescent="0.25">
      <c r="C566" s="25" t="str">
        <f t="shared" si="8"/>
        <v/>
      </c>
      <c r="F566" s="29" cm="1">
        <f t="array" ref="F566">SUMPRODUCT((Radio!$A$2:$A$1000=Радиостанции!A566)*(Radio!$B$2:$B$1000=Радиостанции!D566)*Radio!$C$2:$C$1000)</f>
        <v>0</v>
      </c>
    </row>
    <row r="567" spans="3:6" x14ac:dyDescent="0.25">
      <c r="C567" s="25" t="str">
        <f t="shared" si="8"/>
        <v/>
      </c>
      <c r="F567" s="29" cm="1">
        <f t="array" ref="F567">SUMPRODUCT((Radio!$A$2:$A$1000=Радиостанции!A567)*(Radio!$B$2:$B$1000=Радиостанции!D567)*Radio!$C$2:$C$1000)</f>
        <v>0</v>
      </c>
    </row>
    <row r="568" spans="3:6" x14ac:dyDescent="0.25">
      <c r="C568" s="25" t="str">
        <f t="shared" si="8"/>
        <v/>
      </c>
      <c r="F568" s="29" cm="1">
        <f t="array" ref="F568">SUMPRODUCT((Radio!$A$2:$A$1000=Радиостанции!A568)*(Radio!$B$2:$B$1000=Радиостанции!D568)*Radio!$C$2:$C$1000)</f>
        <v>0</v>
      </c>
    </row>
    <row r="569" spans="3:6" x14ac:dyDescent="0.25">
      <c r="C569" s="25" t="str">
        <f t="shared" si="8"/>
        <v/>
      </c>
      <c r="F569" s="29" cm="1">
        <f t="array" ref="F569">SUMPRODUCT((Radio!$A$2:$A$1000=Радиостанции!A569)*(Radio!$B$2:$B$1000=Радиостанции!D569)*Radio!$C$2:$C$1000)</f>
        <v>0</v>
      </c>
    </row>
    <row r="570" spans="3:6" x14ac:dyDescent="0.25">
      <c r="C570" s="25" t="str">
        <f t="shared" si="8"/>
        <v/>
      </c>
      <c r="F570" s="29" cm="1">
        <f t="array" ref="F570">SUMPRODUCT((Radio!$A$2:$A$1000=Радиостанции!A570)*(Radio!$B$2:$B$1000=Радиостанции!D570)*Radio!$C$2:$C$1000)</f>
        <v>0</v>
      </c>
    </row>
    <row r="571" spans="3:6" x14ac:dyDescent="0.25">
      <c r="C571" s="25" t="str">
        <f t="shared" si="8"/>
        <v/>
      </c>
      <c r="F571" s="29" cm="1">
        <f t="array" ref="F571">SUMPRODUCT((Radio!$A$2:$A$1000=Радиостанции!A571)*(Radio!$B$2:$B$1000=Радиостанции!D571)*Radio!$C$2:$C$1000)</f>
        <v>0</v>
      </c>
    </row>
    <row r="572" spans="3:6" x14ac:dyDescent="0.25">
      <c r="C572" s="25" t="str">
        <f t="shared" si="8"/>
        <v/>
      </c>
      <c r="F572" s="29" cm="1">
        <f t="array" ref="F572">SUMPRODUCT((Radio!$A$2:$A$1000=Радиостанции!A572)*(Radio!$B$2:$B$1000=Радиостанции!D572)*Radio!$C$2:$C$1000)</f>
        <v>0</v>
      </c>
    </row>
    <row r="573" spans="3:6" x14ac:dyDescent="0.25">
      <c r="C573" s="25" t="str">
        <f t="shared" si="8"/>
        <v/>
      </c>
      <c r="F573" s="29" cm="1">
        <f t="array" ref="F573">SUMPRODUCT((Radio!$A$2:$A$1000=Радиостанции!A573)*(Radio!$B$2:$B$1000=Радиостанции!D573)*Radio!$C$2:$C$1000)</f>
        <v>0</v>
      </c>
    </row>
    <row r="574" spans="3:6" x14ac:dyDescent="0.25">
      <c r="C574" s="25" t="str">
        <f t="shared" si="8"/>
        <v/>
      </c>
      <c r="F574" s="29" cm="1">
        <f t="array" ref="F574">SUMPRODUCT((Radio!$A$2:$A$1000=Радиостанции!A574)*(Radio!$B$2:$B$1000=Радиостанции!D574)*Radio!$C$2:$C$1000)</f>
        <v>0</v>
      </c>
    </row>
    <row r="575" spans="3:6" x14ac:dyDescent="0.25">
      <c r="C575" s="25" t="str">
        <f t="shared" si="8"/>
        <v/>
      </c>
      <c r="F575" s="29" cm="1">
        <f t="array" ref="F575">SUMPRODUCT((Radio!$A$2:$A$1000=Радиостанции!A575)*(Radio!$B$2:$B$1000=Радиостанции!D575)*Radio!$C$2:$C$1000)</f>
        <v>0</v>
      </c>
    </row>
    <row r="576" spans="3:6" x14ac:dyDescent="0.25">
      <c r="C576" s="25" t="str">
        <f t="shared" si="8"/>
        <v/>
      </c>
      <c r="F576" s="29" cm="1">
        <f t="array" ref="F576">SUMPRODUCT((Radio!$A$2:$A$1000=Радиостанции!A576)*(Radio!$B$2:$B$1000=Радиостанции!D576)*Radio!$C$2:$C$1000)</f>
        <v>0</v>
      </c>
    </row>
    <row r="577" spans="3:6" x14ac:dyDescent="0.25">
      <c r="C577" s="25" t="str">
        <f t="shared" si="8"/>
        <v/>
      </c>
      <c r="F577" s="29" cm="1">
        <f t="array" ref="F577">SUMPRODUCT((Radio!$A$2:$A$1000=Радиостанции!A577)*(Radio!$B$2:$B$1000=Радиостанции!D577)*Radio!$C$2:$C$1000)</f>
        <v>0</v>
      </c>
    </row>
    <row r="578" spans="3:6" x14ac:dyDescent="0.25">
      <c r="C578" s="25" t="str">
        <f t="shared" si="8"/>
        <v/>
      </c>
      <c r="F578" s="29" cm="1">
        <f t="array" ref="F578">SUMPRODUCT((Radio!$A$2:$A$1000=Радиостанции!A578)*(Radio!$B$2:$B$1000=Радиостанции!D578)*Radio!$C$2:$C$1000)</f>
        <v>0</v>
      </c>
    </row>
    <row r="579" spans="3:6" x14ac:dyDescent="0.25">
      <c r="C579" s="25" t="str">
        <f t="shared" ref="C579:C642" si="9">_xlfn.CONCAT(A579,B579)</f>
        <v/>
      </c>
      <c r="F579" s="29" cm="1">
        <f t="array" ref="F579">SUMPRODUCT((Radio!$A$2:$A$1000=Радиостанции!A579)*(Radio!$B$2:$B$1000=Радиостанции!D579)*Radio!$C$2:$C$1000)</f>
        <v>0</v>
      </c>
    </row>
    <row r="580" spans="3:6" x14ac:dyDescent="0.25">
      <c r="C580" s="25" t="str">
        <f t="shared" si="9"/>
        <v/>
      </c>
      <c r="F580" s="29" cm="1">
        <f t="array" ref="F580">SUMPRODUCT((Radio!$A$2:$A$1000=Радиостанции!A580)*(Radio!$B$2:$B$1000=Радиостанции!D580)*Radio!$C$2:$C$1000)</f>
        <v>0</v>
      </c>
    </row>
    <row r="581" spans="3:6" x14ac:dyDescent="0.25">
      <c r="C581" s="25" t="str">
        <f t="shared" si="9"/>
        <v/>
      </c>
      <c r="F581" s="29" cm="1">
        <f t="array" ref="F581">SUMPRODUCT((Radio!$A$2:$A$1000=Радиостанции!A581)*(Radio!$B$2:$B$1000=Радиостанции!D581)*Radio!$C$2:$C$1000)</f>
        <v>0</v>
      </c>
    </row>
    <row r="582" spans="3:6" x14ac:dyDescent="0.25">
      <c r="C582" s="25" t="str">
        <f t="shared" si="9"/>
        <v/>
      </c>
      <c r="F582" s="29" cm="1">
        <f t="array" ref="F582">SUMPRODUCT((Radio!$A$2:$A$1000=Радиостанции!A582)*(Radio!$B$2:$B$1000=Радиостанции!D582)*Radio!$C$2:$C$1000)</f>
        <v>0</v>
      </c>
    </row>
    <row r="583" spans="3:6" x14ac:dyDescent="0.25">
      <c r="C583" s="25" t="str">
        <f t="shared" si="9"/>
        <v/>
      </c>
      <c r="F583" s="29" cm="1">
        <f t="array" ref="F583">SUMPRODUCT((Radio!$A$2:$A$1000=Радиостанции!A583)*(Radio!$B$2:$B$1000=Радиостанции!D583)*Radio!$C$2:$C$1000)</f>
        <v>0</v>
      </c>
    </row>
    <row r="584" spans="3:6" x14ac:dyDescent="0.25">
      <c r="C584" s="25" t="str">
        <f t="shared" si="9"/>
        <v/>
      </c>
      <c r="F584" s="29" cm="1">
        <f t="array" ref="F584">SUMPRODUCT((Radio!$A$2:$A$1000=Радиостанции!A584)*(Radio!$B$2:$B$1000=Радиостанции!D584)*Radio!$C$2:$C$1000)</f>
        <v>0</v>
      </c>
    </row>
    <row r="585" spans="3:6" x14ac:dyDescent="0.25">
      <c r="C585" s="25" t="str">
        <f t="shared" si="9"/>
        <v/>
      </c>
      <c r="F585" s="29" cm="1">
        <f t="array" ref="F585">SUMPRODUCT((Radio!$A$2:$A$1000=Радиостанции!A585)*(Radio!$B$2:$B$1000=Радиостанции!D585)*Radio!$C$2:$C$1000)</f>
        <v>0</v>
      </c>
    </row>
    <row r="586" spans="3:6" x14ac:dyDescent="0.25">
      <c r="C586" s="25" t="str">
        <f t="shared" si="9"/>
        <v/>
      </c>
      <c r="F586" s="29" cm="1">
        <f t="array" ref="F586">SUMPRODUCT((Radio!$A$2:$A$1000=Радиостанции!A586)*(Radio!$B$2:$B$1000=Радиостанции!D586)*Radio!$C$2:$C$1000)</f>
        <v>0</v>
      </c>
    </row>
    <row r="587" spans="3:6" x14ac:dyDescent="0.25">
      <c r="C587" s="25" t="str">
        <f t="shared" si="9"/>
        <v/>
      </c>
      <c r="F587" s="29" cm="1">
        <f t="array" ref="F587">SUMPRODUCT((Radio!$A$2:$A$1000=Радиостанции!A587)*(Radio!$B$2:$B$1000=Радиостанции!D587)*Radio!$C$2:$C$1000)</f>
        <v>0</v>
      </c>
    </row>
    <row r="588" spans="3:6" x14ac:dyDescent="0.25">
      <c r="C588" s="25" t="str">
        <f t="shared" si="9"/>
        <v/>
      </c>
      <c r="F588" s="29" cm="1">
        <f t="array" ref="F588">SUMPRODUCT((Radio!$A$2:$A$1000=Радиостанции!A588)*(Radio!$B$2:$B$1000=Радиостанции!D588)*Radio!$C$2:$C$1000)</f>
        <v>0</v>
      </c>
    </row>
    <row r="589" spans="3:6" x14ac:dyDescent="0.25">
      <c r="C589" s="25" t="str">
        <f t="shared" si="9"/>
        <v/>
      </c>
      <c r="F589" s="29" cm="1">
        <f t="array" ref="F589">SUMPRODUCT((Radio!$A$2:$A$1000=Радиостанции!A589)*(Radio!$B$2:$B$1000=Радиостанции!D589)*Radio!$C$2:$C$1000)</f>
        <v>0</v>
      </c>
    </row>
    <row r="590" spans="3:6" x14ac:dyDescent="0.25">
      <c r="C590" s="25" t="str">
        <f t="shared" si="9"/>
        <v/>
      </c>
      <c r="F590" s="29" cm="1">
        <f t="array" ref="F590">SUMPRODUCT((Radio!$A$2:$A$1000=Радиостанции!A590)*(Radio!$B$2:$B$1000=Радиостанции!D590)*Radio!$C$2:$C$1000)</f>
        <v>0</v>
      </c>
    </row>
    <row r="591" spans="3:6" x14ac:dyDescent="0.25">
      <c r="C591" s="25" t="str">
        <f t="shared" si="9"/>
        <v/>
      </c>
      <c r="F591" s="29" cm="1">
        <f t="array" ref="F591">SUMPRODUCT((Radio!$A$2:$A$1000=Радиостанции!A591)*(Radio!$B$2:$B$1000=Радиостанции!D591)*Radio!$C$2:$C$1000)</f>
        <v>0</v>
      </c>
    </row>
    <row r="592" spans="3:6" x14ac:dyDescent="0.25">
      <c r="C592" s="25" t="str">
        <f t="shared" si="9"/>
        <v/>
      </c>
      <c r="F592" s="29" cm="1">
        <f t="array" ref="F592">SUMPRODUCT((Radio!$A$2:$A$1000=Радиостанции!A592)*(Radio!$B$2:$B$1000=Радиостанции!D592)*Radio!$C$2:$C$1000)</f>
        <v>0</v>
      </c>
    </row>
    <row r="593" spans="3:6" x14ac:dyDescent="0.25">
      <c r="C593" s="25" t="str">
        <f t="shared" si="9"/>
        <v/>
      </c>
      <c r="F593" s="29" cm="1">
        <f t="array" ref="F593">SUMPRODUCT((Radio!$A$2:$A$1000=Радиостанции!A593)*(Radio!$B$2:$B$1000=Радиостанции!D593)*Radio!$C$2:$C$1000)</f>
        <v>0</v>
      </c>
    </row>
    <row r="594" spans="3:6" x14ac:dyDescent="0.25">
      <c r="C594" s="25" t="str">
        <f t="shared" si="9"/>
        <v/>
      </c>
      <c r="F594" s="29" cm="1">
        <f t="array" ref="F594">SUMPRODUCT((Radio!$A$2:$A$1000=Радиостанции!A594)*(Radio!$B$2:$B$1000=Радиостанции!D594)*Radio!$C$2:$C$1000)</f>
        <v>0</v>
      </c>
    </row>
    <row r="595" spans="3:6" x14ac:dyDescent="0.25">
      <c r="C595" s="25" t="str">
        <f t="shared" si="9"/>
        <v/>
      </c>
      <c r="F595" s="29" cm="1">
        <f t="array" ref="F595">SUMPRODUCT((Radio!$A$2:$A$1000=Радиостанции!A595)*(Radio!$B$2:$B$1000=Радиостанции!D595)*Radio!$C$2:$C$1000)</f>
        <v>0</v>
      </c>
    </row>
    <row r="596" spans="3:6" x14ac:dyDescent="0.25">
      <c r="C596" s="25" t="str">
        <f t="shared" si="9"/>
        <v/>
      </c>
      <c r="F596" s="29" cm="1">
        <f t="array" ref="F596">SUMPRODUCT((Radio!$A$2:$A$1000=Радиостанции!A596)*(Radio!$B$2:$B$1000=Радиостанции!D596)*Radio!$C$2:$C$1000)</f>
        <v>0</v>
      </c>
    </row>
    <row r="597" spans="3:6" x14ac:dyDescent="0.25">
      <c r="C597" s="25" t="str">
        <f t="shared" si="9"/>
        <v/>
      </c>
      <c r="F597" s="29" cm="1">
        <f t="array" ref="F597">SUMPRODUCT((Radio!$A$2:$A$1000=Радиостанции!A597)*(Radio!$B$2:$B$1000=Радиостанции!D597)*Radio!$C$2:$C$1000)</f>
        <v>0</v>
      </c>
    </row>
    <row r="598" spans="3:6" x14ac:dyDescent="0.25">
      <c r="C598" s="25" t="str">
        <f t="shared" si="9"/>
        <v/>
      </c>
      <c r="F598" s="29" cm="1">
        <f t="array" ref="F598">SUMPRODUCT((Radio!$A$2:$A$1000=Радиостанции!A598)*(Radio!$B$2:$B$1000=Радиостанции!D598)*Radio!$C$2:$C$1000)</f>
        <v>0</v>
      </c>
    </row>
    <row r="599" spans="3:6" x14ac:dyDescent="0.25">
      <c r="C599" s="25" t="str">
        <f t="shared" si="9"/>
        <v/>
      </c>
      <c r="F599" s="29" cm="1">
        <f t="array" ref="F599">SUMPRODUCT((Radio!$A$2:$A$1000=Радиостанции!A599)*(Radio!$B$2:$B$1000=Радиостанции!D599)*Radio!$C$2:$C$1000)</f>
        <v>0</v>
      </c>
    </row>
    <row r="600" spans="3:6" x14ac:dyDescent="0.25">
      <c r="C600" s="25" t="str">
        <f t="shared" si="9"/>
        <v/>
      </c>
      <c r="F600" s="29" cm="1">
        <f t="array" ref="F600">SUMPRODUCT((Radio!$A$2:$A$1000=Радиостанции!A600)*(Radio!$B$2:$B$1000=Радиостанции!D600)*Radio!$C$2:$C$1000)</f>
        <v>0</v>
      </c>
    </row>
    <row r="601" spans="3:6" x14ac:dyDescent="0.25">
      <c r="C601" s="25" t="str">
        <f t="shared" si="9"/>
        <v/>
      </c>
      <c r="F601" s="29" cm="1">
        <f t="array" ref="F601">SUMPRODUCT((Radio!$A$2:$A$1000=Радиостанции!A601)*(Radio!$B$2:$B$1000=Радиостанции!D601)*Radio!$C$2:$C$1000)</f>
        <v>0</v>
      </c>
    </row>
    <row r="602" spans="3:6" x14ac:dyDescent="0.25">
      <c r="C602" s="25" t="str">
        <f t="shared" si="9"/>
        <v/>
      </c>
      <c r="F602" s="29" cm="1">
        <f t="array" ref="F602">SUMPRODUCT((Radio!$A$2:$A$1000=Радиостанции!A602)*(Radio!$B$2:$B$1000=Радиостанции!D602)*Radio!$C$2:$C$1000)</f>
        <v>0</v>
      </c>
    </row>
    <row r="603" spans="3:6" x14ac:dyDescent="0.25">
      <c r="C603" s="25" t="str">
        <f t="shared" si="9"/>
        <v/>
      </c>
      <c r="F603" s="29" cm="1">
        <f t="array" ref="F603">SUMPRODUCT((Radio!$A$2:$A$1000=Радиостанции!A603)*(Radio!$B$2:$B$1000=Радиостанции!D603)*Radio!$C$2:$C$1000)</f>
        <v>0</v>
      </c>
    </row>
    <row r="604" spans="3:6" x14ac:dyDescent="0.25">
      <c r="C604" s="25" t="str">
        <f t="shared" si="9"/>
        <v/>
      </c>
      <c r="F604" s="29" cm="1">
        <f t="array" ref="F604">SUMPRODUCT((Radio!$A$2:$A$1000=Радиостанции!A604)*(Radio!$B$2:$B$1000=Радиостанции!D604)*Radio!$C$2:$C$1000)</f>
        <v>0</v>
      </c>
    </row>
    <row r="605" spans="3:6" x14ac:dyDescent="0.25">
      <c r="C605" s="25" t="str">
        <f t="shared" si="9"/>
        <v/>
      </c>
      <c r="F605" s="29" cm="1">
        <f t="array" ref="F605">SUMPRODUCT((Radio!$A$2:$A$1000=Радиостанции!A605)*(Radio!$B$2:$B$1000=Радиостанции!D605)*Radio!$C$2:$C$1000)</f>
        <v>0</v>
      </c>
    </row>
    <row r="606" spans="3:6" x14ac:dyDescent="0.25">
      <c r="C606" s="25" t="str">
        <f t="shared" si="9"/>
        <v/>
      </c>
      <c r="F606" s="29" cm="1">
        <f t="array" ref="F606">SUMPRODUCT((Radio!$A$2:$A$1000=Радиостанции!A606)*(Radio!$B$2:$B$1000=Радиостанции!D606)*Radio!$C$2:$C$1000)</f>
        <v>0</v>
      </c>
    </row>
    <row r="607" spans="3:6" x14ac:dyDescent="0.25">
      <c r="C607" s="25" t="str">
        <f t="shared" si="9"/>
        <v/>
      </c>
      <c r="F607" s="29" cm="1">
        <f t="array" ref="F607">SUMPRODUCT((Radio!$A$2:$A$1000=Радиостанции!A607)*(Radio!$B$2:$B$1000=Радиостанции!D607)*Radio!$C$2:$C$1000)</f>
        <v>0</v>
      </c>
    </row>
    <row r="608" spans="3:6" x14ac:dyDescent="0.25">
      <c r="C608" s="25" t="str">
        <f t="shared" si="9"/>
        <v/>
      </c>
      <c r="F608" s="29" cm="1">
        <f t="array" ref="F608">SUMPRODUCT((Radio!$A$2:$A$1000=Радиостанции!A608)*(Radio!$B$2:$B$1000=Радиостанции!D608)*Radio!$C$2:$C$1000)</f>
        <v>0</v>
      </c>
    </row>
    <row r="609" spans="3:6" x14ac:dyDescent="0.25">
      <c r="C609" s="25" t="str">
        <f t="shared" si="9"/>
        <v/>
      </c>
      <c r="F609" s="29" cm="1">
        <f t="array" ref="F609">SUMPRODUCT((Radio!$A$2:$A$1000=Радиостанции!A609)*(Radio!$B$2:$B$1000=Радиостанции!D609)*Radio!$C$2:$C$1000)</f>
        <v>0</v>
      </c>
    </row>
    <row r="610" spans="3:6" x14ac:dyDescent="0.25">
      <c r="C610" s="25" t="str">
        <f t="shared" si="9"/>
        <v/>
      </c>
      <c r="F610" s="29" cm="1">
        <f t="array" ref="F610">SUMPRODUCT((Radio!$A$2:$A$1000=Радиостанции!A610)*(Radio!$B$2:$B$1000=Радиостанции!D610)*Radio!$C$2:$C$1000)</f>
        <v>0</v>
      </c>
    </row>
    <row r="611" spans="3:6" x14ac:dyDescent="0.25">
      <c r="C611" s="25" t="str">
        <f t="shared" si="9"/>
        <v/>
      </c>
      <c r="F611" s="29" cm="1">
        <f t="array" ref="F611">SUMPRODUCT((Radio!$A$2:$A$1000=Радиостанции!A611)*(Radio!$B$2:$B$1000=Радиостанции!D611)*Radio!$C$2:$C$1000)</f>
        <v>0</v>
      </c>
    </row>
    <row r="612" spans="3:6" x14ac:dyDescent="0.25">
      <c r="C612" s="25" t="str">
        <f t="shared" si="9"/>
        <v/>
      </c>
      <c r="F612" s="29" cm="1">
        <f t="array" ref="F612">SUMPRODUCT((Radio!$A$2:$A$1000=Радиостанции!A612)*(Radio!$B$2:$B$1000=Радиостанции!D612)*Radio!$C$2:$C$1000)</f>
        <v>0</v>
      </c>
    </row>
    <row r="613" spans="3:6" x14ac:dyDescent="0.25">
      <c r="C613" s="25" t="str">
        <f t="shared" si="9"/>
        <v/>
      </c>
      <c r="F613" s="29" cm="1">
        <f t="array" ref="F613">SUMPRODUCT((Radio!$A$2:$A$1000=Радиостанции!A613)*(Radio!$B$2:$B$1000=Радиостанции!D613)*Radio!$C$2:$C$1000)</f>
        <v>0</v>
      </c>
    </row>
    <row r="614" spans="3:6" x14ac:dyDescent="0.25">
      <c r="C614" s="25" t="str">
        <f t="shared" si="9"/>
        <v/>
      </c>
      <c r="F614" s="29" cm="1">
        <f t="array" ref="F614">SUMPRODUCT((Radio!$A$2:$A$1000=Радиостанции!A614)*(Radio!$B$2:$B$1000=Радиостанции!D614)*Radio!$C$2:$C$1000)</f>
        <v>0</v>
      </c>
    </row>
    <row r="615" spans="3:6" x14ac:dyDescent="0.25">
      <c r="C615" s="25" t="str">
        <f t="shared" si="9"/>
        <v/>
      </c>
      <c r="F615" s="29" cm="1">
        <f t="array" ref="F615">SUMPRODUCT((Radio!$A$2:$A$1000=Радиостанции!A615)*(Radio!$B$2:$B$1000=Радиостанции!D615)*Radio!$C$2:$C$1000)</f>
        <v>0</v>
      </c>
    </row>
    <row r="616" spans="3:6" x14ac:dyDescent="0.25">
      <c r="C616" s="25" t="str">
        <f t="shared" si="9"/>
        <v/>
      </c>
      <c r="F616" s="29" cm="1">
        <f t="array" ref="F616">SUMPRODUCT((Radio!$A$2:$A$1000=Радиостанции!A616)*(Radio!$B$2:$B$1000=Радиостанции!D616)*Radio!$C$2:$C$1000)</f>
        <v>0</v>
      </c>
    </row>
    <row r="617" spans="3:6" x14ac:dyDescent="0.25">
      <c r="C617" s="25" t="str">
        <f t="shared" si="9"/>
        <v/>
      </c>
      <c r="F617" s="29" cm="1">
        <f t="array" ref="F617">SUMPRODUCT((Radio!$A$2:$A$1000=Радиостанции!A617)*(Radio!$B$2:$B$1000=Радиостанции!D617)*Radio!$C$2:$C$1000)</f>
        <v>0</v>
      </c>
    </row>
    <row r="618" spans="3:6" x14ac:dyDescent="0.25">
      <c r="C618" s="25" t="str">
        <f t="shared" si="9"/>
        <v/>
      </c>
      <c r="F618" s="29" cm="1">
        <f t="array" ref="F618">SUMPRODUCT((Radio!$A$2:$A$1000=Радиостанции!A618)*(Radio!$B$2:$B$1000=Радиостанции!D618)*Radio!$C$2:$C$1000)</f>
        <v>0</v>
      </c>
    </row>
    <row r="619" spans="3:6" x14ac:dyDescent="0.25">
      <c r="C619" s="25" t="str">
        <f t="shared" si="9"/>
        <v/>
      </c>
      <c r="F619" s="29" cm="1">
        <f t="array" ref="F619">SUMPRODUCT((Radio!$A$2:$A$1000=Радиостанции!A619)*(Radio!$B$2:$B$1000=Радиостанции!D619)*Radio!$C$2:$C$1000)</f>
        <v>0</v>
      </c>
    </row>
    <row r="620" spans="3:6" x14ac:dyDescent="0.25">
      <c r="C620" s="25" t="str">
        <f t="shared" si="9"/>
        <v/>
      </c>
      <c r="F620" s="29" cm="1">
        <f t="array" ref="F620">SUMPRODUCT((Radio!$A$2:$A$1000=Радиостанции!A620)*(Radio!$B$2:$B$1000=Радиостанции!D620)*Radio!$C$2:$C$1000)</f>
        <v>0</v>
      </c>
    </row>
    <row r="621" spans="3:6" x14ac:dyDescent="0.25">
      <c r="C621" s="25" t="str">
        <f t="shared" si="9"/>
        <v/>
      </c>
      <c r="F621" s="29" cm="1">
        <f t="array" ref="F621">SUMPRODUCT((Radio!$A$2:$A$1000=Радиостанции!A621)*(Radio!$B$2:$B$1000=Радиостанции!D621)*Radio!$C$2:$C$1000)</f>
        <v>0</v>
      </c>
    </row>
    <row r="622" spans="3:6" x14ac:dyDescent="0.25">
      <c r="C622" s="25" t="str">
        <f t="shared" si="9"/>
        <v/>
      </c>
      <c r="F622" s="29" cm="1">
        <f t="array" ref="F622">SUMPRODUCT((Radio!$A$2:$A$1000=Радиостанции!A622)*(Radio!$B$2:$B$1000=Радиостанции!D622)*Radio!$C$2:$C$1000)</f>
        <v>0</v>
      </c>
    </row>
    <row r="623" spans="3:6" x14ac:dyDescent="0.25">
      <c r="C623" s="25" t="str">
        <f t="shared" si="9"/>
        <v/>
      </c>
      <c r="F623" s="29" cm="1">
        <f t="array" ref="F623">SUMPRODUCT((Radio!$A$2:$A$1000=Радиостанции!A623)*(Radio!$B$2:$B$1000=Радиостанции!D623)*Radio!$C$2:$C$1000)</f>
        <v>0</v>
      </c>
    </row>
    <row r="624" spans="3:6" x14ac:dyDescent="0.25">
      <c r="C624" s="25" t="str">
        <f t="shared" si="9"/>
        <v/>
      </c>
      <c r="F624" s="29" cm="1">
        <f t="array" ref="F624">SUMPRODUCT((Radio!$A$2:$A$1000=Радиостанции!A624)*(Radio!$B$2:$B$1000=Радиостанции!D624)*Radio!$C$2:$C$1000)</f>
        <v>0</v>
      </c>
    </row>
    <row r="625" spans="3:6" x14ac:dyDescent="0.25">
      <c r="C625" s="25" t="str">
        <f t="shared" si="9"/>
        <v/>
      </c>
      <c r="F625" s="29" cm="1">
        <f t="array" ref="F625">SUMPRODUCT((Radio!$A$2:$A$1000=Радиостанции!A625)*(Radio!$B$2:$B$1000=Радиостанции!D625)*Radio!$C$2:$C$1000)</f>
        <v>0</v>
      </c>
    </row>
    <row r="626" spans="3:6" x14ac:dyDescent="0.25">
      <c r="C626" s="25" t="str">
        <f t="shared" si="9"/>
        <v/>
      </c>
      <c r="F626" s="29" cm="1">
        <f t="array" ref="F626">SUMPRODUCT((Radio!$A$2:$A$1000=Радиостанции!A626)*(Radio!$B$2:$B$1000=Радиостанции!D626)*Radio!$C$2:$C$1000)</f>
        <v>0</v>
      </c>
    </row>
    <row r="627" spans="3:6" x14ac:dyDescent="0.25">
      <c r="C627" s="25" t="str">
        <f t="shared" si="9"/>
        <v/>
      </c>
      <c r="F627" s="29" cm="1">
        <f t="array" ref="F627">SUMPRODUCT((Radio!$A$2:$A$1000=Радиостанции!A627)*(Radio!$B$2:$B$1000=Радиостанции!D627)*Radio!$C$2:$C$1000)</f>
        <v>0</v>
      </c>
    </row>
    <row r="628" spans="3:6" x14ac:dyDescent="0.25">
      <c r="C628" s="25" t="str">
        <f t="shared" si="9"/>
        <v/>
      </c>
      <c r="F628" s="29" cm="1">
        <f t="array" ref="F628">SUMPRODUCT((Radio!$A$2:$A$1000=Радиостанции!A628)*(Radio!$B$2:$B$1000=Радиостанции!D628)*Radio!$C$2:$C$1000)</f>
        <v>0</v>
      </c>
    </row>
    <row r="629" spans="3:6" x14ac:dyDescent="0.25">
      <c r="C629" s="25" t="str">
        <f t="shared" si="9"/>
        <v/>
      </c>
      <c r="F629" s="29" cm="1">
        <f t="array" ref="F629">SUMPRODUCT((Radio!$A$2:$A$1000=Радиостанции!A629)*(Radio!$B$2:$B$1000=Радиостанции!D629)*Radio!$C$2:$C$1000)</f>
        <v>0</v>
      </c>
    </row>
    <row r="630" spans="3:6" x14ac:dyDescent="0.25">
      <c r="C630" s="25" t="str">
        <f t="shared" si="9"/>
        <v/>
      </c>
      <c r="F630" s="29" cm="1">
        <f t="array" ref="F630">SUMPRODUCT((Radio!$A$2:$A$1000=Радиостанции!A630)*(Radio!$B$2:$B$1000=Радиостанции!D630)*Radio!$C$2:$C$1000)</f>
        <v>0</v>
      </c>
    </row>
    <row r="631" spans="3:6" x14ac:dyDescent="0.25">
      <c r="C631" s="25" t="str">
        <f t="shared" si="9"/>
        <v/>
      </c>
      <c r="F631" s="29" cm="1">
        <f t="array" ref="F631">SUMPRODUCT((Radio!$A$2:$A$1000=Радиостанции!A631)*(Radio!$B$2:$B$1000=Радиостанции!D631)*Radio!$C$2:$C$1000)</f>
        <v>0</v>
      </c>
    </row>
    <row r="632" spans="3:6" x14ac:dyDescent="0.25">
      <c r="C632" s="25" t="str">
        <f t="shared" si="9"/>
        <v/>
      </c>
      <c r="F632" s="29" cm="1">
        <f t="array" ref="F632">SUMPRODUCT((Radio!$A$2:$A$1000=Радиостанции!A632)*(Radio!$B$2:$B$1000=Радиостанции!D632)*Radio!$C$2:$C$1000)</f>
        <v>0</v>
      </c>
    </row>
    <row r="633" spans="3:6" x14ac:dyDescent="0.25">
      <c r="C633" s="25" t="str">
        <f t="shared" si="9"/>
        <v/>
      </c>
      <c r="F633" s="29" cm="1">
        <f t="array" ref="F633">SUMPRODUCT((Radio!$A$2:$A$1000=Радиостанции!A633)*(Radio!$B$2:$B$1000=Радиостанции!D633)*Radio!$C$2:$C$1000)</f>
        <v>0</v>
      </c>
    </row>
    <row r="634" spans="3:6" x14ac:dyDescent="0.25">
      <c r="C634" s="25" t="str">
        <f t="shared" si="9"/>
        <v/>
      </c>
      <c r="F634" s="29" cm="1">
        <f t="array" ref="F634">SUMPRODUCT((Radio!$A$2:$A$1000=Радиостанции!A634)*(Radio!$B$2:$B$1000=Радиостанции!D634)*Radio!$C$2:$C$1000)</f>
        <v>0</v>
      </c>
    </row>
    <row r="635" spans="3:6" x14ac:dyDescent="0.25">
      <c r="C635" s="25" t="str">
        <f t="shared" si="9"/>
        <v/>
      </c>
      <c r="F635" s="29" cm="1">
        <f t="array" ref="F635">SUMPRODUCT((Radio!$A$2:$A$1000=Радиостанции!A635)*(Radio!$B$2:$B$1000=Радиостанции!D635)*Radio!$C$2:$C$1000)</f>
        <v>0</v>
      </c>
    </row>
    <row r="636" spans="3:6" x14ac:dyDescent="0.25">
      <c r="C636" s="25" t="str">
        <f t="shared" si="9"/>
        <v/>
      </c>
      <c r="F636" s="29" cm="1">
        <f t="array" ref="F636">SUMPRODUCT((Radio!$A$2:$A$1000=Радиостанции!A636)*(Radio!$B$2:$B$1000=Радиостанции!D636)*Radio!$C$2:$C$1000)</f>
        <v>0</v>
      </c>
    </row>
    <row r="637" spans="3:6" x14ac:dyDescent="0.25">
      <c r="C637" s="25" t="str">
        <f t="shared" si="9"/>
        <v/>
      </c>
      <c r="F637" s="29" cm="1">
        <f t="array" ref="F637">SUMPRODUCT((Radio!$A$2:$A$1000=Радиостанции!A637)*(Radio!$B$2:$B$1000=Радиостанции!D637)*Radio!$C$2:$C$1000)</f>
        <v>0</v>
      </c>
    </row>
    <row r="638" spans="3:6" x14ac:dyDescent="0.25">
      <c r="C638" s="25" t="str">
        <f t="shared" si="9"/>
        <v/>
      </c>
      <c r="F638" s="29" cm="1">
        <f t="array" ref="F638">SUMPRODUCT((Radio!$A$2:$A$1000=Радиостанции!A638)*(Radio!$B$2:$B$1000=Радиостанции!D638)*Radio!$C$2:$C$1000)</f>
        <v>0</v>
      </c>
    </row>
    <row r="639" spans="3:6" x14ac:dyDescent="0.25">
      <c r="C639" s="25" t="str">
        <f t="shared" si="9"/>
        <v/>
      </c>
      <c r="F639" s="29" cm="1">
        <f t="array" ref="F639">SUMPRODUCT((Radio!$A$2:$A$1000=Радиостанции!A639)*(Radio!$B$2:$B$1000=Радиостанции!D639)*Radio!$C$2:$C$1000)</f>
        <v>0</v>
      </c>
    </row>
    <row r="640" spans="3:6" x14ac:dyDescent="0.25">
      <c r="C640" s="25" t="str">
        <f t="shared" si="9"/>
        <v/>
      </c>
      <c r="F640" s="29" cm="1">
        <f t="array" ref="F640">SUMPRODUCT((Radio!$A$2:$A$1000=Радиостанции!A640)*(Radio!$B$2:$B$1000=Радиостанции!D640)*Radio!$C$2:$C$1000)</f>
        <v>0</v>
      </c>
    </row>
    <row r="641" spans="3:6" x14ac:dyDescent="0.25">
      <c r="C641" s="25" t="str">
        <f t="shared" si="9"/>
        <v/>
      </c>
      <c r="F641" s="29" cm="1">
        <f t="array" ref="F641">SUMPRODUCT((Radio!$A$2:$A$1000=Радиостанции!A641)*(Radio!$B$2:$B$1000=Радиостанции!D641)*Radio!$C$2:$C$1000)</f>
        <v>0</v>
      </c>
    </row>
    <row r="642" spans="3:6" x14ac:dyDescent="0.25">
      <c r="C642" s="25" t="str">
        <f t="shared" si="9"/>
        <v/>
      </c>
      <c r="F642" s="29" cm="1">
        <f t="array" ref="F642">SUMPRODUCT((Radio!$A$2:$A$1000=Радиостанции!A642)*(Radio!$B$2:$B$1000=Радиостанции!D642)*Radio!$C$2:$C$1000)</f>
        <v>0</v>
      </c>
    </row>
    <row r="643" spans="3:6" x14ac:dyDescent="0.25">
      <c r="C643" s="25" t="str">
        <f t="shared" ref="C643:C706" si="10">_xlfn.CONCAT(A643,B643)</f>
        <v/>
      </c>
      <c r="F643" s="29" cm="1">
        <f t="array" ref="F643">SUMPRODUCT((Radio!$A$2:$A$1000=Радиостанции!A643)*(Radio!$B$2:$B$1000=Радиостанции!D643)*Radio!$C$2:$C$1000)</f>
        <v>0</v>
      </c>
    </row>
    <row r="644" spans="3:6" x14ac:dyDescent="0.25">
      <c r="C644" s="25" t="str">
        <f t="shared" si="10"/>
        <v/>
      </c>
      <c r="F644" s="29" cm="1">
        <f t="array" ref="F644">SUMPRODUCT((Radio!$A$2:$A$1000=Радиостанции!A644)*(Radio!$B$2:$B$1000=Радиостанции!D644)*Radio!$C$2:$C$1000)</f>
        <v>0</v>
      </c>
    </row>
    <row r="645" spans="3:6" x14ac:dyDescent="0.25">
      <c r="C645" s="25" t="str">
        <f t="shared" si="10"/>
        <v/>
      </c>
      <c r="F645" s="29" cm="1">
        <f t="array" ref="F645">SUMPRODUCT((Radio!$A$2:$A$1000=Радиостанции!A645)*(Radio!$B$2:$B$1000=Радиостанции!D645)*Radio!$C$2:$C$1000)</f>
        <v>0</v>
      </c>
    </row>
    <row r="646" spans="3:6" x14ac:dyDescent="0.25">
      <c r="C646" s="25" t="str">
        <f t="shared" si="10"/>
        <v/>
      </c>
      <c r="F646" s="29" cm="1">
        <f t="array" ref="F646">SUMPRODUCT((Radio!$A$2:$A$1000=Радиостанции!A646)*(Radio!$B$2:$B$1000=Радиостанции!D646)*Radio!$C$2:$C$1000)</f>
        <v>0</v>
      </c>
    </row>
    <row r="647" spans="3:6" x14ac:dyDescent="0.25">
      <c r="C647" s="25" t="str">
        <f t="shared" si="10"/>
        <v/>
      </c>
      <c r="F647" s="29" cm="1">
        <f t="array" ref="F647">SUMPRODUCT((Radio!$A$2:$A$1000=Радиостанции!A647)*(Radio!$B$2:$B$1000=Радиостанции!D647)*Radio!$C$2:$C$1000)</f>
        <v>0</v>
      </c>
    </row>
    <row r="648" spans="3:6" x14ac:dyDescent="0.25">
      <c r="C648" s="25" t="str">
        <f t="shared" si="10"/>
        <v/>
      </c>
      <c r="F648" s="29" cm="1">
        <f t="array" ref="F648">SUMPRODUCT((Radio!$A$2:$A$1000=Радиостанции!A648)*(Radio!$B$2:$B$1000=Радиостанции!D648)*Radio!$C$2:$C$1000)</f>
        <v>0</v>
      </c>
    </row>
    <row r="649" spans="3:6" x14ac:dyDescent="0.25">
      <c r="C649" s="25" t="str">
        <f t="shared" si="10"/>
        <v/>
      </c>
      <c r="F649" s="29" cm="1">
        <f t="array" ref="F649">SUMPRODUCT((Radio!$A$2:$A$1000=Радиостанции!A649)*(Radio!$B$2:$B$1000=Радиостанции!D649)*Radio!$C$2:$C$1000)</f>
        <v>0</v>
      </c>
    </row>
    <row r="650" spans="3:6" x14ac:dyDescent="0.25">
      <c r="C650" s="25" t="str">
        <f t="shared" si="10"/>
        <v/>
      </c>
      <c r="F650" s="29" cm="1">
        <f t="array" ref="F650">SUMPRODUCT((Radio!$A$2:$A$1000=Радиостанции!A650)*(Radio!$B$2:$B$1000=Радиостанции!D650)*Radio!$C$2:$C$1000)</f>
        <v>0</v>
      </c>
    </row>
    <row r="651" spans="3:6" x14ac:dyDescent="0.25">
      <c r="C651" s="25" t="str">
        <f t="shared" si="10"/>
        <v/>
      </c>
      <c r="F651" s="29" cm="1">
        <f t="array" ref="F651">SUMPRODUCT((Radio!$A$2:$A$1000=Радиостанции!A651)*(Radio!$B$2:$B$1000=Радиостанции!D651)*Radio!$C$2:$C$1000)</f>
        <v>0</v>
      </c>
    </row>
    <row r="652" spans="3:6" x14ac:dyDescent="0.25">
      <c r="C652" s="25" t="str">
        <f t="shared" si="10"/>
        <v/>
      </c>
      <c r="F652" s="29" cm="1">
        <f t="array" ref="F652">SUMPRODUCT((Radio!$A$2:$A$1000=Радиостанции!A652)*(Radio!$B$2:$B$1000=Радиостанции!D652)*Radio!$C$2:$C$1000)</f>
        <v>0</v>
      </c>
    </row>
    <row r="653" spans="3:6" x14ac:dyDescent="0.25">
      <c r="C653" s="25" t="str">
        <f t="shared" si="10"/>
        <v/>
      </c>
      <c r="F653" s="29" cm="1">
        <f t="array" ref="F653">SUMPRODUCT((Radio!$A$2:$A$1000=Радиостанции!A653)*(Radio!$B$2:$B$1000=Радиостанции!D653)*Radio!$C$2:$C$1000)</f>
        <v>0</v>
      </c>
    </row>
    <row r="654" spans="3:6" x14ac:dyDescent="0.25">
      <c r="C654" s="25" t="str">
        <f t="shared" si="10"/>
        <v/>
      </c>
      <c r="F654" s="29" cm="1">
        <f t="array" ref="F654">SUMPRODUCT((Radio!$A$2:$A$1000=Радиостанции!A654)*(Radio!$B$2:$B$1000=Радиостанции!D654)*Radio!$C$2:$C$1000)</f>
        <v>0</v>
      </c>
    </row>
    <row r="655" spans="3:6" x14ac:dyDescent="0.25">
      <c r="C655" s="25" t="str">
        <f t="shared" si="10"/>
        <v/>
      </c>
      <c r="F655" s="29" cm="1">
        <f t="array" ref="F655">SUMPRODUCT((Radio!$A$2:$A$1000=Радиостанции!A655)*(Radio!$B$2:$B$1000=Радиостанции!D655)*Radio!$C$2:$C$1000)</f>
        <v>0</v>
      </c>
    </row>
    <row r="656" spans="3:6" x14ac:dyDescent="0.25">
      <c r="C656" s="25" t="str">
        <f t="shared" si="10"/>
        <v/>
      </c>
      <c r="F656" s="29" cm="1">
        <f t="array" ref="F656">SUMPRODUCT((Radio!$A$2:$A$1000=Радиостанции!A656)*(Radio!$B$2:$B$1000=Радиостанции!D656)*Radio!$C$2:$C$1000)</f>
        <v>0</v>
      </c>
    </row>
    <row r="657" spans="3:6" x14ac:dyDescent="0.25">
      <c r="C657" s="25" t="str">
        <f t="shared" si="10"/>
        <v/>
      </c>
      <c r="F657" s="29" cm="1">
        <f t="array" ref="F657">SUMPRODUCT((Radio!$A$2:$A$1000=Радиостанции!A657)*(Radio!$B$2:$B$1000=Радиостанции!D657)*Radio!$C$2:$C$1000)</f>
        <v>0</v>
      </c>
    </row>
    <row r="658" spans="3:6" x14ac:dyDescent="0.25">
      <c r="C658" s="25" t="str">
        <f t="shared" si="10"/>
        <v/>
      </c>
      <c r="F658" s="29" cm="1">
        <f t="array" ref="F658">SUMPRODUCT((Radio!$A$2:$A$1000=Радиостанции!A658)*(Radio!$B$2:$B$1000=Радиостанции!D658)*Radio!$C$2:$C$1000)</f>
        <v>0</v>
      </c>
    </row>
    <row r="659" spans="3:6" x14ac:dyDescent="0.25">
      <c r="C659" s="25" t="str">
        <f t="shared" si="10"/>
        <v/>
      </c>
      <c r="F659" s="29" cm="1">
        <f t="array" ref="F659">SUMPRODUCT((Radio!$A$2:$A$1000=Радиостанции!A659)*(Radio!$B$2:$B$1000=Радиостанции!D659)*Radio!$C$2:$C$1000)</f>
        <v>0</v>
      </c>
    </row>
    <row r="660" spans="3:6" x14ac:dyDescent="0.25">
      <c r="C660" s="25" t="str">
        <f t="shared" si="10"/>
        <v/>
      </c>
      <c r="F660" s="29" cm="1">
        <f t="array" ref="F660">SUMPRODUCT((Radio!$A$2:$A$1000=Радиостанции!A660)*(Radio!$B$2:$B$1000=Радиостанции!D660)*Radio!$C$2:$C$1000)</f>
        <v>0</v>
      </c>
    </row>
    <row r="661" spans="3:6" x14ac:dyDescent="0.25">
      <c r="C661" s="25" t="str">
        <f t="shared" si="10"/>
        <v/>
      </c>
      <c r="F661" s="29" cm="1">
        <f t="array" ref="F661">SUMPRODUCT((Radio!$A$2:$A$1000=Радиостанции!A661)*(Radio!$B$2:$B$1000=Радиостанции!D661)*Radio!$C$2:$C$1000)</f>
        <v>0</v>
      </c>
    </row>
    <row r="662" spans="3:6" x14ac:dyDescent="0.25">
      <c r="C662" s="25" t="str">
        <f t="shared" si="10"/>
        <v/>
      </c>
      <c r="F662" s="29" cm="1">
        <f t="array" ref="F662">SUMPRODUCT((Radio!$A$2:$A$1000=Радиостанции!A662)*(Radio!$B$2:$B$1000=Радиостанции!D662)*Radio!$C$2:$C$1000)</f>
        <v>0</v>
      </c>
    </row>
    <row r="663" spans="3:6" x14ac:dyDescent="0.25">
      <c r="C663" s="25" t="str">
        <f t="shared" si="10"/>
        <v/>
      </c>
      <c r="F663" s="29" cm="1">
        <f t="array" ref="F663">SUMPRODUCT((Radio!$A$2:$A$1000=Радиостанции!A663)*(Radio!$B$2:$B$1000=Радиостанции!D663)*Radio!$C$2:$C$1000)</f>
        <v>0</v>
      </c>
    </row>
    <row r="664" spans="3:6" x14ac:dyDescent="0.25">
      <c r="C664" s="25" t="str">
        <f t="shared" si="10"/>
        <v/>
      </c>
      <c r="F664" s="29" cm="1">
        <f t="array" ref="F664">SUMPRODUCT((Radio!$A$2:$A$1000=Радиостанции!A664)*(Radio!$B$2:$B$1000=Радиостанции!D664)*Radio!$C$2:$C$1000)</f>
        <v>0</v>
      </c>
    </row>
    <row r="665" spans="3:6" x14ac:dyDescent="0.25">
      <c r="C665" s="25" t="str">
        <f t="shared" si="10"/>
        <v/>
      </c>
      <c r="F665" s="29" cm="1">
        <f t="array" ref="F665">SUMPRODUCT((Radio!$A$2:$A$1000=Радиостанции!A665)*(Radio!$B$2:$B$1000=Радиостанции!D665)*Radio!$C$2:$C$1000)</f>
        <v>0</v>
      </c>
    </row>
    <row r="666" spans="3:6" x14ac:dyDescent="0.25">
      <c r="C666" s="25" t="str">
        <f t="shared" si="10"/>
        <v/>
      </c>
      <c r="F666" s="29" cm="1">
        <f t="array" ref="F666">SUMPRODUCT((Radio!$A$2:$A$1000=Радиостанции!A666)*(Radio!$B$2:$B$1000=Радиостанции!D666)*Radio!$C$2:$C$1000)</f>
        <v>0</v>
      </c>
    </row>
    <row r="667" spans="3:6" x14ac:dyDescent="0.25">
      <c r="C667" s="25" t="str">
        <f t="shared" si="10"/>
        <v/>
      </c>
      <c r="F667" s="29" cm="1">
        <f t="array" ref="F667">SUMPRODUCT((Radio!$A$2:$A$1000=Радиостанции!A667)*(Radio!$B$2:$B$1000=Радиостанции!D667)*Radio!$C$2:$C$1000)</f>
        <v>0</v>
      </c>
    </row>
    <row r="668" spans="3:6" x14ac:dyDescent="0.25">
      <c r="C668" s="25" t="str">
        <f t="shared" si="10"/>
        <v/>
      </c>
      <c r="F668" s="29" cm="1">
        <f t="array" ref="F668">SUMPRODUCT((Radio!$A$2:$A$1000=Радиостанции!A668)*(Radio!$B$2:$B$1000=Радиостанции!D668)*Radio!$C$2:$C$1000)</f>
        <v>0</v>
      </c>
    </row>
    <row r="669" spans="3:6" x14ac:dyDescent="0.25">
      <c r="C669" s="25" t="str">
        <f t="shared" si="10"/>
        <v/>
      </c>
      <c r="F669" s="29" cm="1">
        <f t="array" ref="F669">SUMPRODUCT((Radio!$A$2:$A$1000=Радиостанции!A669)*(Radio!$B$2:$B$1000=Радиостанции!D669)*Radio!$C$2:$C$1000)</f>
        <v>0</v>
      </c>
    </row>
    <row r="670" spans="3:6" x14ac:dyDescent="0.25">
      <c r="C670" s="25" t="str">
        <f t="shared" si="10"/>
        <v/>
      </c>
      <c r="F670" s="29" cm="1">
        <f t="array" ref="F670">SUMPRODUCT((Radio!$A$2:$A$1000=Радиостанции!A670)*(Radio!$B$2:$B$1000=Радиостанции!D670)*Radio!$C$2:$C$1000)</f>
        <v>0</v>
      </c>
    </row>
    <row r="671" spans="3:6" x14ac:dyDescent="0.25">
      <c r="C671" s="25" t="str">
        <f t="shared" si="10"/>
        <v/>
      </c>
      <c r="F671" s="29" cm="1">
        <f t="array" ref="F671">SUMPRODUCT((Radio!$A$2:$A$1000=Радиостанции!A671)*(Radio!$B$2:$B$1000=Радиостанции!D671)*Radio!$C$2:$C$1000)</f>
        <v>0</v>
      </c>
    </row>
    <row r="672" spans="3:6" x14ac:dyDescent="0.25">
      <c r="C672" s="25" t="str">
        <f t="shared" si="10"/>
        <v/>
      </c>
      <c r="F672" s="29" cm="1">
        <f t="array" ref="F672">SUMPRODUCT((Radio!$A$2:$A$1000=Радиостанции!A672)*(Radio!$B$2:$B$1000=Радиостанции!D672)*Radio!$C$2:$C$1000)</f>
        <v>0</v>
      </c>
    </row>
    <row r="673" spans="3:6" x14ac:dyDescent="0.25">
      <c r="C673" s="25" t="str">
        <f t="shared" si="10"/>
        <v/>
      </c>
      <c r="F673" s="29" cm="1">
        <f t="array" ref="F673">SUMPRODUCT((Radio!$A$2:$A$1000=Радиостанции!A673)*(Radio!$B$2:$B$1000=Радиостанции!D673)*Radio!$C$2:$C$1000)</f>
        <v>0</v>
      </c>
    </row>
    <row r="674" spans="3:6" x14ac:dyDescent="0.25">
      <c r="C674" s="25" t="str">
        <f t="shared" si="10"/>
        <v/>
      </c>
      <c r="F674" s="29" cm="1">
        <f t="array" ref="F674">SUMPRODUCT((Radio!$A$2:$A$1000=Радиостанции!A674)*(Radio!$B$2:$B$1000=Радиостанции!D674)*Radio!$C$2:$C$1000)</f>
        <v>0</v>
      </c>
    </row>
    <row r="675" spans="3:6" x14ac:dyDescent="0.25">
      <c r="C675" s="25" t="str">
        <f t="shared" si="10"/>
        <v/>
      </c>
      <c r="F675" s="29" cm="1">
        <f t="array" ref="F675">SUMPRODUCT((Radio!$A$2:$A$1000=Радиостанции!A675)*(Radio!$B$2:$B$1000=Радиостанции!D675)*Radio!$C$2:$C$1000)</f>
        <v>0</v>
      </c>
    </row>
    <row r="676" spans="3:6" x14ac:dyDescent="0.25">
      <c r="C676" s="25" t="str">
        <f t="shared" si="10"/>
        <v/>
      </c>
      <c r="F676" s="29" cm="1">
        <f t="array" ref="F676">SUMPRODUCT((Radio!$A$2:$A$1000=Радиостанции!A676)*(Radio!$B$2:$B$1000=Радиостанции!D676)*Radio!$C$2:$C$1000)</f>
        <v>0</v>
      </c>
    </row>
    <row r="677" spans="3:6" x14ac:dyDescent="0.25">
      <c r="C677" s="25" t="str">
        <f t="shared" si="10"/>
        <v/>
      </c>
      <c r="F677" s="29" cm="1">
        <f t="array" ref="F677">SUMPRODUCT((Radio!$A$2:$A$1000=Радиостанции!A677)*(Radio!$B$2:$B$1000=Радиостанции!D677)*Radio!$C$2:$C$1000)</f>
        <v>0</v>
      </c>
    </row>
    <row r="678" spans="3:6" x14ac:dyDescent="0.25">
      <c r="C678" s="25" t="str">
        <f t="shared" si="10"/>
        <v/>
      </c>
      <c r="F678" s="29" cm="1">
        <f t="array" ref="F678">SUMPRODUCT((Radio!$A$2:$A$1000=Радиостанции!A678)*(Radio!$B$2:$B$1000=Радиостанции!D678)*Radio!$C$2:$C$1000)</f>
        <v>0</v>
      </c>
    </row>
    <row r="679" spans="3:6" x14ac:dyDescent="0.25">
      <c r="C679" s="25" t="str">
        <f t="shared" si="10"/>
        <v/>
      </c>
      <c r="F679" s="29" cm="1">
        <f t="array" ref="F679">SUMPRODUCT((Radio!$A$2:$A$1000=Радиостанции!A679)*(Radio!$B$2:$B$1000=Радиостанции!D679)*Radio!$C$2:$C$1000)</f>
        <v>0</v>
      </c>
    </row>
    <row r="680" spans="3:6" x14ac:dyDescent="0.25">
      <c r="C680" s="25" t="str">
        <f t="shared" si="10"/>
        <v/>
      </c>
      <c r="F680" s="29" cm="1">
        <f t="array" ref="F680">SUMPRODUCT((Radio!$A$2:$A$1000=Радиостанции!A680)*(Radio!$B$2:$B$1000=Радиостанции!D680)*Radio!$C$2:$C$1000)</f>
        <v>0</v>
      </c>
    </row>
    <row r="681" spans="3:6" x14ac:dyDescent="0.25">
      <c r="C681" s="25" t="str">
        <f t="shared" si="10"/>
        <v/>
      </c>
      <c r="F681" s="29" cm="1">
        <f t="array" ref="F681">SUMPRODUCT((Radio!$A$2:$A$1000=Радиостанции!A681)*(Radio!$B$2:$B$1000=Радиостанции!D681)*Radio!$C$2:$C$1000)</f>
        <v>0</v>
      </c>
    </row>
    <row r="682" spans="3:6" x14ac:dyDescent="0.25">
      <c r="C682" s="25" t="str">
        <f t="shared" si="10"/>
        <v/>
      </c>
      <c r="F682" s="29" cm="1">
        <f t="array" ref="F682">SUMPRODUCT((Radio!$A$2:$A$1000=Радиостанции!A682)*(Radio!$B$2:$B$1000=Радиостанции!D682)*Radio!$C$2:$C$1000)</f>
        <v>0</v>
      </c>
    </row>
    <row r="683" spans="3:6" x14ac:dyDescent="0.25">
      <c r="C683" s="25" t="str">
        <f t="shared" si="10"/>
        <v/>
      </c>
      <c r="F683" s="29" cm="1">
        <f t="array" ref="F683">SUMPRODUCT((Radio!$A$2:$A$1000=Радиостанции!A683)*(Radio!$B$2:$B$1000=Радиостанции!D683)*Radio!$C$2:$C$1000)</f>
        <v>0</v>
      </c>
    </row>
    <row r="684" spans="3:6" x14ac:dyDescent="0.25">
      <c r="C684" s="25" t="str">
        <f t="shared" si="10"/>
        <v/>
      </c>
      <c r="F684" s="29" cm="1">
        <f t="array" ref="F684">SUMPRODUCT((Radio!$A$2:$A$1000=Радиостанции!A684)*(Radio!$B$2:$B$1000=Радиостанции!D684)*Radio!$C$2:$C$1000)</f>
        <v>0</v>
      </c>
    </row>
    <row r="685" spans="3:6" x14ac:dyDescent="0.25">
      <c r="C685" s="25" t="str">
        <f t="shared" si="10"/>
        <v/>
      </c>
      <c r="F685" s="29" cm="1">
        <f t="array" ref="F685">SUMPRODUCT((Radio!$A$2:$A$1000=Радиостанции!A685)*(Radio!$B$2:$B$1000=Радиостанции!D685)*Radio!$C$2:$C$1000)</f>
        <v>0</v>
      </c>
    </row>
    <row r="686" spans="3:6" x14ac:dyDescent="0.25">
      <c r="C686" s="25" t="str">
        <f t="shared" si="10"/>
        <v/>
      </c>
      <c r="F686" s="29" cm="1">
        <f t="array" ref="F686">SUMPRODUCT((Radio!$A$2:$A$1000=Радиостанции!A686)*(Radio!$B$2:$B$1000=Радиостанции!D686)*Radio!$C$2:$C$1000)</f>
        <v>0</v>
      </c>
    </row>
    <row r="687" spans="3:6" x14ac:dyDescent="0.25">
      <c r="C687" s="25" t="str">
        <f t="shared" si="10"/>
        <v/>
      </c>
      <c r="F687" s="29" cm="1">
        <f t="array" ref="F687">SUMPRODUCT((Radio!$A$2:$A$1000=Радиостанции!A687)*(Radio!$B$2:$B$1000=Радиостанции!D687)*Radio!$C$2:$C$1000)</f>
        <v>0</v>
      </c>
    </row>
    <row r="688" spans="3:6" x14ac:dyDescent="0.25">
      <c r="C688" s="25" t="str">
        <f t="shared" si="10"/>
        <v/>
      </c>
      <c r="F688" s="29" cm="1">
        <f t="array" ref="F688">SUMPRODUCT((Radio!$A$2:$A$1000=Радиостанции!A688)*(Radio!$B$2:$B$1000=Радиостанции!D688)*Radio!$C$2:$C$1000)</f>
        <v>0</v>
      </c>
    </row>
    <row r="689" spans="3:6" x14ac:dyDescent="0.25">
      <c r="C689" s="25" t="str">
        <f t="shared" si="10"/>
        <v/>
      </c>
      <c r="F689" s="29" cm="1">
        <f t="array" ref="F689">SUMPRODUCT((Radio!$A$2:$A$1000=Радиостанции!A689)*(Radio!$B$2:$B$1000=Радиостанции!D689)*Radio!$C$2:$C$1000)</f>
        <v>0</v>
      </c>
    </row>
    <row r="690" spans="3:6" x14ac:dyDescent="0.25">
      <c r="C690" s="25" t="str">
        <f t="shared" si="10"/>
        <v/>
      </c>
      <c r="F690" s="29" cm="1">
        <f t="array" ref="F690">SUMPRODUCT((Radio!$A$2:$A$1000=Радиостанции!A690)*(Radio!$B$2:$B$1000=Радиостанции!D690)*Radio!$C$2:$C$1000)</f>
        <v>0</v>
      </c>
    </row>
    <row r="691" spans="3:6" x14ac:dyDescent="0.25">
      <c r="C691" s="25" t="str">
        <f t="shared" si="10"/>
        <v/>
      </c>
      <c r="F691" s="29" cm="1">
        <f t="array" ref="F691">SUMPRODUCT((Radio!$A$2:$A$1000=Радиостанции!A691)*(Radio!$B$2:$B$1000=Радиостанции!D691)*Radio!$C$2:$C$1000)</f>
        <v>0</v>
      </c>
    </row>
    <row r="692" spans="3:6" x14ac:dyDescent="0.25">
      <c r="C692" s="25" t="str">
        <f t="shared" si="10"/>
        <v/>
      </c>
      <c r="F692" s="29" cm="1">
        <f t="array" ref="F692">SUMPRODUCT((Radio!$A$2:$A$1000=Радиостанции!A692)*(Radio!$B$2:$B$1000=Радиостанции!D692)*Radio!$C$2:$C$1000)</f>
        <v>0</v>
      </c>
    </row>
    <row r="693" spans="3:6" x14ac:dyDescent="0.25">
      <c r="C693" s="25" t="str">
        <f t="shared" si="10"/>
        <v/>
      </c>
      <c r="F693" s="29" cm="1">
        <f t="array" ref="F693">SUMPRODUCT((Radio!$A$2:$A$1000=Радиостанции!A693)*(Radio!$B$2:$B$1000=Радиостанции!D693)*Radio!$C$2:$C$1000)</f>
        <v>0</v>
      </c>
    </row>
    <row r="694" spans="3:6" x14ac:dyDescent="0.25">
      <c r="C694" s="25" t="str">
        <f t="shared" si="10"/>
        <v/>
      </c>
      <c r="F694" s="29" cm="1">
        <f t="array" ref="F694">SUMPRODUCT((Radio!$A$2:$A$1000=Радиостанции!A694)*(Radio!$B$2:$B$1000=Радиостанции!D694)*Radio!$C$2:$C$1000)</f>
        <v>0</v>
      </c>
    </row>
    <row r="695" spans="3:6" x14ac:dyDescent="0.25">
      <c r="C695" s="25" t="str">
        <f t="shared" si="10"/>
        <v/>
      </c>
      <c r="F695" s="29" cm="1">
        <f t="array" ref="F695">SUMPRODUCT((Radio!$A$2:$A$1000=Радиостанции!A695)*(Radio!$B$2:$B$1000=Радиостанции!D695)*Radio!$C$2:$C$1000)</f>
        <v>0</v>
      </c>
    </row>
    <row r="696" spans="3:6" x14ac:dyDescent="0.25">
      <c r="C696" s="25" t="str">
        <f t="shared" si="10"/>
        <v/>
      </c>
      <c r="F696" s="29" cm="1">
        <f t="array" ref="F696">SUMPRODUCT((Radio!$A$2:$A$1000=Радиостанции!A696)*(Radio!$B$2:$B$1000=Радиостанции!D696)*Radio!$C$2:$C$1000)</f>
        <v>0</v>
      </c>
    </row>
    <row r="697" spans="3:6" x14ac:dyDescent="0.25">
      <c r="C697" s="25" t="str">
        <f t="shared" si="10"/>
        <v/>
      </c>
      <c r="F697" s="29" cm="1">
        <f t="array" ref="F697">SUMPRODUCT((Radio!$A$2:$A$1000=Радиостанции!A697)*(Radio!$B$2:$B$1000=Радиостанции!D697)*Radio!$C$2:$C$1000)</f>
        <v>0</v>
      </c>
    </row>
    <row r="698" spans="3:6" x14ac:dyDescent="0.25">
      <c r="C698" s="25" t="str">
        <f t="shared" si="10"/>
        <v/>
      </c>
      <c r="F698" s="29" cm="1">
        <f t="array" ref="F698">SUMPRODUCT((Radio!$A$2:$A$1000=Радиостанции!A698)*(Radio!$B$2:$B$1000=Радиостанции!D698)*Radio!$C$2:$C$1000)</f>
        <v>0</v>
      </c>
    </row>
    <row r="699" spans="3:6" x14ac:dyDescent="0.25">
      <c r="C699" s="25" t="str">
        <f t="shared" si="10"/>
        <v/>
      </c>
      <c r="F699" s="29" cm="1">
        <f t="array" ref="F699">SUMPRODUCT((Radio!$A$2:$A$1000=Радиостанции!A699)*(Radio!$B$2:$B$1000=Радиостанции!D699)*Radio!$C$2:$C$1000)</f>
        <v>0</v>
      </c>
    </row>
    <row r="700" spans="3:6" x14ac:dyDescent="0.25">
      <c r="C700" s="25" t="str">
        <f t="shared" si="10"/>
        <v/>
      </c>
      <c r="F700" s="29" cm="1">
        <f t="array" ref="F700">SUMPRODUCT((Radio!$A$2:$A$1000=Радиостанции!A700)*(Radio!$B$2:$B$1000=Радиостанции!D700)*Radio!$C$2:$C$1000)</f>
        <v>0</v>
      </c>
    </row>
    <row r="701" spans="3:6" x14ac:dyDescent="0.25">
      <c r="C701" s="25" t="str">
        <f t="shared" si="10"/>
        <v/>
      </c>
      <c r="F701" s="29" cm="1">
        <f t="array" ref="F701">SUMPRODUCT((Radio!$A$2:$A$1000=Радиостанции!A701)*(Radio!$B$2:$B$1000=Радиостанции!D701)*Radio!$C$2:$C$1000)</f>
        <v>0</v>
      </c>
    </row>
    <row r="702" spans="3:6" x14ac:dyDescent="0.25">
      <c r="C702" s="25" t="str">
        <f t="shared" si="10"/>
        <v/>
      </c>
      <c r="F702" s="29" cm="1">
        <f t="array" ref="F702">SUMPRODUCT((Radio!$A$2:$A$1000=Радиостанции!A702)*(Radio!$B$2:$B$1000=Радиостанции!D702)*Radio!$C$2:$C$1000)</f>
        <v>0</v>
      </c>
    </row>
    <row r="703" spans="3:6" x14ac:dyDescent="0.25">
      <c r="C703" s="25" t="str">
        <f t="shared" si="10"/>
        <v/>
      </c>
      <c r="F703" s="29" cm="1">
        <f t="array" ref="F703">SUMPRODUCT((Radio!$A$2:$A$1000=Радиостанции!A703)*(Radio!$B$2:$B$1000=Радиостанции!D703)*Radio!$C$2:$C$1000)</f>
        <v>0</v>
      </c>
    </row>
    <row r="704" spans="3:6" x14ac:dyDescent="0.25">
      <c r="C704" s="25" t="str">
        <f t="shared" si="10"/>
        <v/>
      </c>
      <c r="F704" s="29" cm="1">
        <f t="array" ref="F704">SUMPRODUCT((Radio!$A$2:$A$1000=Радиостанции!A704)*(Radio!$B$2:$B$1000=Радиостанции!D704)*Radio!$C$2:$C$1000)</f>
        <v>0</v>
      </c>
    </row>
    <row r="705" spans="3:6" x14ac:dyDescent="0.25">
      <c r="C705" s="25" t="str">
        <f t="shared" si="10"/>
        <v/>
      </c>
      <c r="F705" s="29" cm="1">
        <f t="array" ref="F705">SUMPRODUCT((Radio!$A$2:$A$1000=Радиостанции!A705)*(Radio!$B$2:$B$1000=Радиостанции!D705)*Radio!$C$2:$C$1000)</f>
        <v>0</v>
      </c>
    </row>
    <row r="706" spans="3:6" x14ac:dyDescent="0.25">
      <c r="C706" s="25" t="str">
        <f t="shared" si="10"/>
        <v/>
      </c>
      <c r="F706" s="29" cm="1">
        <f t="array" ref="F706">SUMPRODUCT((Radio!$A$2:$A$1000=Радиостанции!A706)*(Radio!$B$2:$B$1000=Радиостанции!D706)*Radio!$C$2:$C$1000)</f>
        <v>0</v>
      </c>
    </row>
    <row r="707" spans="3:6" x14ac:dyDescent="0.25">
      <c r="C707" s="25" t="str">
        <f t="shared" ref="C707:C770" si="11">_xlfn.CONCAT(A707,B707)</f>
        <v/>
      </c>
      <c r="F707" s="29" cm="1">
        <f t="array" ref="F707">SUMPRODUCT((Radio!$A$2:$A$1000=Радиостанции!A707)*(Radio!$B$2:$B$1000=Радиостанции!D707)*Radio!$C$2:$C$1000)</f>
        <v>0</v>
      </c>
    </row>
    <row r="708" spans="3:6" x14ac:dyDescent="0.25">
      <c r="C708" s="25" t="str">
        <f t="shared" si="11"/>
        <v/>
      </c>
      <c r="F708" s="29" cm="1">
        <f t="array" ref="F708">SUMPRODUCT((Radio!$A$2:$A$1000=Радиостанции!A708)*(Radio!$B$2:$B$1000=Радиостанции!D708)*Radio!$C$2:$C$1000)</f>
        <v>0</v>
      </c>
    </row>
    <row r="709" spans="3:6" x14ac:dyDescent="0.25">
      <c r="C709" s="25" t="str">
        <f t="shared" si="11"/>
        <v/>
      </c>
      <c r="F709" s="29" cm="1">
        <f t="array" ref="F709">SUMPRODUCT((Radio!$A$2:$A$1000=Радиостанции!A709)*(Radio!$B$2:$B$1000=Радиостанции!D709)*Radio!$C$2:$C$1000)</f>
        <v>0</v>
      </c>
    </row>
    <row r="710" spans="3:6" x14ac:dyDescent="0.25">
      <c r="C710" s="25" t="str">
        <f t="shared" si="11"/>
        <v/>
      </c>
      <c r="F710" s="29" cm="1">
        <f t="array" ref="F710">SUMPRODUCT((Radio!$A$2:$A$1000=Радиостанции!A710)*(Radio!$B$2:$B$1000=Радиостанции!D710)*Radio!$C$2:$C$1000)</f>
        <v>0</v>
      </c>
    </row>
    <row r="711" spans="3:6" x14ac:dyDescent="0.25">
      <c r="C711" s="25" t="str">
        <f t="shared" si="11"/>
        <v/>
      </c>
      <c r="F711" s="29" cm="1">
        <f t="array" ref="F711">SUMPRODUCT((Radio!$A$2:$A$1000=Радиостанции!A711)*(Radio!$B$2:$B$1000=Радиостанции!D711)*Radio!$C$2:$C$1000)</f>
        <v>0</v>
      </c>
    </row>
    <row r="712" spans="3:6" x14ac:dyDescent="0.25">
      <c r="C712" s="25" t="str">
        <f t="shared" si="11"/>
        <v/>
      </c>
      <c r="F712" s="29" cm="1">
        <f t="array" ref="F712">SUMPRODUCT((Radio!$A$2:$A$1000=Радиостанции!A712)*(Radio!$B$2:$B$1000=Радиостанции!D712)*Radio!$C$2:$C$1000)</f>
        <v>0</v>
      </c>
    </row>
    <row r="713" spans="3:6" x14ac:dyDescent="0.25">
      <c r="C713" s="25" t="str">
        <f t="shared" si="11"/>
        <v/>
      </c>
      <c r="F713" s="29" cm="1">
        <f t="array" ref="F713">SUMPRODUCT((Radio!$A$2:$A$1000=Радиостанции!A713)*(Radio!$B$2:$B$1000=Радиостанции!D713)*Radio!$C$2:$C$1000)</f>
        <v>0</v>
      </c>
    </row>
    <row r="714" spans="3:6" x14ac:dyDescent="0.25">
      <c r="C714" s="25" t="str">
        <f t="shared" si="11"/>
        <v/>
      </c>
      <c r="F714" s="29" cm="1">
        <f t="array" ref="F714">SUMPRODUCT((Radio!$A$2:$A$1000=Радиостанции!A714)*(Radio!$B$2:$B$1000=Радиостанции!D714)*Radio!$C$2:$C$1000)</f>
        <v>0</v>
      </c>
    </row>
    <row r="715" spans="3:6" x14ac:dyDescent="0.25">
      <c r="C715" s="25" t="str">
        <f t="shared" si="11"/>
        <v/>
      </c>
      <c r="F715" s="29" cm="1">
        <f t="array" ref="F715">SUMPRODUCT((Radio!$A$2:$A$1000=Радиостанции!A715)*(Radio!$B$2:$B$1000=Радиостанции!D715)*Radio!$C$2:$C$1000)</f>
        <v>0</v>
      </c>
    </row>
    <row r="716" spans="3:6" x14ac:dyDescent="0.25">
      <c r="C716" s="25" t="str">
        <f t="shared" si="11"/>
        <v/>
      </c>
      <c r="F716" s="29" cm="1">
        <f t="array" ref="F716">SUMPRODUCT((Radio!$A$2:$A$1000=Радиостанции!A716)*(Radio!$B$2:$B$1000=Радиостанции!D716)*Radio!$C$2:$C$1000)</f>
        <v>0</v>
      </c>
    </row>
    <row r="717" spans="3:6" x14ac:dyDescent="0.25">
      <c r="C717" s="25" t="str">
        <f t="shared" si="11"/>
        <v/>
      </c>
      <c r="F717" s="29" cm="1">
        <f t="array" ref="F717">SUMPRODUCT((Radio!$A$2:$A$1000=Радиостанции!A717)*(Radio!$B$2:$B$1000=Радиостанции!D717)*Radio!$C$2:$C$1000)</f>
        <v>0</v>
      </c>
    </row>
    <row r="718" spans="3:6" x14ac:dyDescent="0.25">
      <c r="C718" s="25" t="str">
        <f t="shared" si="11"/>
        <v/>
      </c>
      <c r="F718" s="29" cm="1">
        <f t="array" ref="F718">SUMPRODUCT((Radio!$A$2:$A$1000=Радиостанции!A718)*(Radio!$B$2:$B$1000=Радиостанции!D718)*Radio!$C$2:$C$1000)</f>
        <v>0</v>
      </c>
    </row>
    <row r="719" spans="3:6" x14ac:dyDescent="0.25">
      <c r="C719" s="25" t="str">
        <f t="shared" si="11"/>
        <v/>
      </c>
      <c r="F719" s="29" cm="1">
        <f t="array" ref="F719">SUMPRODUCT((Radio!$A$2:$A$1000=Радиостанции!A719)*(Radio!$B$2:$B$1000=Радиостанции!D719)*Radio!$C$2:$C$1000)</f>
        <v>0</v>
      </c>
    </row>
    <row r="720" spans="3:6" x14ac:dyDescent="0.25">
      <c r="C720" s="25" t="str">
        <f t="shared" si="11"/>
        <v/>
      </c>
      <c r="F720" s="29" cm="1">
        <f t="array" ref="F720">SUMPRODUCT((Radio!$A$2:$A$1000=Радиостанции!A720)*(Radio!$B$2:$B$1000=Радиостанции!D720)*Radio!$C$2:$C$1000)</f>
        <v>0</v>
      </c>
    </row>
    <row r="721" spans="3:6" x14ac:dyDescent="0.25">
      <c r="C721" s="25" t="str">
        <f t="shared" si="11"/>
        <v/>
      </c>
      <c r="F721" s="29" cm="1">
        <f t="array" ref="F721">SUMPRODUCT((Radio!$A$2:$A$1000=Радиостанции!A721)*(Radio!$B$2:$B$1000=Радиостанции!D721)*Radio!$C$2:$C$1000)</f>
        <v>0</v>
      </c>
    </row>
    <row r="722" spans="3:6" x14ac:dyDescent="0.25">
      <c r="C722" s="25" t="str">
        <f t="shared" si="11"/>
        <v/>
      </c>
      <c r="F722" s="29" cm="1">
        <f t="array" ref="F722">SUMPRODUCT((Radio!$A$2:$A$1000=Радиостанции!A722)*(Radio!$B$2:$B$1000=Радиостанции!D722)*Radio!$C$2:$C$1000)</f>
        <v>0</v>
      </c>
    </row>
    <row r="723" spans="3:6" x14ac:dyDescent="0.25">
      <c r="C723" s="25" t="str">
        <f t="shared" si="11"/>
        <v/>
      </c>
      <c r="F723" s="29" cm="1">
        <f t="array" ref="F723">SUMPRODUCT((Radio!$A$2:$A$1000=Радиостанции!A723)*(Radio!$B$2:$B$1000=Радиостанции!D723)*Radio!$C$2:$C$1000)</f>
        <v>0</v>
      </c>
    </row>
    <row r="724" spans="3:6" x14ac:dyDescent="0.25">
      <c r="C724" s="25" t="str">
        <f t="shared" si="11"/>
        <v/>
      </c>
      <c r="F724" s="29" cm="1">
        <f t="array" ref="F724">SUMPRODUCT((Radio!$A$2:$A$1000=Радиостанции!A724)*(Radio!$B$2:$B$1000=Радиостанции!D724)*Radio!$C$2:$C$1000)</f>
        <v>0</v>
      </c>
    </row>
    <row r="725" spans="3:6" x14ac:dyDescent="0.25">
      <c r="C725" s="25" t="str">
        <f t="shared" si="11"/>
        <v/>
      </c>
      <c r="F725" s="29" cm="1">
        <f t="array" ref="F725">SUMPRODUCT((Radio!$A$2:$A$1000=Радиостанции!A725)*(Radio!$B$2:$B$1000=Радиостанции!D725)*Radio!$C$2:$C$1000)</f>
        <v>0</v>
      </c>
    </row>
    <row r="726" spans="3:6" x14ac:dyDescent="0.25">
      <c r="C726" s="25" t="str">
        <f t="shared" si="11"/>
        <v/>
      </c>
      <c r="F726" s="29" cm="1">
        <f t="array" ref="F726">SUMPRODUCT((Radio!$A$2:$A$1000=Радиостанции!A726)*(Radio!$B$2:$B$1000=Радиостанции!D726)*Radio!$C$2:$C$1000)</f>
        <v>0</v>
      </c>
    </row>
    <row r="727" spans="3:6" x14ac:dyDescent="0.25">
      <c r="C727" s="25" t="str">
        <f t="shared" si="11"/>
        <v/>
      </c>
      <c r="F727" s="29" cm="1">
        <f t="array" ref="F727">SUMPRODUCT((Radio!$A$2:$A$1000=Радиостанции!A727)*(Radio!$B$2:$B$1000=Радиостанции!D727)*Radio!$C$2:$C$1000)</f>
        <v>0</v>
      </c>
    </row>
    <row r="728" spans="3:6" x14ac:dyDescent="0.25">
      <c r="C728" s="25" t="str">
        <f t="shared" si="11"/>
        <v/>
      </c>
      <c r="F728" s="29" cm="1">
        <f t="array" ref="F728">SUMPRODUCT((Radio!$A$2:$A$1000=Радиостанции!A728)*(Radio!$B$2:$B$1000=Радиостанции!D728)*Radio!$C$2:$C$1000)</f>
        <v>0</v>
      </c>
    </row>
    <row r="729" spans="3:6" x14ac:dyDescent="0.25">
      <c r="C729" s="25" t="str">
        <f t="shared" si="11"/>
        <v/>
      </c>
      <c r="F729" s="29" cm="1">
        <f t="array" ref="F729">SUMPRODUCT((Radio!$A$2:$A$1000=Радиостанции!A729)*(Radio!$B$2:$B$1000=Радиостанции!D729)*Radio!$C$2:$C$1000)</f>
        <v>0</v>
      </c>
    </row>
    <row r="730" spans="3:6" x14ac:dyDescent="0.25">
      <c r="C730" s="25" t="str">
        <f t="shared" si="11"/>
        <v/>
      </c>
      <c r="F730" s="29" cm="1">
        <f t="array" ref="F730">SUMPRODUCT((Radio!$A$2:$A$1000=Радиостанции!A730)*(Radio!$B$2:$B$1000=Радиостанции!D730)*Radio!$C$2:$C$1000)</f>
        <v>0</v>
      </c>
    </row>
    <row r="731" spans="3:6" x14ac:dyDescent="0.25">
      <c r="C731" s="25" t="str">
        <f t="shared" si="11"/>
        <v/>
      </c>
      <c r="F731" s="29" cm="1">
        <f t="array" ref="F731">SUMPRODUCT((Radio!$A$2:$A$1000=Радиостанции!A731)*(Radio!$B$2:$B$1000=Радиостанции!D731)*Radio!$C$2:$C$1000)</f>
        <v>0</v>
      </c>
    </row>
    <row r="732" spans="3:6" x14ac:dyDescent="0.25">
      <c r="C732" s="25" t="str">
        <f t="shared" si="11"/>
        <v/>
      </c>
      <c r="F732" s="29" cm="1">
        <f t="array" ref="F732">SUMPRODUCT((Radio!$A$2:$A$1000=Радиостанции!A732)*(Radio!$B$2:$B$1000=Радиостанции!D732)*Radio!$C$2:$C$1000)</f>
        <v>0</v>
      </c>
    </row>
    <row r="733" spans="3:6" x14ac:dyDescent="0.25">
      <c r="C733" s="25" t="str">
        <f t="shared" si="11"/>
        <v/>
      </c>
      <c r="F733" s="29" cm="1">
        <f t="array" ref="F733">SUMPRODUCT((Radio!$A$2:$A$1000=Радиостанции!A733)*(Radio!$B$2:$B$1000=Радиостанции!D733)*Radio!$C$2:$C$1000)</f>
        <v>0</v>
      </c>
    </row>
    <row r="734" spans="3:6" x14ac:dyDescent="0.25">
      <c r="C734" s="25" t="str">
        <f t="shared" si="11"/>
        <v/>
      </c>
      <c r="F734" s="29" cm="1">
        <f t="array" ref="F734">SUMPRODUCT((Radio!$A$2:$A$1000=Радиостанции!A734)*(Radio!$B$2:$B$1000=Радиостанции!D734)*Radio!$C$2:$C$1000)</f>
        <v>0</v>
      </c>
    </row>
    <row r="735" spans="3:6" x14ac:dyDescent="0.25">
      <c r="C735" s="25" t="str">
        <f t="shared" si="11"/>
        <v/>
      </c>
      <c r="F735" s="29" cm="1">
        <f t="array" ref="F735">SUMPRODUCT((Radio!$A$2:$A$1000=Радиостанции!A735)*(Radio!$B$2:$B$1000=Радиостанции!D735)*Radio!$C$2:$C$1000)</f>
        <v>0</v>
      </c>
    </row>
    <row r="736" spans="3:6" x14ac:dyDescent="0.25">
      <c r="C736" s="25" t="str">
        <f t="shared" si="11"/>
        <v/>
      </c>
      <c r="F736" s="29" cm="1">
        <f t="array" ref="F736">SUMPRODUCT((Radio!$A$2:$A$1000=Радиостанции!A736)*(Radio!$B$2:$B$1000=Радиостанции!D736)*Radio!$C$2:$C$1000)</f>
        <v>0</v>
      </c>
    </row>
    <row r="737" spans="3:6" x14ac:dyDescent="0.25">
      <c r="C737" s="25" t="str">
        <f t="shared" si="11"/>
        <v/>
      </c>
      <c r="F737" s="29" cm="1">
        <f t="array" ref="F737">SUMPRODUCT((Radio!$A$2:$A$1000=Радиостанции!A737)*(Radio!$B$2:$B$1000=Радиостанции!D737)*Radio!$C$2:$C$1000)</f>
        <v>0</v>
      </c>
    </row>
    <row r="738" spans="3:6" x14ac:dyDescent="0.25">
      <c r="C738" s="25" t="str">
        <f t="shared" si="11"/>
        <v/>
      </c>
      <c r="F738" s="29" cm="1">
        <f t="array" ref="F738">SUMPRODUCT((Radio!$A$2:$A$1000=Радиостанции!A738)*(Radio!$B$2:$B$1000=Радиостанции!D738)*Radio!$C$2:$C$1000)</f>
        <v>0</v>
      </c>
    </row>
    <row r="739" spans="3:6" x14ac:dyDescent="0.25">
      <c r="C739" s="25" t="str">
        <f t="shared" si="11"/>
        <v/>
      </c>
      <c r="F739" s="29" cm="1">
        <f t="array" ref="F739">SUMPRODUCT((Radio!$A$2:$A$1000=Радиостанции!A739)*(Radio!$B$2:$B$1000=Радиостанции!D739)*Radio!$C$2:$C$1000)</f>
        <v>0</v>
      </c>
    </row>
    <row r="740" spans="3:6" x14ac:dyDescent="0.25">
      <c r="C740" s="25" t="str">
        <f t="shared" si="11"/>
        <v/>
      </c>
      <c r="F740" s="29" cm="1">
        <f t="array" ref="F740">SUMPRODUCT((Radio!$A$2:$A$1000=Радиостанции!A740)*(Radio!$B$2:$B$1000=Радиостанции!D740)*Radio!$C$2:$C$1000)</f>
        <v>0</v>
      </c>
    </row>
    <row r="741" spans="3:6" x14ac:dyDescent="0.25">
      <c r="C741" s="25" t="str">
        <f t="shared" si="11"/>
        <v/>
      </c>
      <c r="F741" s="29" cm="1">
        <f t="array" ref="F741">SUMPRODUCT((Radio!$A$2:$A$1000=Радиостанции!A741)*(Radio!$B$2:$B$1000=Радиостанции!D741)*Radio!$C$2:$C$1000)</f>
        <v>0</v>
      </c>
    </row>
    <row r="742" spans="3:6" x14ac:dyDescent="0.25">
      <c r="C742" s="25" t="str">
        <f t="shared" si="11"/>
        <v/>
      </c>
      <c r="F742" s="29" cm="1">
        <f t="array" ref="F742">SUMPRODUCT((Radio!$A$2:$A$1000=Радиостанции!A742)*(Radio!$B$2:$B$1000=Радиостанции!D742)*Radio!$C$2:$C$1000)</f>
        <v>0</v>
      </c>
    </row>
    <row r="743" spans="3:6" x14ac:dyDescent="0.25">
      <c r="C743" s="25" t="str">
        <f t="shared" si="11"/>
        <v/>
      </c>
      <c r="F743" s="29" cm="1">
        <f t="array" ref="F743">SUMPRODUCT((Radio!$A$2:$A$1000=Радиостанции!A743)*(Radio!$B$2:$B$1000=Радиостанции!D743)*Radio!$C$2:$C$1000)</f>
        <v>0</v>
      </c>
    </row>
    <row r="744" spans="3:6" x14ac:dyDescent="0.25">
      <c r="C744" s="25" t="str">
        <f t="shared" si="11"/>
        <v/>
      </c>
      <c r="F744" s="29" cm="1">
        <f t="array" ref="F744">SUMPRODUCT((Radio!$A$2:$A$1000=Радиостанции!A744)*(Radio!$B$2:$B$1000=Радиостанции!D744)*Radio!$C$2:$C$1000)</f>
        <v>0</v>
      </c>
    </row>
    <row r="745" spans="3:6" x14ac:dyDescent="0.25">
      <c r="C745" s="25" t="str">
        <f t="shared" si="11"/>
        <v/>
      </c>
      <c r="F745" s="29" cm="1">
        <f t="array" ref="F745">SUMPRODUCT((Radio!$A$2:$A$1000=Радиостанции!A745)*(Radio!$B$2:$B$1000=Радиостанции!D745)*Radio!$C$2:$C$1000)</f>
        <v>0</v>
      </c>
    </row>
    <row r="746" spans="3:6" x14ac:dyDescent="0.25">
      <c r="C746" s="25" t="str">
        <f t="shared" si="11"/>
        <v/>
      </c>
      <c r="F746" s="29" cm="1">
        <f t="array" ref="F746">SUMPRODUCT((Radio!$A$2:$A$1000=Радиостанции!A746)*(Radio!$B$2:$B$1000=Радиостанции!D746)*Radio!$C$2:$C$1000)</f>
        <v>0</v>
      </c>
    </row>
    <row r="747" spans="3:6" x14ac:dyDescent="0.25">
      <c r="C747" s="25" t="str">
        <f t="shared" si="11"/>
        <v/>
      </c>
      <c r="F747" s="29" cm="1">
        <f t="array" ref="F747">SUMPRODUCT((Radio!$A$2:$A$1000=Радиостанции!A747)*(Radio!$B$2:$B$1000=Радиостанции!D747)*Radio!$C$2:$C$1000)</f>
        <v>0</v>
      </c>
    </row>
    <row r="748" spans="3:6" x14ac:dyDescent="0.25">
      <c r="C748" s="25" t="str">
        <f t="shared" si="11"/>
        <v/>
      </c>
      <c r="F748" s="29" cm="1">
        <f t="array" ref="F748">SUMPRODUCT((Radio!$A$2:$A$1000=Радиостанции!A748)*(Radio!$B$2:$B$1000=Радиостанции!D748)*Radio!$C$2:$C$1000)</f>
        <v>0</v>
      </c>
    </row>
    <row r="749" spans="3:6" x14ac:dyDescent="0.25">
      <c r="C749" s="25" t="str">
        <f t="shared" si="11"/>
        <v/>
      </c>
      <c r="F749" s="29" cm="1">
        <f t="array" ref="F749">SUMPRODUCT((Radio!$A$2:$A$1000=Радиостанции!A749)*(Radio!$B$2:$B$1000=Радиостанции!D749)*Radio!$C$2:$C$1000)</f>
        <v>0</v>
      </c>
    </row>
    <row r="750" spans="3:6" x14ac:dyDescent="0.25">
      <c r="C750" s="25" t="str">
        <f t="shared" si="11"/>
        <v/>
      </c>
      <c r="F750" s="29" cm="1">
        <f t="array" ref="F750">SUMPRODUCT((Radio!$A$2:$A$1000=Радиостанции!A750)*(Radio!$B$2:$B$1000=Радиостанции!D750)*Radio!$C$2:$C$1000)</f>
        <v>0</v>
      </c>
    </row>
    <row r="751" spans="3:6" x14ac:dyDescent="0.25">
      <c r="C751" s="25" t="str">
        <f t="shared" si="11"/>
        <v/>
      </c>
      <c r="F751" s="29" cm="1">
        <f t="array" ref="F751">SUMPRODUCT((Radio!$A$2:$A$1000=Радиостанции!A751)*(Radio!$B$2:$B$1000=Радиостанции!D751)*Radio!$C$2:$C$1000)</f>
        <v>0</v>
      </c>
    </row>
    <row r="752" spans="3:6" x14ac:dyDescent="0.25">
      <c r="C752" s="25" t="str">
        <f t="shared" si="11"/>
        <v/>
      </c>
      <c r="F752" s="29" cm="1">
        <f t="array" ref="F752">SUMPRODUCT((Radio!$A$2:$A$1000=Радиостанции!A752)*(Radio!$B$2:$B$1000=Радиостанции!D752)*Radio!$C$2:$C$1000)</f>
        <v>0</v>
      </c>
    </row>
    <row r="753" spans="3:6" x14ac:dyDescent="0.25">
      <c r="C753" s="25" t="str">
        <f t="shared" si="11"/>
        <v/>
      </c>
      <c r="F753" s="29" cm="1">
        <f t="array" ref="F753">SUMPRODUCT((Radio!$A$2:$A$1000=Радиостанции!A753)*(Radio!$B$2:$B$1000=Радиостанции!D753)*Radio!$C$2:$C$1000)</f>
        <v>0</v>
      </c>
    </row>
    <row r="754" spans="3:6" x14ac:dyDescent="0.25">
      <c r="C754" s="25" t="str">
        <f t="shared" si="11"/>
        <v/>
      </c>
      <c r="F754" s="29" cm="1">
        <f t="array" ref="F754">SUMPRODUCT((Radio!$A$2:$A$1000=Радиостанции!A754)*(Radio!$B$2:$B$1000=Радиостанции!D754)*Radio!$C$2:$C$1000)</f>
        <v>0</v>
      </c>
    </row>
    <row r="755" spans="3:6" x14ac:dyDescent="0.25">
      <c r="C755" s="25" t="str">
        <f t="shared" si="11"/>
        <v/>
      </c>
      <c r="F755" s="29" cm="1">
        <f t="array" ref="F755">SUMPRODUCT((Radio!$A$2:$A$1000=Радиостанции!A755)*(Radio!$B$2:$B$1000=Радиостанции!D755)*Radio!$C$2:$C$1000)</f>
        <v>0</v>
      </c>
    </row>
    <row r="756" spans="3:6" x14ac:dyDescent="0.25">
      <c r="C756" s="25" t="str">
        <f t="shared" si="11"/>
        <v/>
      </c>
      <c r="F756" s="29" cm="1">
        <f t="array" ref="F756">SUMPRODUCT((Radio!$A$2:$A$1000=Радиостанции!A756)*(Radio!$B$2:$B$1000=Радиостанции!D756)*Radio!$C$2:$C$1000)</f>
        <v>0</v>
      </c>
    </row>
    <row r="757" spans="3:6" x14ac:dyDescent="0.25">
      <c r="C757" s="25" t="str">
        <f t="shared" si="11"/>
        <v/>
      </c>
      <c r="F757" s="29" cm="1">
        <f t="array" ref="F757">SUMPRODUCT((Radio!$A$2:$A$1000=Радиостанции!A757)*(Radio!$B$2:$B$1000=Радиостанции!D757)*Radio!$C$2:$C$1000)</f>
        <v>0</v>
      </c>
    </row>
    <row r="758" spans="3:6" x14ac:dyDescent="0.25">
      <c r="C758" s="25" t="str">
        <f t="shared" si="11"/>
        <v/>
      </c>
      <c r="F758" s="29" cm="1">
        <f t="array" ref="F758">SUMPRODUCT((Radio!$A$2:$A$1000=Радиостанции!A758)*(Radio!$B$2:$B$1000=Радиостанции!D758)*Radio!$C$2:$C$1000)</f>
        <v>0</v>
      </c>
    </row>
    <row r="759" spans="3:6" x14ac:dyDescent="0.25">
      <c r="C759" s="25" t="str">
        <f t="shared" si="11"/>
        <v/>
      </c>
      <c r="F759" s="29" cm="1">
        <f t="array" ref="F759">SUMPRODUCT((Radio!$A$2:$A$1000=Радиостанции!A759)*(Radio!$B$2:$B$1000=Радиостанции!D759)*Radio!$C$2:$C$1000)</f>
        <v>0</v>
      </c>
    </row>
    <row r="760" spans="3:6" x14ac:dyDescent="0.25">
      <c r="C760" s="25" t="str">
        <f t="shared" si="11"/>
        <v/>
      </c>
      <c r="F760" s="29" cm="1">
        <f t="array" ref="F760">SUMPRODUCT((Radio!$A$2:$A$1000=Радиостанции!A760)*(Radio!$B$2:$B$1000=Радиостанции!D760)*Radio!$C$2:$C$1000)</f>
        <v>0</v>
      </c>
    </row>
    <row r="761" spans="3:6" x14ac:dyDescent="0.25">
      <c r="C761" s="25" t="str">
        <f t="shared" si="11"/>
        <v/>
      </c>
      <c r="F761" s="29" cm="1">
        <f t="array" ref="F761">SUMPRODUCT((Radio!$A$2:$A$1000=Радиостанции!A761)*(Radio!$B$2:$B$1000=Радиостанции!D761)*Radio!$C$2:$C$1000)</f>
        <v>0</v>
      </c>
    </row>
    <row r="762" spans="3:6" x14ac:dyDescent="0.25">
      <c r="C762" s="25" t="str">
        <f t="shared" si="11"/>
        <v/>
      </c>
      <c r="F762" s="29" cm="1">
        <f t="array" ref="F762">SUMPRODUCT((Radio!$A$2:$A$1000=Радиостанции!A762)*(Radio!$B$2:$B$1000=Радиостанции!D762)*Radio!$C$2:$C$1000)</f>
        <v>0</v>
      </c>
    </row>
    <row r="763" spans="3:6" x14ac:dyDescent="0.25">
      <c r="C763" s="25" t="str">
        <f t="shared" si="11"/>
        <v/>
      </c>
      <c r="F763" s="29" cm="1">
        <f t="array" ref="F763">SUMPRODUCT((Radio!$A$2:$A$1000=Радиостанции!A763)*(Radio!$B$2:$B$1000=Радиостанции!D763)*Radio!$C$2:$C$1000)</f>
        <v>0</v>
      </c>
    </row>
    <row r="764" spans="3:6" x14ac:dyDescent="0.25">
      <c r="C764" s="25" t="str">
        <f t="shared" si="11"/>
        <v/>
      </c>
      <c r="F764" s="29" cm="1">
        <f t="array" ref="F764">SUMPRODUCT((Radio!$A$2:$A$1000=Радиостанции!A764)*(Radio!$B$2:$B$1000=Радиостанции!D764)*Radio!$C$2:$C$1000)</f>
        <v>0</v>
      </c>
    </row>
    <row r="765" spans="3:6" x14ac:dyDescent="0.25">
      <c r="C765" s="25" t="str">
        <f t="shared" si="11"/>
        <v/>
      </c>
      <c r="F765" s="29" cm="1">
        <f t="array" ref="F765">SUMPRODUCT((Radio!$A$2:$A$1000=Радиостанции!A765)*(Radio!$B$2:$B$1000=Радиостанции!D765)*Radio!$C$2:$C$1000)</f>
        <v>0</v>
      </c>
    </row>
    <row r="766" spans="3:6" x14ac:dyDescent="0.25">
      <c r="C766" s="25" t="str">
        <f t="shared" si="11"/>
        <v/>
      </c>
      <c r="F766" s="29" cm="1">
        <f t="array" ref="F766">SUMPRODUCT((Radio!$A$2:$A$1000=Радиостанции!A766)*(Radio!$B$2:$B$1000=Радиостанции!D766)*Radio!$C$2:$C$1000)</f>
        <v>0</v>
      </c>
    </row>
    <row r="767" spans="3:6" x14ac:dyDescent="0.25">
      <c r="C767" s="25" t="str">
        <f t="shared" si="11"/>
        <v/>
      </c>
      <c r="F767" s="29" cm="1">
        <f t="array" ref="F767">SUMPRODUCT((Radio!$A$2:$A$1000=Радиостанции!A767)*(Radio!$B$2:$B$1000=Радиостанции!D767)*Radio!$C$2:$C$1000)</f>
        <v>0</v>
      </c>
    </row>
    <row r="768" spans="3:6" x14ac:dyDescent="0.25">
      <c r="C768" s="25" t="str">
        <f t="shared" si="11"/>
        <v/>
      </c>
      <c r="F768" s="29" cm="1">
        <f t="array" ref="F768">SUMPRODUCT((Radio!$A$2:$A$1000=Радиостанции!A768)*(Radio!$B$2:$B$1000=Радиостанции!D768)*Radio!$C$2:$C$1000)</f>
        <v>0</v>
      </c>
    </row>
    <row r="769" spans="3:6" x14ac:dyDescent="0.25">
      <c r="C769" s="25" t="str">
        <f t="shared" si="11"/>
        <v/>
      </c>
      <c r="F769" s="29" cm="1">
        <f t="array" ref="F769">SUMPRODUCT((Radio!$A$2:$A$1000=Радиостанции!A769)*(Radio!$B$2:$B$1000=Радиостанции!D769)*Radio!$C$2:$C$1000)</f>
        <v>0</v>
      </c>
    </row>
    <row r="770" spans="3:6" x14ac:dyDescent="0.25">
      <c r="C770" s="25" t="str">
        <f t="shared" si="11"/>
        <v/>
      </c>
      <c r="F770" s="29" cm="1">
        <f t="array" ref="F770">SUMPRODUCT((Radio!$A$2:$A$1000=Радиостанции!A770)*(Radio!$B$2:$B$1000=Радиостанции!D770)*Radio!$C$2:$C$1000)</f>
        <v>0</v>
      </c>
    </row>
    <row r="771" spans="3:6" x14ac:dyDescent="0.25">
      <c r="C771" s="25" t="str">
        <f t="shared" ref="C771:C834" si="12">_xlfn.CONCAT(A771,B771)</f>
        <v/>
      </c>
      <c r="F771" s="29" cm="1">
        <f t="array" ref="F771">SUMPRODUCT((Radio!$A$2:$A$1000=Радиостанции!A771)*(Radio!$B$2:$B$1000=Радиостанции!D771)*Radio!$C$2:$C$1000)</f>
        <v>0</v>
      </c>
    </row>
    <row r="772" spans="3:6" x14ac:dyDescent="0.25">
      <c r="C772" s="25" t="str">
        <f t="shared" si="12"/>
        <v/>
      </c>
      <c r="F772" s="29" cm="1">
        <f t="array" ref="F772">SUMPRODUCT((Radio!$A$2:$A$1000=Радиостанции!A772)*(Radio!$B$2:$B$1000=Радиостанции!D772)*Radio!$C$2:$C$1000)</f>
        <v>0</v>
      </c>
    </row>
    <row r="773" spans="3:6" x14ac:dyDescent="0.25">
      <c r="C773" s="25" t="str">
        <f t="shared" si="12"/>
        <v/>
      </c>
      <c r="F773" s="29" cm="1">
        <f t="array" ref="F773">SUMPRODUCT((Radio!$A$2:$A$1000=Радиостанции!A773)*(Radio!$B$2:$B$1000=Радиостанции!D773)*Radio!$C$2:$C$1000)</f>
        <v>0</v>
      </c>
    </row>
    <row r="774" spans="3:6" x14ac:dyDescent="0.25">
      <c r="C774" s="25" t="str">
        <f t="shared" si="12"/>
        <v/>
      </c>
      <c r="F774" s="29" cm="1">
        <f t="array" ref="F774">SUMPRODUCT((Radio!$A$2:$A$1000=Радиостанции!A774)*(Radio!$B$2:$B$1000=Радиостанции!D774)*Radio!$C$2:$C$1000)</f>
        <v>0</v>
      </c>
    </row>
    <row r="775" spans="3:6" x14ac:dyDescent="0.25">
      <c r="C775" s="25" t="str">
        <f t="shared" si="12"/>
        <v/>
      </c>
      <c r="F775" s="29" cm="1">
        <f t="array" ref="F775">SUMPRODUCT((Radio!$A$2:$A$1000=Радиостанции!A775)*(Radio!$B$2:$B$1000=Радиостанции!D775)*Radio!$C$2:$C$1000)</f>
        <v>0</v>
      </c>
    </row>
    <row r="776" spans="3:6" x14ac:dyDescent="0.25">
      <c r="C776" s="25" t="str">
        <f t="shared" si="12"/>
        <v/>
      </c>
      <c r="F776" s="29" cm="1">
        <f t="array" ref="F776">SUMPRODUCT((Radio!$A$2:$A$1000=Радиостанции!A776)*(Radio!$B$2:$B$1000=Радиостанции!D776)*Radio!$C$2:$C$1000)</f>
        <v>0</v>
      </c>
    </row>
    <row r="777" spans="3:6" x14ac:dyDescent="0.25">
      <c r="C777" s="25" t="str">
        <f t="shared" si="12"/>
        <v/>
      </c>
      <c r="F777" s="29" cm="1">
        <f t="array" ref="F777">SUMPRODUCT((Radio!$A$2:$A$1000=Радиостанции!A777)*(Radio!$B$2:$B$1000=Радиостанции!D777)*Radio!$C$2:$C$1000)</f>
        <v>0</v>
      </c>
    </row>
    <row r="778" spans="3:6" x14ac:dyDescent="0.25">
      <c r="C778" s="25" t="str">
        <f t="shared" si="12"/>
        <v/>
      </c>
      <c r="F778" s="29" cm="1">
        <f t="array" ref="F778">SUMPRODUCT((Radio!$A$2:$A$1000=Радиостанции!A778)*(Radio!$B$2:$B$1000=Радиостанции!D778)*Radio!$C$2:$C$1000)</f>
        <v>0</v>
      </c>
    </row>
    <row r="779" spans="3:6" x14ac:dyDescent="0.25">
      <c r="C779" s="25" t="str">
        <f t="shared" si="12"/>
        <v/>
      </c>
      <c r="F779" s="29" cm="1">
        <f t="array" ref="F779">SUMPRODUCT((Radio!$A$2:$A$1000=Радиостанции!A779)*(Radio!$B$2:$B$1000=Радиостанции!D779)*Radio!$C$2:$C$1000)</f>
        <v>0</v>
      </c>
    </row>
    <row r="780" spans="3:6" x14ac:dyDescent="0.25">
      <c r="C780" s="25" t="str">
        <f t="shared" si="12"/>
        <v/>
      </c>
      <c r="F780" s="29" cm="1">
        <f t="array" ref="F780">SUMPRODUCT((Radio!$A$2:$A$1000=Радиостанции!A780)*(Radio!$B$2:$B$1000=Радиостанции!D780)*Radio!$C$2:$C$1000)</f>
        <v>0</v>
      </c>
    </row>
    <row r="781" spans="3:6" x14ac:dyDescent="0.25">
      <c r="C781" s="25" t="str">
        <f t="shared" si="12"/>
        <v/>
      </c>
      <c r="F781" s="29" cm="1">
        <f t="array" ref="F781">SUMPRODUCT((Radio!$A$2:$A$1000=Радиостанции!A781)*(Radio!$B$2:$B$1000=Радиостанции!D781)*Radio!$C$2:$C$1000)</f>
        <v>0</v>
      </c>
    </row>
    <row r="782" spans="3:6" x14ac:dyDescent="0.25">
      <c r="C782" s="25" t="str">
        <f t="shared" si="12"/>
        <v/>
      </c>
      <c r="F782" s="29" cm="1">
        <f t="array" ref="F782">SUMPRODUCT((Radio!$A$2:$A$1000=Радиостанции!A782)*(Radio!$B$2:$B$1000=Радиостанции!D782)*Radio!$C$2:$C$1000)</f>
        <v>0</v>
      </c>
    </row>
    <row r="783" spans="3:6" x14ac:dyDescent="0.25">
      <c r="C783" s="25" t="str">
        <f t="shared" si="12"/>
        <v/>
      </c>
      <c r="F783" s="29" cm="1">
        <f t="array" ref="F783">SUMPRODUCT((Radio!$A$2:$A$1000=Радиостанции!A783)*(Radio!$B$2:$B$1000=Радиостанции!D783)*Radio!$C$2:$C$1000)</f>
        <v>0</v>
      </c>
    </row>
    <row r="784" spans="3:6" x14ac:dyDescent="0.25">
      <c r="C784" s="25" t="str">
        <f t="shared" si="12"/>
        <v/>
      </c>
      <c r="F784" s="29" cm="1">
        <f t="array" ref="F784">SUMPRODUCT((Radio!$A$2:$A$1000=Радиостанции!A784)*(Radio!$B$2:$B$1000=Радиостанции!D784)*Radio!$C$2:$C$1000)</f>
        <v>0</v>
      </c>
    </row>
    <row r="785" spans="3:6" x14ac:dyDescent="0.25">
      <c r="C785" s="25" t="str">
        <f t="shared" si="12"/>
        <v/>
      </c>
      <c r="F785" s="29" cm="1">
        <f t="array" ref="F785">SUMPRODUCT((Radio!$A$2:$A$1000=Радиостанции!A785)*(Radio!$B$2:$B$1000=Радиостанции!D785)*Radio!$C$2:$C$1000)</f>
        <v>0</v>
      </c>
    </row>
    <row r="786" spans="3:6" x14ac:dyDescent="0.25">
      <c r="C786" s="25" t="str">
        <f t="shared" si="12"/>
        <v/>
      </c>
      <c r="F786" s="29" cm="1">
        <f t="array" ref="F786">SUMPRODUCT((Radio!$A$2:$A$1000=Радиостанции!A786)*(Radio!$B$2:$B$1000=Радиостанции!D786)*Radio!$C$2:$C$1000)</f>
        <v>0</v>
      </c>
    </row>
    <row r="787" spans="3:6" x14ac:dyDescent="0.25">
      <c r="C787" s="25" t="str">
        <f t="shared" si="12"/>
        <v/>
      </c>
      <c r="F787" s="29" cm="1">
        <f t="array" ref="F787">SUMPRODUCT((Radio!$A$2:$A$1000=Радиостанции!A787)*(Radio!$B$2:$B$1000=Радиостанции!D787)*Radio!$C$2:$C$1000)</f>
        <v>0</v>
      </c>
    </row>
    <row r="788" spans="3:6" x14ac:dyDescent="0.25">
      <c r="C788" s="25" t="str">
        <f t="shared" si="12"/>
        <v/>
      </c>
      <c r="F788" s="29" cm="1">
        <f t="array" ref="F788">SUMPRODUCT((Radio!$A$2:$A$1000=Радиостанции!A788)*(Radio!$B$2:$B$1000=Радиостанции!D788)*Radio!$C$2:$C$1000)</f>
        <v>0</v>
      </c>
    </row>
    <row r="789" spans="3:6" x14ac:dyDescent="0.25">
      <c r="C789" s="25" t="str">
        <f t="shared" si="12"/>
        <v/>
      </c>
      <c r="F789" s="29" cm="1">
        <f t="array" ref="F789">SUMPRODUCT((Radio!$A$2:$A$1000=Радиостанции!A789)*(Radio!$B$2:$B$1000=Радиостанции!D789)*Radio!$C$2:$C$1000)</f>
        <v>0</v>
      </c>
    </row>
    <row r="790" spans="3:6" x14ac:dyDescent="0.25">
      <c r="C790" s="25" t="str">
        <f t="shared" si="12"/>
        <v/>
      </c>
      <c r="F790" s="29" cm="1">
        <f t="array" ref="F790">SUMPRODUCT((Radio!$A$2:$A$1000=Радиостанции!A790)*(Radio!$B$2:$B$1000=Радиостанции!D790)*Radio!$C$2:$C$1000)</f>
        <v>0</v>
      </c>
    </row>
    <row r="791" spans="3:6" x14ac:dyDescent="0.25">
      <c r="C791" s="25" t="str">
        <f t="shared" si="12"/>
        <v/>
      </c>
      <c r="F791" s="29" cm="1">
        <f t="array" ref="F791">SUMPRODUCT((Radio!$A$2:$A$1000=Радиостанции!A791)*(Radio!$B$2:$B$1000=Радиостанции!D791)*Radio!$C$2:$C$1000)</f>
        <v>0</v>
      </c>
    </row>
    <row r="792" spans="3:6" x14ac:dyDescent="0.25">
      <c r="C792" s="25" t="str">
        <f t="shared" si="12"/>
        <v/>
      </c>
      <c r="F792" s="29" cm="1">
        <f t="array" ref="F792">SUMPRODUCT((Radio!$A$2:$A$1000=Радиостанции!A792)*(Radio!$B$2:$B$1000=Радиостанции!D792)*Radio!$C$2:$C$1000)</f>
        <v>0</v>
      </c>
    </row>
    <row r="793" spans="3:6" x14ac:dyDescent="0.25">
      <c r="C793" s="25" t="str">
        <f t="shared" si="12"/>
        <v/>
      </c>
      <c r="F793" s="29" cm="1">
        <f t="array" ref="F793">SUMPRODUCT((Radio!$A$2:$A$1000=Радиостанции!A793)*(Radio!$B$2:$B$1000=Радиостанции!D793)*Radio!$C$2:$C$1000)</f>
        <v>0</v>
      </c>
    </row>
    <row r="794" spans="3:6" x14ac:dyDescent="0.25">
      <c r="C794" s="25" t="str">
        <f t="shared" si="12"/>
        <v/>
      </c>
      <c r="F794" s="29" cm="1">
        <f t="array" ref="F794">SUMPRODUCT((Radio!$A$2:$A$1000=Радиостанции!A794)*(Radio!$B$2:$B$1000=Радиостанции!D794)*Radio!$C$2:$C$1000)</f>
        <v>0</v>
      </c>
    </row>
    <row r="795" spans="3:6" x14ac:dyDescent="0.25">
      <c r="C795" s="25" t="str">
        <f t="shared" si="12"/>
        <v/>
      </c>
      <c r="F795" s="29" cm="1">
        <f t="array" ref="F795">SUMPRODUCT((Radio!$A$2:$A$1000=Радиостанции!A795)*(Radio!$B$2:$B$1000=Радиостанции!D795)*Radio!$C$2:$C$1000)</f>
        <v>0</v>
      </c>
    </row>
    <row r="796" spans="3:6" x14ac:dyDescent="0.25">
      <c r="C796" s="25" t="str">
        <f t="shared" si="12"/>
        <v/>
      </c>
      <c r="F796" s="29" cm="1">
        <f t="array" ref="F796">SUMPRODUCT((Radio!$A$2:$A$1000=Радиостанции!A796)*(Radio!$B$2:$B$1000=Радиостанции!D796)*Radio!$C$2:$C$1000)</f>
        <v>0</v>
      </c>
    </row>
    <row r="797" spans="3:6" x14ac:dyDescent="0.25">
      <c r="C797" s="25" t="str">
        <f t="shared" si="12"/>
        <v/>
      </c>
      <c r="F797" s="29" cm="1">
        <f t="array" ref="F797">SUMPRODUCT((Radio!$A$2:$A$1000=Радиостанции!A797)*(Radio!$B$2:$B$1000=Радиостанции!D797)*Radio!$C$2:$C$1000)</f>
        <v>0</v>
      </c>
    </row>
    <row r="798" spans="3:6" x14ac:dyDescent="0.25">
      <c r="C798" s="25" t="str">
        <f t="shared" si="12"/>
        <v/>
      </c>
      <c r="F798" s="29" cm="1">
        <f t="array" ref="F798">SUMPRODUCT((Radio!$A$2:$A$1000=Радиостанции!A798)*(Radio!$B$2:$B$1000=Радиостанции!D798)*Radio!$C$2:$C$1000)</f>
        <v>0</v>
      </c>
    </row>
    <row r="799" spans="3:6" x14ac:dyDescent="0.25">
      <c r="C799" s="25" t="str">
        <f t="shared" si="12"/>
        <v/>
      </c>
      <c r="F799" s="29" cm="1">
        <f t="array" ref="F799">SUMPRODUCT((Radio!$A$2:$A$1000=Радиостанции!A799)*(Radio!$B$2:$B$1000=Радиостанции!D799)*Radio!$C$2:$C$1000)</f>
        <v>0</v>
      </c>
    </row>
    <row r="800" spans="3:6" x14ac:dyDescent="0.25">
      <c r="C800" s="25" t="str">
        <f t="shared" si="12"/>
        <v/>
      </c>
      <c r="F800" s="29" cm="1">
        <f t="array" ref="F800">SUMPRODUCT((Radio!$A$2:$A$1000=Радиостанции!A800)*(Radio!$B$2:$B$1000=Радиостанции!D800)*Radio!$C$2:$C$1000)</f>
        <v>0</v>
      </c>
    </row>
    <row r="801" spans="3:6" x14ac:dyDescent="0.25">
      <c r="C801" s="25" t="str">
        <f t="shared" si="12"/>
        <v/>
      </c>
      <c r="F801" s="29" cm="1">
        <f t="array" ref="F801">SUMPRODUCT((Radio!$A$2:$A$1000=Радиостанции!A801)*(Radio!$B$2:$B$1000=Радиостанции!D801)*Radio!$C$2:$C$1000)</f>
        <v>0</v>
      </c>
    </row>
    <row r="802" spans="3:6" x14ac:dyDescent="0.25">
      <c r="C802" s="25" t="str">
        <f t="shared" si="12"/>
        <v/>
      </c>
      <c r="F802" s="29" cm="1">
        <f t="array" ref="F802">SUMPRODUCT((Radio!$A$2:$A$1000=Радиостанции!A802)*(Radio!$B$2:$B$1000=Радиостанции!D802)*Radio!$C$2:$C$1000)</f>
        <v>0</v>
      </c>
    </row>
    <row r="803" spans="3:6" x14ac:dyDescent="0.25">
      <c r="C803" s="25" t="str">
        <f t="shared" si="12"/>
        <v/>
      </c>
      <c r="F803" s="29" cm="1">
        <f t="array" ref="F803">SUMPRODUCT((Radio!$A$2:$A$1000=Радиостанции!A803)*(Radio!$B$2:$B$1000=Радиостанции!D803)*Radio!$C$2:$C$1000)</f>
        <v>0</v>
      </c>
    </row>
    <row r="804" spans="3:6" x14ac:dyDescent="0.25">
      <c r="C804" s="25" t="str">
        <f t="shared" si="12"/>
        <v/>
      </c>
      <c r="F804" s="29" cm="1">
        <f t="array" ref="F804">SUMPRODUCT((Radio!$A$2:$A$1000=Радиостанции!A804)*(Radio!$B$2:$B$1000=Радиостанции!D804)*Radio!$C$2:$C$1000)</f>
        <v>0</v>
      </c>
    </row>
    <row r="805" spans="3:6" x14ac:dyDescent="0.25">
      <c r="C805" s="25" t="str">
        <f t="shared" si="12"/>
        <v/>
      </c>
      <c r="F805" s="29" cm="1">
        <f t="array" ref="F805">SUMPRODUCT((Radio!$A$2:$A$1000=Радиостанции!A805)*(Radio!$B$2:$B$1000=Радиостанции!D805)*Radio!$C$2:$C$1000)</f>
        <v>0</v>
      </c>
    </row>
    <row r="806" spans="3:6" x14ac:dyDescent="0.25">
      <c r="C806" s="25" t="str">
        <f t="shared" si="12"/>
        <v/>
      </c>
      <c r="F806" s="29" cm="1">
        <f t="array" ref="F806">SUMPRODUCT((Radio!$A$2:$A$1000=Радиостанции!A806)*(Radio!$B$2:$B$1000=Радиостанции!D806)*Radio!$C$2:$C$1000)</f>
        <v>0</v>
      </c>
    </row>
    <row r="807" spans="3:6" x14ac:dyDescent="0.25">
      <c r="C807" s="25" t="str">
        <f t="shared" si="12"/>
        <v/>
      </c>
      <c r="F807" s="29" cm="1">
        <f t="array" ref="F807">SUMPRODUCT((Radio!$A$2:$A$1000=Радиостанции!A807)*(Radio!$B$2:$B$1000=Радиостанции!D807)*Radio!$C$2:$C$1000)</f>
        <v>0</v>
      </c>
    </row>
    <row r="808" spans="3:6" x14ac:dyDescent="0.25">
      <c r="C808" s="25" t="str">
        <f t="shared" si="12"/>
        <v/>
      </c>
      <c r="F808" s="29" cm="1">
        <f t="array" ref="F808">SUMPRODUCT((Radio!$A$2:$A$1000=Радиостанции!A808)*(Radio!$B$2:$B$1000=Радиостанции!D808)*Radio!$C$2:$C$1000)</f>
        <v>0</v>
      </c>
    </row>
    <row r="809" spans="3:6" x14ac:dyDescent="0.25">
      <c r="C809" s="25" t="str">
        <f t="shared" si="12"/>
        <v/>
      </c>
      <c r="F809" s="29" cm="1">
        <f t="array" ref="F809">SUMPRODUCT((Radio!$A$2:$A$1000=Радиостанции!A809)*(Radio!$B$2:$B$1000=Радиостанции!D809)*Radio!$C$2:$C$1000)</f>
        <v>0</v>
      </c>
    </row>
    <row r="810" spans="3:6" x14ac:dyDescent="0.25">
      <c r="C810" s="25" t="str">
        <f t="shared" si="12"/>
        <v/>
      </c>
      <c r="F810" s="29" cm="1">
        <f t="array" ref="F810">SUMPRODUCT((Radio!$A$2:$A$1000=Радиостанции!A810)*(Radio!$B$2:$B$1000=Радиостанции!D810)*Radio!$C$2:$C$1000)</f>
        <v>0</v>
      </c>
    </row>
    <row r="811" spans="3:6" x14ac:dyDescent="0.25">
      <c r="C811" s="25" t="str">
        <f t="shared" si="12"/>
        <v/>
      </c>
      <c r="F811" s="29" cm="1">
        <f t="array" ref="F811">SUMPRODUCT((Radio!$A$2:$A$1000=Радиостанции!A811)*(Radio!$B$2:$B$1000=Радиостанции!D811)*Radio!$C$2:$C$1000)</f>
        <v>0</v>
      </c>
    </row>
    <row r="812" spans="3:6" x14ac:dyDescent="0.25">
      <c r="C812" s="25" t="str">
        <f t="shared" si="12"/>
        <v/>
      </c>
      <c r="F812" s="29" cm="1">
        <f t="array" ref="F812">SUMPRODUCT((Radio!$A$2:$A$1000=Радиостанции!A812)*(Radio!$B$2:$B$1000=Радиостанции!D812)*Radio!$C$2:$C$1000)</f>
        <v>0</v>
      </c>
    </row>
    <row r="813" spans="3:6" x14ac:dyDescent="0.25">
      <c r="C813" s="25" t="str">
        <f t="shared" si="12"/>
        <v/>
      </c>
      <c r="F813" s="29" cm="1">
        <f t="array" ref="F813">SUMPRODUCT((Radio!$A$2:$A$1000=Радиостанции!A813)*(Radio!$B$2:$B$1000=Радиостанции!D813)*Radio!$C$2:$C$1000)</f>
        <v>0</v>
      </c>
    </row>
    <row r="814" spans="3:6" x14ac:dyDescent="0.25">
      <c r="C814" s="25" t="str">
        <f t="shared" si="12"/>
        <v/>
      </c>
      <c r="F814" s="29" cm="1">
        <f t="array" ref="F814">SUMPRODUCT((Radio!$A$2:$A$1000=Радиостанции!A814)*(Radio!$B$2:$B$1000=Радиостанции!D814)*Radio!$C$2:$C$1000)</f>
        <v>0</v>
      </c>
    </row>
    <row r="815" spans="3:6" x14ac:dyDescent="0.25">
      <c r="C815" s="25" t="str">
        <f t="shared" si="12"/>
        <v/>
      </c>
      <c r="F815" s="29" cm="1">
        <f t="array" ref="F815">SUMPRODUCT((Radio!$A$2:$A$1000=Радиостанции!A815)*(Radio!$B$2:$B$1000=Радиостанции!D815)*Radio!$C$2:$C$1000)</f>
        <v>0</v>
      </c>
    </row>
    <row r="816" spans="3:6" x14ac:dyDescent="0.25">
      <c r="C816" s="25" t="str">
        <f t="shared" si="12"/>
        <v/>
      </c>
      <c r="F816" s="29" cm="1">
        <f t="array" ref="F816">SUMPRODUCT((Radio!$A$2:$A$1000=Радиостанции!A816)*(Radio!$B$2:$B$1000=Радиостанции!D816)*Radio!$C$2:$C$1000)</f>
        <v>0</v>
      </c>
    </row>
    <row r="817" spans="3:6" x14ac:dyDescent="0.25">
      <c r="C817" s="25" t="str">
        <f t="shared" si="12"/>
        <v/>
      </c>
      <c r="F817" s="29" cm="1">
        <f t="array" ref="F817">SUMPRODUCT((Radio!$A$2:$A$1000=Радиостанции!A817)*(Radio!$B$2:$B$1000=Радиостанции!D817)*Radio!$C$2:$C$1000)</f>
        <v>0</v>
      </c>
    </row>
    <row r="818" spans="3:6" x14ac:dyDescent="0.25">
      <c r="C818" s="25" t="str">
        <f t="shared" si="12"/>
        <v/>
      </c>
      <c r="F818" s="29" cm="1">
        <f t="array" ref="F818">SUMPRODUCT((Radio!$A$2:$A$1000=Радиостанции!A818)*(Radio!$B$2:$B$1000=Радиостанции!D818)*Radio!$C$2:$C$1000)</f>
        <v>0</v>
      </c>
    </row>
    <row r="819" spans="3:6" x14ac:dyDescent="0.25">
      <c r="C819" s="25" t="str">
        <f t="shared" si="12"/>
        <v/>
      </c>
      <c r="F819" s="29" cm="1">
        <f t="array" ref="F819">SUMPRODUCT((Radio!$A$2:$A$1000=Радиостанции!A819)*(Radio!$B$2:$B$1000=Радиостанции!D819)*Radio!$C$2:$C$1000)</f>
        <v>0</v>
      </c>
    </row>
    <row r="820" spans="3:6" x14ac:dyDescent="0.25">
      <c r="C820" s="25" t="str">
        <f t="shared" si="12"/>
        <v/>
      </c>
      <c r="F820" s="29" cm="1">
        <f t="array" ref="F820">SUMPRODUCT((Radio!$A$2:$A$1000=Радиостанции!A820)*(Radio!$B$2:$B$1000=Радиостанции!D820)*Radio!$C$2:$C$1000)</f>
        <v>0</v>
      </c>
    </row>
    <row r="821" spans="3:6" x14ac:dyDescent="0.25">
      <c r="C821" s="25" t="str">
        <f t="shared" si="12"/>
        <v/>
      </c>
      <c r="F821" s="29" cm="1">
        <f t="array" ref="F821">SUMPRODUCT((Radio!$A$2:$A$1000=Радиостанции!A821)*(Radio!$B$2:$B$1000=Радиостанции!D821)*Radio!$C$2:$C$1000)</f>
        <v>0</v>
      </c>
    </row>
    <row r="822" spans="3:6" x14ac:dyDescent="0.25">
      <c r="C822" s="25" t="str">
        <f t="shared" si="12"/>
        <v/>
      </c>
      <c r="F822" s="29" cm="1">
        <f t="array" ref="F822">SUMPRODUCT((Radio!$A$2:$A$1000=Радиостанции!A822)*(Radio!$B$2:$B$1000=Радиостанции!D822)*Radio!$C$2:$C$1000)</f>
        <v>0</v>
      </c>
    </row>
    <row r="823" spans="3:6" x14ac:dyDescent="0.25">
      <c r="C823" s="25" t="str">
        <f t="shared" si="12"/>
        <v/>
      </c>
      <c r="F823" s="29" cm="1">
        <f t="array" ref="F823">SUMPRODUCT((Radio!$A$2:$A$1000=Радиостанции!A823)*(Radio!$B$2:$B$1000=Радиостанции!D823)*Radio!$C$2:$C$1000)</f>
        <v>0</v>
      </c>
    </row>
    <row r="824" spans="3:6" x14ac:dyDescent="0.25">
      <c r="C824" s="25" t="str">
        <f t="shared" si="12"/>
        <v/>
      </c>
      <c r="F824" s="29" cm="1">
        <f t="array" ref="F824">SUMPRODUCT((Radio!$A$2:$A$1000=Радиостанции!A824)*(Radio!$B$2:$B$1000=Радиостанции!D824)*Radio!$C$2:$C$1000)</f>
        <v>0</v>
      </c>
    </row>
    <row r="825" spans="3:6" x14ac:dyDescent="0.25">
      <c r="C825" s="25" t="str">
        <f t="shared" si="12"/>
        <v/>
      </c>
      <c r="F825" s="29" cm="1">
        <f t="array" ref="F825">SUMPRODUCT((Radio!$A$2:$A$1000=Радиостанции!A825)*(Radio!$B$2:$B$1000=Радиостанции!D825)*Radio!$C$2:$C$1000)</f>
        <v>0</v>
      </c>
    </row>
    <row r="826" spans="3:6" x14ac:dyDescent="0.25">
      <c r="C826" s="25" t="str">
        <f t="shared" si="12"/>
        <v/>
      </c>
      <c r="F826" s="29" cm="1">
        <f t="array" ref="F826">SUMPRODUCT((Radio!$A$2:$A$1000=Радиостанции!A826)*(Radio!$B$2:$B$1000=Радиостанции!D826)*Radio!$C$2:$C$1000)</f>
        <v>0</v>
      </c>
    </row>
    <row r="827" spans="3:6" x14ac:dyDescent="0.25">
      <c r="C827" s="25" t="str">
        <f t="shared" si="12"/>
        <v/>
      </c>
      <c r="F827" s="29" cm="1">
        <f t="array" ref="F827">SUMPRODUCT((Radio!$A$2:$A$1000=Радиостанции!A827)*(Radio!$B$2:$B$1000=Радиостанции!D827)*Radio!$C$2:$C$1000)</f>
        <v>0</v>
      </c>
    </row>
    <row r="828" spans="3:6" x14ac:dyDescent="0.25">
      <c r="C828" s="25" t="str">
        <f t="shared" si="12"/>
        <v/>
      </c>
      <c r="F828" s="29" cm="1">
        <f t="array" ref="F828">SUMPRODUCT((Radio!$A$2:$A$1000=Радиостанции!A828)*(Radio!$B$2:$B$1000=Радиостанции!D828)*Radio!$C$2:$C$1000)</f>
        <v>0</v>
      </c>
    </row>
    <row r="829" spans="3:6" x14ac:dyDescent="0.25">
      <c r="C829" s="25" t="str">
        <f t="shared" si="12"/>
        <v/>
      </c>
      <c r="F829" s="29" cm="1">
        <f t="array" ref="F829">SUMPRODUCT((Radio!$A$2:$A$1000=Радиостанции!A829)*(Radio!$B$2:$B$1000=Радиостанции!D829)*Radio!$C$2:$C$1000)</f>
        <v>0</v>
      </c>
    </row>
    <row r="830" spans="3:6" x14ac:dyDescent="0.25">
      <c r="C830" s="25" t="str">
        <f t="shared" si="12"/>
        <v/>
      </c>
      <c r="F830" s="29" cm="1">
        <f t="array" ref="F830">SUMPRODUCT((Radio!$A$2:$A$1000=Радиостанции!A830)*(Radio!$B$2:$B$1000=Радиостанции!D830)*Radio!$C$2:$C$1000)</f>
        <v>0</v>
      </c>
    </row>
    <row r="831" spans="3:6" x14ac:dyDescent="0.25">
      <c r="C831" s="25" t="str">
        <f t="shared" si="12"/>
        <v/>
      </c>
      <c r="F831" s="29" cm="1">
        <f t="array" ref="F831">SUMPRODUCT((Radio!$A$2:$A$1000=Радиостанции!A831)*(Radio!$B$2:$B$1000=Радиостанции!D831)*Radio!$C$2:$C$1000)</f>
        <v>0</v>
      </c>
    </row>
    <row r="832" spans="3:6" x14ac:dyDescent="0.25">
      <c r="C832" s="25" t="str">
        <f t="shared" si="12"/>
        <v/>
      </c>
      <c r="F832" s="29" cm="1">
        <f t="array" ref="F832">SUMPRODUCT((Radio!$A$2:$A$1000=Радиостанции!A832)*(Radio!$B$2:$B$1000=Радиостанции!D832)*Radio!$C$2:$C$1000)</f>
        <v>0</v>
      </c>
    </row>
    <row r="833" spans="3:6" x14ac:dyDescent="0.25">
      <c r="C833" s="25" t="str">
        <f t="shared" si="12"/>
        <v/>
      </c>
      <c r="F833" s="29" cm="1">
        <f t="array" ref="F833">SUMPRODUCT((Radio!$A$2:$A$1000=Радиостанции!A833)*(Radio!$B$2:$B$1000=Радиостанции!D833)*Radio!$C$2:$C$1000)</f>
        <v>0</v>
      </c>
    </row>
    <row r="834" spans="3:6" x14ac:dyDescent="0.25">
      <c r="C834" s="25" t="str">
        <f t="shared" si="12"/>
        <v/>
      </c>
      <c r="F834" s="29" cm="1">
        <f t="array" ref="F834">SUMPRODUCT((Radio!$A$2:$A$1000=Радиостанции!A834)*(Radio!$B$2:$B$1000=Радиостанции!D834)*Radio!$C$2:$C$1000)</f>
        <v>0</v>
      </c>
    </row>
    <row r="835" spans="3:6" x14ac:dyDescent="0.25">
      <c r="C835" s="25" t="str">
        <f t="shared" ref="C835:C898" si="13">_xlfn.CONCAT(A835,B835)</f>
        <v/>
      </c>
      <c r="F835" s="29" cm="1">
        <f t="array" ref="F835">SUMPRODUCT((Radio!$A$2:$A$1000=Радиостанции!A835)*(Radio!$B$2:$B$1000=Радиостанции!D835)*Radio!$C$2:$C$1000)</f>
        <v>0</v>
      </c>
    </row>
    <row r="836" spans="3:6" x14ac:dyDescent="0.25">
      <c r="C836" s="25" t="str">
        <f t="shared" si="13"/>
        <v/>
      </c>
      <c r="F836" s="29" cm="1">
        <f t="array" ref="F836">SUMPRODUCT((Radio!$A$2:$A$1000=Радиостанции!A836)*(Radio!$B$2:$B$1000=Радиостанции!D836)*Radio!$C$2:$C$1000)</f>
        <v>0</v>
      </c>
    </row>
    <row r="837" spans="3:6" x14ac:dyDescent="0.25">
      <c r="C837" s="25" t="str">
        <f t="shared" si="13"/>
        <v/>
      </c>
      <c r="F837" s="29" cm="1">
        <f t="array" ref="F837">SUMPRODUCT((Radio!$A$2:$A$1000=Радиостанции!A837)*(Radio!$B$2:$B$1000=Радиостанции!D837)*Radio!$C$2:$C$1000)</f>
        <v>0</v>
      </c>
    </row>
    <row r="838" spans="3:6" x14ac:dyDescent="0.25">
      <c r="C838" s="25" t="str">
        <f t="shared" si="13"/>
        <v/>
      </c>
      <c r="F838" s="29" cm="1">
        <f t="array" ref="F838">SUMPRODUCT((Radio!$A$2:$A$1000=Радиостанции!A838)*(Radio!$B$2:$B$1000=Радиостанции!D838)*Radio!$C$2:$C$1000)</f>
        <v>0</v>
      </c>
    </row>
    <row r="839" spans="3:6" x14ac:dyDescent="0.25">
      <c r="C839" s="25" t="str">
        <f t="shared" si="13"/>
        <v/>
      </c>
      <c r="F839" s="29" cm="1">
        <f t="array" ref="F839">SUMPRODUCT((Radio!$A$2:$A$1000=Радиостанции!A839)*(Radio!$B$2:$B$1000=Радиостанции!D839)*Radio!$C$2:$C$1000)</f>
        <v>0</v>
      </c>
    </row>
    <row r="840" spans="3:6" x14ac:dyDescent="0.25">
      <c r="C840" s="25" t="str">
        <f t="shared" si="13"/>
        <v/>
      </c>
      <c r="F840" s="29" cm="1">
        <f t="array" ref="F840">SUMPRODUCT((Radio!$A$2:$A$1000=Радиостанции!A840)*(Radio!$B$2:$B$1000=Радиостанции!D840)*Radio!$C$2:$C$1000)</f>
        <v>0</v>
      </c>
    </row>
    <row r="841" spans="3:6" x14ac:dyDescent="0.25">
      <c r="C841" s="25" t="str">
        <f t="shared" si="13"/>
        <v/>
      </c>
      <c r="F841" s="29" cm="1">
        <f t="array" ref="F841">SUMPRODUCT((Radio!$A$2:$A$1000=Радиостанции!A841)*(Radio!$B$2:$B$1000=Радиостанции!D841)*Radio!$C$2:$C$1000)</f>
        <v>0</v>
      </c>
    </row>
    <row r="842" spans="3:6" x14ac:dyDescent="0.25">
      <c r="C842" s="25" t="str">
        <f t="shared" si="13"/>
        <v/>
      </c>
      <c r="F842" s="29" cm="1">
        <f t="array" ref="F842">SUMPRODUCT((Radio!$A$2:$A$1000=Радиостанции!A842)*(Radio!$B$2:$B$1000=Радиостанции!D842)*Radio!$C$2:$C$1000)</f>
        <v>0</v>
      </c>
    </row>
    <row r="843" spans="3:6" x14ac:dyDescent="0.25">
      <c r="C843" s="25" t="str">
        <f t="shared" si="13"/>
        <v/>
      </c>
      <c r="F843" s="29" cm="1">
        <f t="array" ref="F843">SUMPRODUCT((Radio!$A$2:$A$1000=Радиостанции!A843)*(Radio!$B$2:$B$1000=Радиостанции!D843)*Radio!$C$2:$C$1000)</f>
        <v>0</v>
      </c>
    </row>
    <row r="844" spans="3:6" x14ac:dyDescent="0.25">
      <c r="C844" s="25" t="str">
        <f t="shared" si="13"/>
        <v/>
      </c>
      <c r="F844" s="29" cm="1">
        <f t="array" ref="F844">SUMPRODUCT((Radio!$A$2:$A$1000=Радиостанции!A844)*(Radio!$B$2:$B$1000=Радиостанции!D844)*Radio!$C$2:$C$1000)</f>
        <v>0</v>
      </c>
    </row>
    <row r="845" spans="3:6" x14ac:dyDescent="0.25">
      <c r="C845" s="25" t="str">
        <f t="shared" si="13"/>
        <v/>
      </c>
      <c r="F845" s="29" cm="1">
        <f t="array" ref="F845">SUMPRODUCT((Radio!$A$2:$A$1000=Радиостанции!A845)*(Radio!$B$2:$B$1000=Радиостанции!D845)*Radio!$C$2:$C$1000)</f>
        <v>0</v>
      </c>
    </row>
    <row r="846" spans="3:6" x14ac:dyDescent="0.25">
      <c r="C846" s="25" t="str">
        <f t="shared" si="13"/>
        <v/>
      </c>
      <c r="F846" s="29" cm="1">
        <f t="array" ref="F846">SUMPRODUCT((Radio!$A$2:$A$1000=Радиостанции!A846)*(Radio!$B$2:$B$1000=Радиостанции!D846)*Radio!$C$2:$C$1000)</f>
        <v>0</v>
      </c>
    </row>
    <row r="847" spans="3:6" x14ac:dyDescent="0.25">
      <c r="C847" s="25" t="str">
        <f t="shared" si="13"/>
        <v/>
      </c>
      <c r="F847" s="29" cm="1">
        <f t="array" ref="F847">SUMPRODUCT((Radio!$A$2:$A$1000=Радиостанции!A847)*(Radio!$B$2:$B$1000=Радиостанции!D847)*Radio!$C$2:$C$1000)</f>
        <v>0</v>
      </c>
    </row>
    <row r="848" spans="3:6" x14ac:dyDescent="0.25">
      <c r="C848" s="25" t="str">
        <f t="shared" si="13"/>
        <v/>
      </c>
      <c r="F848" s="29" cm="1">
        <f t="array" ref="F848">SUMPRODUCT((Radio!$A$2:$A$1000=Радиостанции!A848)*(Radio!$B$2:$B$1000=Радиостанции!D848)*Radio!$C$2:$C$1000)</f>
        <v>0</v>
      </c>
    </row>
    <row r="849" spans="3:6" x14ac:dyDescent="0.25">
      <c r="C849" s="25" t="str">
        <f t="shared" si="13"/>
        <v/>
      </c>
      <c r="F849" s="29" cm="1">
        <f t="array" ref="F849">SUMPRODUCT((Radio!$A$2:$A$1000=Радиостанции!A849)*(Radio!$B$2:$B$1000=Радиостанции!D849)*Radio!$C$2:$C$1000)</f>
        <v>0</v>
      </c>
    </row>
    <row r="850" spans="3:6" x14ac:dyDescent="0.25">
      <c r="C850" s="25" t="str">
        <f t="shared" si="13"/>
        <v/>
      </c>
      <c r="F850" s="29" cm="1">
        <f t="array" ref="F850">SUMPRODUCT((Radio!$A$2:$A$1000=Радиостанции!A850)*(Radio!$B$2:$B$1000=Радиостанции!D850)*Radio!$C$2:$C$1000)</f>
        <v>0</v>
      </c>
    </row>
    <row r="851" spans="3:6" x14ac:dyDescent="0.25">
      <c r="C851" s="25" t="str">
        <f t="shared" si="13"/>
        <v/>
      </c>
      <c r="F851" s="29" cm="1">
        <f t="array" ref="F851">SUMPRODUCT((Radio!$A$2:$A$1000=Радиостанции!A851)*(Radio!$B$2:$B$1000=Радиостанции!D851)*Radio!$C$2:$C$1000)</f>
        <v>0</v>
      </c>
    </row>
    <row r="852" spans="3:6" x14ac:dyDescent="0.25">
      <c r="C852" s="25" t="str">
        <f t="shared" si="13"/>
        <v/>
      </c>
      <c r="F852" s="29" cm="1">
        <f t="array" ref="F852">SUMPRODUCT((Radio!$A$2:$A$1000=Радиостанции!A852)*(Radio!$B$2:$B$1000=Радиостанции!D852)*Radio!$C$2:$C$1000)</f>
        <v>0</v>
      </c>
    </row>
    <row r="853" spans="3:6" x14ac:dyDescent="0.25">
      <c r="C853" s="25" t="str">
        <f t="shared" si="13"/>
        <v/>
      </c>
      <c r="F853" s="29" cm="1">
        <f t="array" ref="F853">SUMPRODUCT((Radio!$A$2:$A$1000=Радиостанции!A853)*(Radio!$B$2:$B$1000=Радиостанции!D853)*Radio!$C$2:$C$1000)</f>
        <v>0</v>
      </c>
    </row>
    <row r="854" spans="3:6" x14ac:dyDescent="0.25">
      <c r="C854" s="25" t="str">
        <f t="shared" si="13"/>
        <v/>
      </c>
      <c r="F854" s="29" cm="1">
        <f t="array" ref="F854">SUMPRODUCT((Radio!$A$2:$A$1000=Радиостанции!A854)*(Radio!$B$2:$B$1000=Радиостанции!D854)*Radio!$C$2:$C$1000)</f>
        <v>0</v>
      </c>
    </row>
    <row r="855" spans="3:6" x14ac:dyDescent="0.25">
      <c r="C855" s="25" t="str">
        <f t="shared" si="13"/>
        <v/>
      </c>
      <c r="F855" s="29" cm="1">
        <f t="array" ref="F855">SUMPRODUCT((Radio!$A$2:$A$1000=Радиостанции!A855)*(Radio!$B$2:$B$1000=Радиостанции!D855)*Radio!$C$2:$C$1000)</f>
        <v>0</v>
      </c>
    </row>
    <row r="856" spans="3:6" x14ac:dyDescent="0.25">
      <c r="C856" s="25" t="str">
        <f t="shared" si="13"/>
        <v/>
      </c>
      <c r="F856" s="29" cm="1">
        <f t="array" ref="F856">SUMPRODUCT((Radio!$A$2:$A$1000=Радиостанции!A856)*(Radio!$B$2:$B$1000=Радиостанции!D856)*Radio!$C$2:$C$1000)</f>
        <v>0</v>
      </c>
    </row>
    <row r="857" spans="3:6" x14ac:dyDescent="0.25">
      <c r="C857" s="25" t="str">
        <f t="shared" si="13"/>
        <v/>
      </c>
      <c r="F857" s="29" cm="1">
        <f t="array" ref="F857">SUMPRODUCT((Radio!$A$2:$A$1000=Радиостанции!A857)*(Radio!$B$2:$B$1000=Радиостанции!D857)*Radio!$C$2:$C$1000)</f>
        <v>0</v>
      </c>
    </row>
    <row r="858" spans="3:6" x14ac:dyDescent="0.25">
      <c r="C858" s="25" t="str">
        <f t="shared" si="13"/>
        <v/>
      </c>
      <c r="F858" s="29" cm="1">
        <f t="array" ref="F858">SUMPRODUCT((Radio!$A$2:$A$1000=Радиостанции!A858)*(Radio!$B$2:$B$1000=Радиостанции!D858)*Radio!$C$2:$C$1000)</f>
        <v>0</v>
      </c>
    </row>
    <row r="859" spans="3:6" x14ac:dyDescent="0.25">
      <c r="C859" s="25" t="str">
        <f t="shared" si="13"/>
        <v/>
      </c>
      <c r="F859" s="29" cm="1">
        <f t="array" ref="F859">SUMPRODUCT((Radio!$A$2:$A$1000=Радиостанции!A859)*(Radio!$B$2:$B$1000=Радиостанции!D859)*Radio!$C$2:$C$1000)</f>
        <v>0</v>
      </c>
    </row>
    <row r="860" spans="3:6" x14ac:dyDescent="0.25">
      <c r="C860" s="25" t="str">
        <f t="shared" si="13"/>
        <v/>
      </c>
      <c r="F860" s="29" cm="1">
        <f t="array" ref="F860">SUMPRODUCT((Radio!$A$2:$A$1000=Радиостанции!A860)*(Radio!$B$2:$B$1000=Радиостанции!D860)*Radio!$C$2:$C$1000)</f>
        <v>0</v>
      </c>
    </row>
    <row r="861" spans="3:6" x14ac:dyDescent="0.25">
      <c r="C861" s="25" t="str">
        <f t="shared" si="13"/>
        <v/>
      </c>
      <c r="F861" s="29" cm="1">
        <f t="array" ref="F861">SUMPRODUCT((Radio!$A$2:$A$1000=Радиостанции!A861)*(Radio!$B$2:$B$1000=Радиостанции!D861)*Radio!$C$2:$C$1000)</f>
        <v>0</v>
      </c>
    </row>
    <row r="862" spans="3:6" x14ac:dyDescent="0.25">
      <c r="C862" s="25" t="str">
        <f t="shared" si="13"/>
        <v/>
      </c>
      <c r="F862" s="29" cm="1">
        <f t="array" ref="F862">SUMPRODUCT((Radio!$A$2:$A$1000=Радиостанции!A862)*(Radio!$B$2:$B$1000=Радиостанции!D862)*Radio!$C$2:$C$1000)</f>
        <v>0</v>
      </c>
    </row>
    <row r="863" spans="3:6" x14ac:dyDescent="0.25">
      <c r="C863" s="25" t="str">
        <f t="shared" si="13"/>
        <v/>
      </c>
      <c r="F863" s="29" cm="1">
        <f t="array" ref="F863">SUMPRODUCT((Radio!$A$2:$A$1000=Радиостанции!A863)*(Radio!$B$2:$B$1000=Радиостанции!D863)*Radio!$C$2:$C$1000)</f>
        <v>0</v>
      </c>
    </row>
    <row r="864" spans="3:6" x14ac:dyDescent="0.25">
      <c r="C864" s="25" t="str">
        <f t="shared" si="13"/>
        <v/>
      </c>
      <c r="F864" s="29" cm="1">
        <f t="array" ref="F864">SUMPRODUCT((Radio!$A$2:$A$1000=Радиостанции!A864)*(Radio!$B$2:$B$1000=Радиостанции!D864)*Radio!$C$2:$C$1000)</f>
        <v>0</v>
      </c>
    </row>
    <row r="865" spans="3:6" x14ac:dyDescent="0.25">
      <c r="C865" s="25" t="str">
        <f t="shared" si="13"/>
        <v/>
      </c>
      <c r="F865" s="29" cm="1">
        <f t="array" ref="F865">SUMPRODUCT((Radio!$A$2:$A$1000=Радиостанции!A865)*(Radio!$B$2:$B$1000=Радиостанции!D865)*Radio!$C$2:$C$1000)</f>
        <v>0</v>
      </c>
    </row>
    <row r="866" spans="3:6" x14ac:dyDescent="0.25">
      <c r="C866" s="25" t="str">
        <f t="shared" si="13"/>
        <v/>
      </c>
      <c r="F866" s="29" cm="1">
        <f t="array" ref="F866">SUMPRODUCT((Radio!$A$2:$A$1000=Радиостанции!A866)*(Radio!$B$2:$B$1000=Радиостанции!D866)*Radio!$C$2:$C$1000)</f>
        <v>0</v>
      </c>
    </row>
    <row r="867" spans="3:6" x14ac:dyDescent="0.25">
      <c r="C867" s="25" t="str">
        <f t="shared" si="13"/>
        <v/>
      </c>
      <c r="F867" s="29" cm="1">
        <f t="array" ref="F867">SUMPRODUCT((Radio!$A$2:$A$1000=Радиостанции!A867)*(Radio!$B$2:$B$1000=Радиостанции!D867)*Radio!$C$2:$C$1000)</f>
        <v>0</v>
      </c>
    </row>
    <row r="868" spans="3:6" x14ac:dyDescent="0.25">
      <c r="C868" s="25" t="str">
        <f t="shared" si="13"/>
        <v/>
      </c>
      <c r="F868" s="29" cm="1">
        <f t="array" ref="F868">SUMPRODUCT((Radio!$A$2:$A$1000=Радиостанции!A868)*(Radio!$B$2:$B$1000=Радиостанции!D868)*Radio!$C$2:$C$1000)</f>
        <v>0</v>
      </c>
    </row>
    <row r="869" spans="3:6" x14ac:dyDescent="0.25">
      <c r="C869" s="25" t="str">
        <f t="shared" si="13"/>
        <v/>
      </c>
      <c r="F869" s="29" cm="1">
        <f t="array" ref="F869">SUMPRODUCT((Radio!$A$2:$A$1000=Радиостанции!A869)*(Radio!$B$2:$B$1000=Радиостанции!D869)*Radio!$C$2:$C$1000)</f>
        <v>0</v>
      </c>
    </row>
    <row r="870" spans="3:6" x14ac:dyDescent="0.25">
      <c r="C870" s="25" t="str">
        <f t="shared" si="13"/>
        <v/>
      </c>
      <c r="F870" s="29" cm="1">
        <f t="array" ref="F870">SUMPRODUCT((Radio!$A$2:$A$1000=Радиостанции!A870)*(Radio!$B$2:$B$1000=Радиостанции!D870)*Radio!$C$2:$C$1000)</f>
        <v>0</v>
      </c>
    </row>
    <row r="871" spans="3:6" x14ac:dyDescent="0.25">
      <c r="C871" s="25" t="str">
        <f t="shared" si="13"/>
        <v/>
      </c>
      <c r="F871" s="29" cm="1">
        <f t="array" ref="F871">SUMPRODUCT((Radio!$A$2:$A$1000=Радиостанции!A871)*(Radio!$B$2:$B$1000=Радиостанции!D871)*Radio!$C$2:$C$1000)</f>
        <v>0</v>
      </c>
    </row>
    <row r="872" spans="3:6" x14ac:dyDescent="0.25">
      <c r="C872" s="25" t="str">
        <f t="shared" si="13"/>
        <v/>
      </c>
      <c r="F872" s="29" cm="1">
        <f t="array" ref="F872">SUMPRODUCT((Radio!$A$2:$A$1000=Радиостанции!A872)*(Radio!$B$2:$B$1000=Радиостанции!D872)*Radio!$C$2:$C$1000)</f>
        <v>0</v>
      </c>
    </row>
    <row r="873" spans="3:6" x14ac:dyDescent="0.25">
      <c r="C873" s="25" t="str">
        <f t="shared" si="13"/>
        <v/>
      </c>
      <c r="F873" s="29" cm="1">
        <f t="array" ref="F873">SUMPRODUCT((Radio!$A$2:$A$1000=Радиостанции!A873)*(Radio!$B$2:$B$1000=Радиостанции!D873)*Radio!$C$2:$C$1000)</f>
        <v>0</v>
      </c>
    </row>
    <row r="874" spans="3:6" x14ac:dyDescent="0.25">
      <c r="C874" s="25" t="str">
        <f t="shared" si="13"/>
        <v/>
      </c>
      <c r="F874" s="29" cm="1">
        <f t="array" ref="F874">SUMPRODUCT((Radio!$A$2:$A$1000=Радиостанции!A874)*(Radio!$B$2:$B$1000=Радиостанции!D874)*Radio!$C$2:$C$1000)</f>
        <v>0</v>
      </c>
    </row>
    <row r="875" spans="3:6" x14ac:dyDescent="0.25">
      <c r="C875" s="25" t="str">
        <f t="shared" si="13"/>
        <v/>
      </c>
      <c r="F875" s="29" cm="1">
        <f t="array" ref="F875">SUMPRODUCT((Radio!$A$2:$A$1000=Радиостанции!A875)*(Radio!$B$2:$B$1000=Радиостанции!D875)*Radio!$C$2:$C$1000)</f>
        <v>0</v>
      </c>
    </row>
    <row r="876" spans="3:6" x14ac:dyDescent="0.25">
      <c r="C876" s="25" t="str">
        <f t="shared" si="13"/>
        <v/>
      </c>
      <c r="F876" s="29" cm="1">
        <f t="array" ref="F876">SUMPRODUCT((Radio!$A$2:$A$1000=Радиостанции!A876)*(Radio!$B$2:$B$1000=Радиостанции!D876)*Radio!$C$2:$C$1000)</f>
        <v>0</v>
      </c>
    </row>
    <row r="877" spans="3:6" x14ac:dyDescent="0.25">
      <c r="C877" s="25" t="str">
        <f t="shared" si="13"/>
        <v/>
      </c>
      <c r="F877" s="29" cm="1">
        <f t="array" ref="F877">SUMPRODUCT((Radio!$A$2:$A$1000=Радиостанции!A877)*(Radio!$B$2:$B$1000=Радиостанции!D877)*Radio!$C$2:$C$1000)</f>
        <v>0</v>
      </c>
    </row>
    <row r="878" spans="3:6" x14ac:dyDescent="0.25">
      <c r="C878" s="25" t="str">
        <f t="shared" si="13"/>
        <v/>
      </c>
      <c r="F878" s="29" cm="1">
        <f t="array" ref="F878">SUMPRODUCT((Radio!$A$2:$A$1000=Радиостанции!A878)*(Radio!$B$2:$B$1000=Радиостанции!D878)*Radio!$C$2:$C$1000)</f>
        <v>0</v>
      </c>
    </row>
    <row r="879" spans="3:6" x14ac:dyDescent="0.25">
      <c r="C879" s="25" t="str">
        <f t="shared" si="13"/>
        <v/>
      </c>
      <c r="F879" s="29" cm="1">
        <f t="array" ref="F879">SUMPRODUCT((Radio!$A$2:$A$1000=Радиостанции!A879)*(Radio!$B$2:$B$1000=Радиостанции!D879)*Radio!$C$2:$C$1000)</f>
        <v>0</v>
      </c>
    </row>
    <row r="880" spans="3:6" x14ac:dyDescent="0.25">
      <c r="C880" s="25" t="str">
        <f t="shared" si="13"/>
        <v/>
      </c>
      <c r="F880" s="29" cm="1">
        <f t="array" ref="F880">SUMPRODUCT((Radio!$A$2:$A$1000=Радиостанции!A880)*(Radio!$B$2:$B$1000=Радиостанции!D880)*Radio!$C$2:$C$1000)</f>
        <v>0</v>
      </c>
    </row>
    <row r="881" spans="3:6" x14ac:dyDescent="0.25">
      <c r="C881" s="25" t="str">
        <f t="shared" si="13"/>
        <v/>
      </c>
      <c r="F881" s="29" cm="1">
        <f t="array" ref="F881">SUMPRODUCT((Radio!$A$2:$A$1000=Радиостанции!A881)*(Radio!$B$2:$B$1000=Радиостанции!D881)*Radio!$C$2:$C$1000)</f>
        <v>0</v>
      </c>
    </row>
    <row r="882" spans="3:6" x14ac:dyDescent="0.25">
      <c r="C882" s="25" t="str">
        <f t="shared" si="13"/>
        <v/>
      </c>
      <c r="F882" s="29" cm="1">
        <f t="array" ref="F882">SUMPRODUCT((Radio!$A$2:$A$1000=Радиостанции!A882)*(Radio!$B$2:$B$1000=Радиостанции!D882)*Radio!$C$2:$C$1000)</f>
        <v>0</v>
      </c>
    </row>
    <row r="883" spans="3:6" x14ac:dyDescent="0.25">
      <c r="C883" s="25" t="str">
        <f t="shared" si="13"/>
        <v/>
      </c>
      <c r="F883" s="29" cm="1">
        <f t="array" ref="F883">SUMPRODUCT((Radio!$A$2:$A$1000=Радиостанции!A883)*(Radio!$B$2:$B$1000=Радиостанции!D883)*Radio!$C$2:$C$1000)</f>
        <v>0</v>
      </c>
    </row>
    <row r="884" spans="3:6" x14ac:dyDescent="0.25">
      <c r="C884" s="25" t="str">
        <f t="shared" si="13"/>
        <v/>
      </c>
      <c r="F884" s="29" cm="1">
        <f t="array" ref="F884">SUMPRODUCT((Radio!$A$2:$A$1000=Радиостанции!A884)*(Radio!$B$2:$B$1000=Радиостанции!D884)*Radio!$C$2:$C$1000)</f>
        <v>0</v>
      </c>
    </row>
    <row r="885" spans="3:6" x14ac:dyDescent="0.25">
      <c r="C885" s="25" t="str">
        <f t="shared" si="13"/>
        <v/>
      </c>
      <c r="F885" s="29" cm="1">
        <f t="array" ref="F885">SUMPRODUCT((Radio!$A$2:$A$1000=Радиостанции!A885)*(Radio!$B$2:$B$1000=Радиостанции!D885)*Radio!$C$2:$C$1000)</f>
        <v>0</v>
      </c>
    </row>
    <row r="886" spans="3:6" x14ac:dyDescent="0.25">
      <c r="C886" s="25" t="str">
        <f t="shared" si="13"/>
        <v/>
      </c>
      <c r="F886" s="29" cm="1">
        <f t="array" ref="F886">SUMPRODUCT((Radio!$A$2:$A$1000=Радиостанции!A886)*(Radio!$B$2:$B$1000=Радиостанции!D886)*Radio!$C$2:$C$1000)</f>
        <v>0</v>
      </c>
    </row>
    <row r="887" spans="3:6" x14ac:dyDescent="0.25">
      <c r="C887" s="25" t="str">
        <f t="shared" si="13"/>
        <v/>
      </c>
      <c r="F887" s="29" cm="1">
        <f t="array" ref="F887">SUMPRODUCT((Radio!$A$2:$A$1000=Радиостанции!A887)*(Radio!$B$2:$B$1000=Радиостанции!D887)*Radio!$C$2:$C$1000)</f>
        <v>0</v>
      </c>
    </row>
    <row r="888" spans="3:6" x14ac:dyDescent="0.25">
      <c r="C888" s="25" t="str">
        <f t="shared" si="13"/>
        <v/>
      </c>
      <c r="F888" s="29" cm="1">
        <f t="array" ref="F888">SUMPRODUCT((Radio!$A$2:$A$1000=Радиостанции!A888)*(Radio!$B$2:$B$1000=Радиостанции!D888)*Radio!$C$2:$C$1000)</f>
        <v>0</v>
      </c>
    </row>
    <row r="889" spans="3:6" x14ac:dyDescent="0.25">
      <c r="C889" s="25" t="str">
        <f t="shared" si="13"/>
        <v/>
      </c>
      <c r="F889" s="29" cm="1">
        <f t="array" ref="F889">SUMPRODUCT((Radio!$A$2:$A$1000=Радиостанции!A889)*(Radio!$B$2:$B$1000=Радиостанции!D889)*Radio!$C$2:$C$1000)</f>
        <v>0</v>
      </c>
    </row>
    <row r="890" spans="3:6" x14ac:dyDescent="0.25">
      <c r="C890" s="25" t="str">
        <f t="shared" si="13"/>
        <v/>
      </c>
      <c r="F890" s="29" cm="1">
        <f t="array" ref="F890">SUMPRODUCT((Radio!$A$2:$A$1000=Радиостанции!A890)*(Radio!$B$2:$B$1000=Радиостанции!D890)*Radio!$C$2:$C$1000)</f>
        <v>0</v>
      </c>
    </row>
    <row r="891" spans="3:6" x14ac:dyDescent="0.25">
      <c r="C891" s="25" t="str">
        <f t="shared" si="13"/>
        <v/>
      </c>
      <c r="F891" s="29" cm="1">
        <f t="array" ref="F891">SUMPRODUCT((Radio!$A$2:$A$1000=Радиостанции!A891)*(Radio!$B$2:$B$1000=Радиостанции!D891)*Radio!$C$2:$C$1000)</f>
        <v>0</v>
      </c>
    </row>
    <row r="892" spans="3:6" x14ac:dyDescent="0.25">
      <c r="C892" s="25" t="str">
        <f t="shared" si="13"/>
        <v/>
      </c>
      <c r="F892" s="29" cm="1">
        <f t="array" ref="F892">SUMPRODUCT((Radio!$A$2:$A$1000=Радиостанции!A892)*(Radio!$B$2:$B$1000=Радиостанции!D892)*Radio!$C$2:$C$1000)</f>
        <v>0</v>
      </c>
    </row>
    <row r="893" spans="3:6" x14ac:dyDescent="0.25">
      <c r="C893" s="25" t="str">
        <f t="shared" si="13"/>
        <v/>
      </c>
      <c r="F893" s="29" cm="1">
        <f t="array" ref="F893">SUMPRODUCT((Radio!$A$2:$A$1000=Радиостанции!A893)*(Radio!$B$2:$B$1000=Радиостанции!D893)*Radio!$C$2:$C$1000)</f>
        <v>0</v>
      </c>
    </row>
    <row r="894" spans="3:6" x14ac:dyDescent="0.25">
      <c r="C894" s="25" t="str">
        <f t="shared" si="13"/>
        <v/>
      </c>
      <c r="F894" s="29" cm="1">
        <f t="array" ref="F894">SUMPRODUCT((Radio!$A$2:$A$1000=Радиостанции!A894)*(Radio!$B$2:$B$1000=Радиостанции!D894)*Radio!$C$2:$C$1000)</f>
        <v>0</v>
      </c>
    </row>
    <row r="895" spans="3:6" x14ac:dyDescent="0.25">
      <c r="C895" s="25" t="str">
        <f t="shared" si="13"/>
        <v/>
      </c>
      <c r="F895" s="29" cm="1">
        <f t="array" ref="F895">SUMPRODUCT((Radio!$A$2:$A$1000=Радиостанции!A895)*(Radio!$B$2:$B$1000=Радиостанции!D895)*Radio!$C$2:$C$1000)</f>
        <v>0</v>
      </c>
    </row>
    <row r="896" spans="3:6" x14ac:dyDescent="0.25">
      <c r="C896" s="25" t="str">
        <f t="shared" si="13"/>
        <v/>
      </c>
      <c r="F896" s="29" cm="1">
        <f t="array" ref="F896">SUMPRODUCT((Radio!$A$2:$A$1000=Радиостанции!A896)*(Radio!$B$2:$B$1000=Радиостанции!D896)*Radio!$C$2:$C$1000)</f>
        <v>0</v>
      </c>
    </row>
    <row r="897" spans="3:6" x14ac:dyDescent="0.25">
      <c r="C897" s="25" t="str">
        <f t="shared" si="13"/>
        <v/>
      </c>
      <c r="F897" s="29" cm="1">
        <f t="array" ref="F897">SUMPRODUCT((Radio!$A$2:$A$1000=Радиостанции!A897)*(Radio!$B$2:$B$1000=Радиостанции!D897)*Radio!$C$2:$C$1000)</f>
        <v>0</v>
      </c>
    </row>
    <row r="898" spans="3:6" x14ac:dyDescent="0.25">
      <c r="C898" s="25" t="str">
        <f t="shared" si="13"/>
        <v/>
      </c>
      <c r="F898" s="29" cm="1">
        <f t="array" ref="F898">SUMPRODUCT((Radio!$A$2:$A$1000=Радиостанции!A898)*(Radio!$B$2:$B$1000=Радиостанции!D898)*Radio!$C$2:$C$1000)</f>
        <v>0</v>
      </c>
    </row>
    <row r="899" spans="3:6" x14ac:dyDescent="0.25">
      <c r="C899" s="25" t="str">
        <f t="shared" ref="C899:C962" si="14">_xlfn.CONCAT(A899,B899)</f>
        <v/>
      </c>
      <c r="F899" s="29" cm="1">
        <f t="array" ref="F899">SUMPRODUCT((Radio!$A$2:$A$1000=Радиостанции!A899)*(Radio!$B$2:$B$1000=Радиостанции!D899)*Radio!$C$2:$C$1000)</f>
        <v>0</v>
      </c>
    </row>
    <row r="900" spans="3:6" x14ac:dyDescent="0.25">
      <c r="C900" s="25" t="str">
        <f t="shared" si="14"/>
        <v/>
      </c>
      <c r="F900" s="29" cm="1">
        <f t="array" ref="F900">SUMPRODUCT((Radio!$A$2:$A$1000=Радиостанции!A900)*(Radio!$B$2:$B$1000=Радиостанции!D900)*Radio!$C$2:$C$1000)</f>
        <v>0</v>
      </c>
    </row>
    <row r="901" spans="3:6" x14ac:dyDescent="0.25">
      <c r="C901" s="25" t="str">
        <f t="shared" si="14"/>
        <v/>
      </c>
      <c r="F901" s="29" cm="1">
        <f t="array" ref="F901">SUMPRODUCT((Radio!$A$2:$A$1000=Радиостанции!A901)*(Radio!$B$2:$B$1000=Радиостанции!D901)*Radio!$C$2:$C$1000)</f>
        <v>0</v>
      </c>
    </row>
    <row r="902" spans="3:6" x14ac:dyDescent="0.25">
      <c r="C902" s="25" t="str">
        <f t="shared" si="14"/>
        <v/>
      </c>
      <c r="F902" s="29" cm="1">
        <f t="array" ref="F902">SUMPRODUCT((Radio!$A$2:$A$1000=Радиостанции!A902)*(Radio!$B$2:$B$1000=Радиостанции!D902)*Radio!$C$2:$C$1000)</f>
        <v>0</v>
      </c>
    </row>
    <row r="903" spans="3:6" x14ac:dyDescent="0.25">
      <c r="C903" s="25" t="str">
        <f t="shared" si="14"/>
        <v/>
      </c>
      <c r="F903" s="29" cm="1">
        <f t="array" ref="F903">SUMPRODUCT((Radio!$A$2:$A$1000=Радиостанции!A903)*(Radio!$B$2:$B$1000=Радиостанции!D903)*Radio!$C$2:$C$1000)</f>
        <v>0</v>
      </c>
    </row>
    <row r="904" spans="3:6" x14ac:dyDescent="0.25">
      <c r="C904" s="25" t="str">
        <f t="shared" si="14"/>
        <v/>
      </c>
      <c r="F904" s="29" cm="1">
        <f t="array" ref="F904">SUMPRODUCT((Radio!$A$2:$A$1000=Радиостанции!A904)*(Radio!$B$2:$B$1000=Радиостанции!D904)*Radio!$C$2:$C$1000)</f>
        <v>0</v>
      </c>
    </row>
    <row r="905" spans="3:6" x14ac:dyDescent="0.25">
      <c r="C905" s="25" t="str">
        <f t="shared" si="14"/>
        <v/>
      </c>
      <c r="F905" s="29" cm="1">
        <f t="array" ref="F905">SUMPRODUCT((Radio!$A$2:$A$1000=Радиостанции!A905)*(Radio!$B$2:$B$1000=Радиостанции!D905)*Radio!$C$2:$C$1000)</f>
        <v>0</v>
      </c>
    </row>
    <row r="906" spans="3:6" x14ac:dyDescent="0.25">
      <c r="C906" s="25" t="str">
        <f t="shared" si="14"/>
        <v/>
      </c>
      <c r="F906" s="29" cm="1">
        <f t="array" ref="F906">SUMPRODUCT((Radio!$A$2:$A$1000=Радиостанции!A906)*(Radio!$B$2:$B$1000=Радиостанции!D906)*Radio!$C$2:$C$1000)</f>
        <v>0</v>
      </c>
    </row>
    <row r="907" spans="3:6" x14ac:dyDescent="0.25">
      <c r="C907" s="25" t="str">
        <f t="shared" si="14"/>
        <v/>
      </c>
      <c r="F907" s="29" cm="1">
        <f t="array" ref="F907">SUMPRODUCT((Radio!$A$2:$A$1000=Радиостанции!A907)*(Radio!$B$2:$B$1000=Радиостанции!D907)*Radio!$C$2:$C$1000)</f>
        <v>0</v>
      </c>
    </row>
    <row r="908" spans="3:6" x14ac:dyDescent="0.25">
      <c r="C908" s="25" t="str">
        <f t="shared" si="14"/>
        <v/>
      </c>
      <c r="F908" s="29" cm="1">
        <f t="array" ref="F908">SUMPRODUCT((Radio!$A$2:$A$1000=Радиостанции!A908)*(Radio!$B$2:$B$1000=Радиостанции!D908)*Radio!$C$2:$C$1000)</f>
        <v>0</v>
      </c>
    </row>
    <row r="909" spans="3:6" x14ac:dyDescent="0.25">
      <c r="C909" s="25" t="str">
        <f t="shared" si="14"/>
        <v/>
      </c>
      <c r="F909" s="29" cm="1">
        <f t="array" ref="F909">SUMPRODUCT((Radio!$A$2:$A$1000=Радиостанции!A909)*(Radio!$B$2:$B$1000=Радиостанции!D909)*Radio!$C$2:$C$1000)</f>
        <v>0</v>
      </c>
    </row>
    <row r="910" spans="3:6" x14ac:dyDescent="0.25">
      <c r="C910" s="25" t="str">
        <f t="shared" si="14"/>
        <v/>
      </c>
      <c r="F910" s="29" cm="1">
        <f t="array" ref="F910">SUMPRODUCT((Radio!$A$2:$A$1000=Радиостанции!A910)*(Radio!$B$2:$B$1000=Радиостанции!D910)*Radio!$C$2:$C$1000)</f>
        <v>0</v>
      </c>
    </row>
    <row r="911" spans="3:6" x14ac:dyDescent="0.25">
      <c r="C911" s="25" t="str">
        <f t="shared" si="14"/>
        <v/>
      </c>
      <c r="F911" s="29" cm="1">
        <f t="array" ref="F911">SUMPRODUCT((Radio!$A$2:$A$1000=Радиостанции!A911)*(Radio!$B$2:$B$1000=Радиостанции!D911)*Radio!$C$2:$C$1000)</f>
        <v>0</v>
      </c>
    </row>
    <row r="912" spans="3:6" x14ac:dyDescent="0.25">
      <c r="C912" s="25" t="str">
        <f t="shared" si="14"/>
        <v/>
      </c>
      <c r="F912" s="29" cm="1">
        <f t="array" ref="F912">SUMPRODUCT((Radio!$A$2:$A$1000=Радиостанции!A912)*(Radio!$B$2:$B$1000=Радиостанции!D912)*Radio!$C$2:$C$1000)</f>
        <v>0</v>
      </c>
    </row>
    <row r="913" spans="3:6" x14ac:dyDescent="0.25">
      <c r="C913" s="25" t="str">
        <f t="shared" si="14"/>
        <v/>
      </c>
      <c r="F913" s="29" cm="1">
        <f t="array" ref="F913">SUMPRODUCT((Radio!$A$2:$A$1000=Радиостанции!A913)*(Radio!$B$2:$B$1000=Радиостанции!D913)*Radio!$C$2:$C$1000)</f>
        <v>0</v>
      </c>
    </row>
    <row r="914" spans="3:6" x14ac:dyDescent="0.25">
      <c r="C914" s="25" t="str">
        <f t="shared" si="14"/>
        <v/>
      </c>
      <c r="F914" s="29" cm="1">
        <f t="array" ref="F914">SUMPRODUCT((Radio!$A$2:$A$1000=Радиостанции!A914)*(Radio!$B$2:$B$1000=Радиостанции!D914)*Radio!$C$2:$C$1000)</f>
        <v>0</v>
      </c>
    </row>
    <row r="915" spans="3:6" x14ac:dyDescent="0.25">
      <c r="C915" s="25" t="str">
        <f t="shared" si="14"/>
        <v/>
      </c>
      <c r="F915" s="29" cm="1">
        <f t="array" ref="F915">SUMPRODUCT((Radio!$A$2:$A$1000=Радиостанции!A915)*(Radio!$B$2:$B$1000=Радиостанции!D915)*Radio!$C$2:$C$1000)</f>
        <v>0</v>
      </c>
    </row>
    <row r="916" spans="3:6" x14ac:dyDescent="0.25">
      <c r="C916" s="25" t="str">
        <f t="shared" si="14"/>
        <v/>
      </c>
      <c r="F916" s="29" cm="1">
        <f t="array" ref="F916">SUMPRODUCT((Radio!$A$2:$A$1000=Радиостанции!A916)*(Radio!$B$2:$B$1000=Радиостанции!D916)*Radio!$C$2:$C$1000)</f>
        <v>0</v>
      </c>
    </row>
    <row r="917" spans="3:6" x14ac:dyDescent="0.25">
      <c r="C917" s="25" t="str">
        <f t="shared" si="14"/>
        <v/>
      </c>
      <c r="F917" s="29" cm="1">
        <f t="array" ref="F917">SUMPRODUCT((Radio!$A$2:$A$1000=Радиостанции!A917)*(Radio!$B$2:$B$1000=Радиостанции!D917)*Radio!$C$2:$C$1000)</f>
        <v>0</v>
      </c>
    </row>
    <row r="918" spans="3:6" x14ac:dyDescent="0.25">
      <c r="C918" s="25" t="str">
        <f t="shared" si="14"/>
        <v/>
      </c>
      <c r="F918" s="29" cm="1">
        <f t="array" ref="F918">SUMPRODUCT((Radio!$A$2:$A$1000=Радиостанции!A918)*(Radio!$B$2:$B$1000=Радиостанции!D918)*Radio!$C$2:$C$1000)</f>
        <v>0</v>
      </c>
    </row>
    <row r="919" spans="3:6" x14ac:dyDescent="0.25">
      <c r="C919" s="25" t="str">
        <f t="shared" si="14"/>
        <v/>
      </c>
      <c r="F919" s="29" cm="1">
        <f t="array" ref="F919">SUMPRODUCT((Radio!$A$2:$A$1000=Радиостанции!A919)*(Radio!$B$2:$B$1000=Радиостанции!D919)*Radio!$C$2:$C$1000)</f>
        <v>0</v>
      </c>
    </row>
    <row r="920" spans="3:6" x14ac:dyDescent="0.25">
      <c r="C920" s="25" t="str">
        <f t="shared" si="14"/>
        <v/>
      </c>
      <c r="F920" s="29" cm="1">
        <f t="array" ref="F920">SUMPRODUCT((Radio!$A$2:$A$1000=Радиостанции!A920)*(Radio!$B$2:$B$1000=Радиостанции!D920)*Radio!$C$2:$C$1000)</f>
        <v>0</v>
      </c>
    </row>
    <row r="921" spans="3:6" x14ac:dyDescent="0.25">
      <c r="C921" s="25" t="str">
        <f t="shared" si="14"/>
        <v/>
      </c>
      <c r="F921" s="29" cm="1">
        <f t="array" ref="F921">SUMPRODUCT((Radio!$A$2:$A$1000=Радиостанции!A921)*(Radio!$B$2:$B$1000=Радиостанции!D921)*Radio!$C$2:$C$1000)</f>
        <v>0</v>
      </c>
    </row>
    <row r="922" spans="3:6" x14ac:dyDescent="0.25">
      <c r="C922" s="25" t="str">
        <f t="shared" si="14"/>
        <v/>
      </c>
      <c r="F922" s="29" cm="1">
        <f t="array" ref="F922">SUMPRODUCT((Radio!$A$2:$A$1000=Радиостанции!A922)*(Radio!$B$2:$B$1000=Радиостанции!D922)*Radio!$C$2:$C$1000)</f>
        <v>0</v>
      </c>
    </row>
    <row r="923" spans="3:6" x14ac:dyDescent="0.25">
      <c r="C923" s="25" t="str">
        <f t="shared" si="14"/>
        <v/>
      </c>
      <c r="F923" s="29" cm="1">
        <f t="array" ref="F923">SUMPRODUCT((Radio!$A$2:$A$1000=Радиостанции!A923)*(Radio!$B$2:$B$1000=Радиостанции!D923)*Radio!$C$2:$C$1000)</f>
        <v>0</v>
      </c>
    </row>
    <row r="924" spans="3:6" x14ac:dyDescent="0.25">
      <c r="C924" s="25" t="str">
        <f t="shared" si="14"/>
        <v/>
      </c>
      <c r="F924" s="29" cm="1">
        <f t="array" ref="F924">SUMPRODUCT((Radio!$A$2:$A$1000=Радиостанции!A924)*(Radio!$B$2:$B$1000=Радиостанции!D924)*Radio!$C$2:$C$1000)</f>
        <v>0</v>
      </c>
    </row>
    <row r="925" spans="3:6" x14ac:dyDescent="0.25">
      <c r="C925" s="25" t="str">
        <f t="shared" si="14"/>
        <v/>
      </c>
      <c r="F925" s="29" cm="1">
        <f t="array" ref="F925">SUMPRODUCT((Radio!$A$2:$A$1000=Радиостанции!A925)*(Radio!$B$2:$B$1000=Радиостанции!D925)*Radio!$C$2:$C$1000)</f>
        <v>0</v>
      </c>
    </row>
    <row r="926" spans="3:6" x14ac:dyDescent="0.25">
      <c r="C926" s="25" t="str">
        <f t="shared" si="14"/>
        <v/>
      </c>
      <c r="F926" s="29" cm="1">
        <f t="array" ref="F926">SUMPRODUCT((Radio!$A$2:$A$1000=Радиостанции!A926)*(Radio!$B$2:$B$1000=Радиостанции!D926)*Radio!$C$2:$C$1000)</f>
        <v>0</v>
      </c>
    </row>
    <row r="927" spans="3:6" x14ac:dyDescent="0.25">
      <c r="C927" s="25" t="str">
        <f t="shared" si="14"/>
        <v/>
      </c>
      <c r="F927" s="29" cm="1">
        <f t="array" ref="F927">SUMPRODUCT((Radio!$A$2:$A$1000=Радиостанции!A927)*(Radio!$B$2:$B$1000=Радиостанции!D927)*Radio!$C$2:$C$1000)</f>
        <v>0</v>
      </c>
    </row>
    <row r="928" spans="3:6" x14ac:dyDescent="0.25">
      <c r="C928" s="25" t="str">
        <f t="shared" si="14"/>
        <v/>
      </c>
      <c r="F928" s="29" cm="1">
        <f t="array" ref="F928">SUMPRODUCT((Radio!$A$2:$A$1000=Радиостанции!A928)*(Radio!$B$2:$B$1000=Радиостанции!D928)*Radio!$C$2:$C$1000)</f>
        <v>0</v>
      </c>
    </row>
    <row r="929" spans="3:6" x14ac:dyDescent="0.25">
      <c r="C929" s="25" t="str">
        <f t="shared" si="14"/>
        <v/>
      </c>
      <c r="F929" s="29" cm="1">
        <f t="array" ref="F929">SUMPRODUCT((Radio!$A$2:$A$1000=Радиостанции!A929)*(Radio!$B$2:$B$1000=Радиостанции!D929)*Radio!$C$2:$C$1000)</f>
        <v>0</v>
      </c>
    </row>
    <row r="930" spans="3:6" x14ac:dyDescent="0.25">
      <c r="C930" s="25" t="str">
        <f t="shared" si="14"/>
        <v/>
      </c>
      <c r="F930" s="29" cm="1">
        <f t="array" ref="F930">SUMPRODUCT((Radio!$A$2:$A$1000=Радиостанции!A930)*(Radio!$B$2:$B$1000=Радиостанции!D930)*Radio!$C$2:$C$1000)</f>
        <v>0</v>
      </c>
    </row>
    <row r="931" spans="3:6" x14ac:dyDescent="0.25">
      <c r="C931" s="25" t="str">
        <f t="shared" si="14"/>
        <v/>
      </c>
      <c r="F931" s="29" cm="1">
        <f t="array" ref="F931">SUMPRODUCT((Radio!$A$2:$A$1000=Радиостанции!A931)*(Radio!$B$2:$B$1000=Радиостанции!D931)*Radio!$C$2:$C$1000)</f>
        <v>0</v>
      </c>
    </row>
    <row r="932" spans="3:6" x14ac:dyDescent="0.25">
      <c r="C932" s="25" t="str">
        <f t="shared" si="14"/>
        <v/>
      </c>
      <c r="F932" s="29" cm="1">
        <f t="array" ref="F932">SUMPRODUCT((Radio!$A$2:$A$1000=Радиостанции!A932)*(Radio!$B$2:$B$1000=Радиостанции!D932)*Radio!$C$2:$C$1000)</f>
        <v>0</v>
      </c>
    </row>
    <row r="933" spans="3:6" x14ac:dyDescent="0.25">
      <c r="C933" s="25" t="str">
        <f t="shared" si="14"/>
        <v/>
      </c>
      <c r="F933" s="29" cm="1">
        <f t="array" ref="F933">SUMPRODUCT((Radio!$A$2:$A$1000=Радиостанции!A933)*(Radio!$B$2:$B$1000=Радиостанции!D933)*Radio!$C$2:$C$1000)</f>
        <v>0</v>
      </c>
    </row>
    <row r="934" spans="3:6" x14ac:dyDescent="0.25">
      <c r="C934" s="25" t="str">
        <f t="shared" si="14"/>
        <v/>
      </c>
      <c r="F934" s="29" cm="1">
        <f t="array" ref="F934">SUMPRODUCT((Radio!$A$2:$A$1000=Радиостанции!A934)*(Radio!$B$2:$B$1000=Радиостанции!D934)*Radio!$C$2:$C$1000)</f>
        <v>0</v>
      </c>
    </row>
    <row r="935" spans="3:6" x14ac:dyDescent="0.25">
      <c r="C935" s="25" t="str">
        <f t="shared" si="14"/>
        <v/>
      </c>
      <c r="F935" s="29" cm="1">
        <f t="array" ref="F935">SUMPRODUCT((Radio!$A$2:$A$1000=Радиостанции!A935)*(Radio!$B$2:$B$1000=Радиостанции!D935)*Radio!$C$2:$C$1000)</f>
        <v>0</v>
      </c>
    </row>
    <row r="936" spans="3:6" x14ac:dyDescent="0.25">
      <c r="C936" s="25" t="str">
        <f t="shared" si="14"/>
        <v/>
      </c>
      <c r="F936" s="29" cm="1">
        <f t="array" ref="F936">SUMPRODUCT((Radio!$A$2:$A$1000=Радиостанции!A936)*(Radio!$B$2:$B$1000=Радиостанции!D936)*Radio!$C$2:$C$1000)</f>
        <v>0</v>
      </c>
    </row>
    <row r="937" spans="3:6" x14ac:dyDescent="0.25">
      <c r="C937" s="25" t="str">
        <f t="shared" si="14"/>
        <v/>
      </c>
      <c r="F937" s="29" cm="1">
        <f t="array" ref="F937">SUMPRODUCT((Radio!$A$2:$A$1000=Радиостанции!A937)*(Radio!$B$2:$B$1000=Радиостанции!D937)*Radio!$C$2:$C$1000)</f>
        <v>0</v>
      </c>
    </row>
    <row r="938" spans="3:6" x14ac:dyDescent="0.25">
      <c r="C938" s="25" t="str">
        <f t="shared" si="14"/>
        <v/>
      </c>
      <c r="F938" s="29" cm="1">
        <f t="array" ref="F938">SUMPRODUCT((Radio!$A$2:$A$1000=Радиостанции!A938)*(Radio!$B$2:$B$1000=Радиостанции!D938)*Radio!$C$2:$C$1000)</f>
        <v>0</v>
      </c>
    </row>
    <row r="939" spans="3:6" x14ac:dyDescent="0.25">
      <c r="C939" s="25" t="str">
        <f t="shared" si="14"/>
        <v/>
      </c>
      <c r="F939" s="29" cm="1">
        <f t="array" ref="F939">SUMPRODUCT((Radio!$A$2:$A$1000=Радиостанции!A939)*(Radio!$B$2:$B$1000=Радиостанции!D939)*Radio!$C$2:$C$1000)</f>
        <v>0</v>
      </c>
    </row>
    <row r="940" spans="3:6" x14ac:dyDescent="0.25">
      <c r="C940" s="25" t="str">
        <f t="shared" si="14"/>
        <v/>
      </c>
      <c r="F940" s="29" cm="1">
        <f t="array" ref="F940">SUMPRODUCT((Radio!$A$2:$A$1000=Радиостанции!A940)*(Radio!$B$2:$B$1000=Радиостанции!D940)*Radio!$C$2:$C$1000)</f>
        <v>0</v>
      </c>
    </row>
    <row r="941" spans="3:6" x14ac:dyDescent="0.25">
      <c r="C941" s="25" t="str">
        <f t="shared" si="14"/>
        <v/>
      </c>
      <c r="F941" s="29" cm="1">
        <f t="array" ref="F941">SUMPRODUCT((Radio!$A$2:$A$1000=Радиостанции!A941)*(Radio!$B$2:$B$1000=Радиостанции!D941)*Radio!$C$2:$C$1000)</f>
        <v>0</v>
      </c>
    </row>
    <row r="942" spans="3:6" x14ac:dyDescent="0.25">
      <c r="C942" s="25" t="str">
        <f t="shared" si="14"/>
        <v/>
      </c>
      <c r="F942" s="29" cm="1">
        <f t="array" ref="F942">SUMPRODUCT((Radio!$A$2:$A$1000=Радиостанции!A942)*(Radio!$B$2:$B$1000=Радиостанции!D942)*Radio!$C$2:$C$1000)</f>
        <v>0</v>
      </c>
    </row>
    <row r="943" spans="3:6" x14ac:dyDescent="0.25">
      <c r="C943" s="25" t="str">
        <f t="shared" si="14"/>
        <v/>
      </c>
      <c r="F943" s="29" cm="1">
        <f t="array" ref="F943">SUMPRODUCT((Radio!$A$2:$A$1000=Радиостанции!A943)*(Radio!$B$2:$B$1000=Радиостанции!D943)*Radio!$C$2:$C$1000)</f>
        <v>0</v>
      </c>
    </row>
    <row r="944" spans="3:6" x14ac:dyDescent="0.25">
      <c r="C944" s="25" t="str">
        <f t="shared" si="14"/>
        <v/>
      </c>
      <c r="F944" s="29" cm="1">
        <f t="array" ref="F944">SUMPRODUCT((Radio!$A$2:$A$1000=Радиостанции!A944)*(Radio!$B$2:$B$1000=Радиостанции!D944)*Radio!$C$2:$C$1000)</f>
        <v>0</v>
      </c>
    </row>
    <row r="945" spans="3:6" x14ac:dyDescent="0.25">
      <c r="C945" s="25" t="str">
        <f t="shared" si="14"/>
        <v/>
      </c>
      <c r="F945" s="29" cm="1">
        <f t="array" ref="F945">SUMPRODUCT((Radio!$A$2:$A$1000=Радиостанции!A945)*(Radio!$B$2:$B$1000=Радиостанции!D945)*Radio!$C$2:$C$1000)</f>
        <v>0</v>
      </c>
    </row>
    <row r="946" spans="3:6" x14ac:dyDescent="0.25">
      <c r="C946" s="25" t="str">
        <f t="shared" si="14"/>
        <v/>
      </c>
      <c r="F946" s="29" cm="1">
        <f t="array" ref="F946">SUMPRODUCT((Radio!$A$2:$A$1000=Радиостанции!A946)*(Radio!$B$2:$B$1000=Радиостанции!D946)*Radio!$C$2:$C$1000)</f>
        <v>0</v>
      </c>
    </row>
    <row r="947" spans="3:6" x14ac:dyDescent="0.25">
      <c r="C947" s="25" t="str">
        <f t="shared" si="14"/>
        <v/>
      </c>
      <c r="F947" s="29" cm="1">
        <f t="array" ref="F947">SUMPRODUCT((Radio!$A$2:$A$1000=Радиостанции!A947)*(Radio!$B$2:$B$1000=Радиостанции!D947)*Radio!$C$2:$C$1000)</f>
        <v>0</v>
      </c>
    </row>
    <row r="948" spans="3:6" x14ac:dyDescent="0.25">
      <c r="C948" s="25" t="str">
        <f t="shared" si="14"/>
        <v/>
      </c>
      <c r="F948" s="29" cm="1">
        <f t="array" ref="F948">SUMPRODUCT((Radio!$A$2:$A$1000=Радиостанции!A948)*(Radio!$B$2:$B$1000=Радиостанции!D948)*Radio!$C$2:$C$1000)</f>
        <v>0</v>
      </c>
    </row>
    <row r="949" spans="3:6" x14ac:dyDescent="0.25">
      <c r="C949" s="25" t="str">
        <f t="shared" si="14"/>
        <v/>
      </c>
      <c r="F949" s="29" cm="1">
        <f t="array" ref="F949">SUMPRODUCT((Radio!$A$2:$A$1000=Радиостанции!A949)*(Radio!$B$2:$B$1000=Радиостанции!D949)*Radio!$C$2:$C$1000)</f>
        <v>0</v>
      </c>
    </row>
    <row r="950" spans="3:6" x14ac:dyDescent="0.25">
      <c r="C950" s="25" t="str">
        <f t="shared" si="14"/>
        <v/>
      </c>
      <c r="F950" s="29" cm="1">
        <f t="array" ref="F950">SUMPRODUCT((Radio!$A$2:$A$1000=Радиостанции!A950)*(Radio!$B$2:$B$1000=Радиостанции!D950)*Radio!$C$2:$C$1000)</f>
        <v>0</v>
      </c>
    </row>
    <row r="951" spans="3:6" x14ac:dyDescent="0.25">
      <c r="C951" s="25" t="str">
        <f t="shared" si="14"/>
        <v/>
      </c>
      <c r="F951" s="29" cm="1">
        <f t="array" ref="F951">SUMPRODUCT((Radio!$A$2:$A$1000=Радиостанции!A951)*(Radio!$B$2:$B$1000=Радиостанции!D951)*Radio!$C$2:$C$1000)</f>
        <v>0</v>
      </c>
    </row>
    <row r="952" spans="3:6" x14ac:dyDescent="0.25">
      <c r="C952" s="25" t="str">
        <f t="shared" si="14"/>
        <v/>
      </c>
      <c r="F952" s="29" cm="1">
        <f t="array" ref="F952">SUMPRODUCT((Radio!$A$2:$A$1000=Радиостанции!A952)*(Radio!$B$2:$B$1000=Радиостанции!D952)*Radio!$C$2:$C$1000)</f>
        <v>0</v>
      </c>
    </row>
    <row r="953" spans="3:6" x14ac:dyDescent="0.25">
      <c r="C953" s="25" t="str">
        <f t="shared" si="14"/>
        <v/>
      </c>
      <c r="F953" s="29" cm="1">
        <f t="array" ref="F953">SUMPRODUCT((Radio!$A$2:$A$1000=Радиостанции!A953)*(Radio!$B$2:$B$1000=Радиостанции!D953)*Radio!$C$2:$C$1000)</f>
        <v>0</v>
      </c>
    </row>
    <row r="954" spans="3:6" x14ac:dyDescent="0.25">
      <c r="C954" s="25" t="str">
        <f t="shared" si="14"/>
        <v/>
      </c>
      <c r="F954" s="29" cm="1">
        <f t="array" ref="F954">SUMPRODUCT((Radio!$A$2:$A$1000=Радиостанции!A954)*(Radio!$B$2:$B$1000=Радиостанции!D954)*Radio!$C$2:$C$1000)</f>
        <v>0</v>
      </c>
    </row>
    <row r="955" spans="3:6" x14ac:dyDescent="0.25">
      <c r="C955" s="25" t="str">
        <f t="shared" si="14"/>
        <v/>
      </c>
      <c r="F955" s="29" cm="1">
        <f t="array" ref="F955">SUMPRODUCT((Radio!$A$2:$A$1000=Радиостанции!A955)*(Radio!$B$2:$B$1000=Радиостанции!D955)*Radio!$C$2:$C$1000)</f>
        <v>0</v>
      </c>
    </row>
    <row r="956" spans="3:6" x14ac:dyDescent="0.25">
      <c r="C956" s="25" t="str">
        <f t="shared" si="14"/>
        <v/>
      </c>
      <c r="F956" s="29" cm="1">
        <f t="array" ref="F956">SUMPRODUCT((Radio!$A$2:$A$1000=Радиостанции!A956)*(Radio!$B$2:$B$1000=Радиостанции!D956)*Radio!$C$2:$C$1000)</f>
        <v>0</v>
      </c>
    </row>
    <row r="957" spans="3:6" x14ac:dyDescent="0.25">
      <c r="C957" s="25" t="str">
        <f t="shared" si="14"/>
        <v/>
      </c>
      <c r="F957" s="29" cm="1">
        <f t="array" ref="F957">SUMPRODUCT((Radio!$A$2:$A$1000=Радиостанции!A957)*(Radio!$B$2:$B$1000=Радиостанции!D957)*Radio!$C$2:$C$1000)</f>
        <v>0</v>
      </c>
    </row>
    <row r="958" spans="3:6" x14ac:dyDescent="0.25">
      <c r="C958" s="25" t="str">
        <f t="shared" si="14"/>
        <v/>
      </c>
      <c r="F958" s="29" cm="1">
        <f t="array" ref="F958">SUMPRODUCT((Radio!$A$2:$A$1000=Радиостанции!A958)*(Radio!$B$2:$B$1000=Радиостанции!D958)*Radio!$C$2:$C$1000)</f>
        <v>0</v>
      </c>
    </row>
    <row r="959" spans="3:6" x14ac:dyDescent="0.25">
      <c r="C959" s="25" t="str">
        <f t="shared" si="14"/>
        <v/>
      </c>
      <c r="F959" s="29" cm="1">
        <f t="array" ref="F959">SUMPRODUCT((Radio!$A$2:$A$1000=Радиостанции!A959)*(Radio!$B$2:$B$1000=Радиостанции!D959)*Radio!$C$2:$C$1000)</f>
        <v>0</v>
      </c>
    </row>
    <row r="960" spans="3:6" x14ac:dyDescent="0.25">
      <c r="C960" s="25" t="str">
        <f t="shared" si="14"/>
        <v/>
      </c>
      <c r="F960" s="29" cm="1">
        <f t="array" ref="F960">SUMPRODUCT((Radio!$A$2:$A$1000=Радиостанции!A960)*(Radio!$B$2:$B$1000=Радиостанции!D960)*Radio!$C$2:$C$1000)</f>
        <v>0</v>
      </c>
    </row>
    <row r="961" spans="3:6" x14ac:dyDescent="0.25">
      <c r="C961" s="25" t="str">
        <f t="shared" si="14"/>
        <v/>
      </c>
      <c r="F961" s="29" cm="1">
        <f t="array" ref="F961">SUMPRODUCT((Radio!$A$2:$A$1000=Радиостанции!A961)*(Radio!$B$2:$B$1000=Радиостанции!D961)*Radio!$C$2:$C$1000)</f>
        <v>0</v>
      </c>
    </row>
    <row r="962" spans="3:6" x14ac:dyDescent="0.25">
      <c r="C962" s="25" t="str">
        <f t="shared" si="14"/>
        <v/>
      </c>
      <c r="F962" s="29" cm="1">
        <f t="array" ref="F962">SUMPRODUCT((Radio!$A$2:$A$1000=Радиостанции!A962)*(Radio!$B$2:$B$1000=Радиостанции!D962)*Radio!$C$2:$C$1000)</f>
        <v>0</v>
      </c>
    </row>
    <row r="963" spans="3:6" x14ac:dyDescent="0.25">
      <c r="C963" s="25" t="str">
        <f t="shared" ref="C963:C1026" si="15">_xlfn.CONCAT(A963,B963)</f>
        <v/>
      </c>
      <c r="F963" s="29" cm="1">
        <f t="array" ref="F963">SUMPRODUCT((Radio!$A$2:$A$1000=Радиостанции!A963)*(Radio!$B$2:$B$1000=Радиостанции!D963)*Radio!$C$2:$C$1000)</f>
        <v>0</v>
      </c>
    </row>
    <row r="964" spans="3:6" x14ac:dyDescent="0.25">
      <c r="C964" s="25" t="str">
        <f t="shared" si="15"/>
        <v/>
      </c>
      <c r="F964" s="29" cm="1">
        <f t="array" ref="F964">SUMPRODUCT((Radio!$A$2:$A$1000=Радиостанции!A964)*(Radio!$B$2:$B$1000=Радиостанции!D964)*Radio!$C$2:$C$1000)</f>
        <v>0</v>
      </c>
    </row>
    <row r="965" spans="3:6" x14ac:dyDescent="0.25">
      <c r="C965" s="25" t="str">
        <f t="shared" si="15"/>
        <v/>
      </c>
      <c r="F965" s="29" cm="1">
        <f t="array" ref="F965">SUMPRODUCT((Radio!$A$2:$A$1000=Радиостанции!A965)*(Radio!$B$2:$B$1000=Радиостанции!D965)*Radio!$C$2:$C$1000)</f>
        <v>0</v>
      </c>
    </row>
    <row r="966" spans="3:6" x14ac:dyDescent="0.25">
      <c r="C966" s="25" t="str">
        <f t="shared" si="15"/>
        <v/>
      </c>
      <c r="F966" s="29" cm="1">
        <f t="array" ref="F966">SUMPRODUCT((Radio!$A$2:$A$1000=Радиостанции!A966)*(Radio!$B$2:$B$1000=Радиостанции!D966)*Radio!$C$2:$C$1000)</f>
        <v>0</v>
      </c>
    </row>
    <row r="967" spans="3:6" x14ac:dyDescent="0.25">
      <c r="C967" s="25" t="str">
        <f t="shared" si="15"/>
        <v/>
      </c>
      <c r="F967" s="29" cm="1">
        <f t="array" ref="F967">SUMPRODUCT((Radio!$A$2:$A$1000=Радиостанции!A967)*(Radio!$B$2:$B$1000=Радиостанции!D967)*Radio!$C$2:$C$1000)</f>
        <v>0</v>
      </c>
    </row>
    <row r="968" spans="3:6" x14ac:dyDescent="0.25">
      <c r="C968" s="25" t="str">
        <f t="shared" si="15"/>
        <v/>
      </c>
      <c r="F968" s="29" cm="1">
        <f t="array" ref="F968">SUMPRODUCT((Radio!$A$2:$A$1000=Радиостанции!A968)*(Radio!$B$2:$B$1000=Радиостанции!D968)*Radio!$C$2:$C$1000)</f>
        <v>0</v>
      </c>
    </row>
    <row r="969" spans="3:6" x14ac:dyDescent="0.25">
      <c r="C969" s="25" t="str">
        <f t="shared" si="15"/>
        <v/>
      </c>
      <c r="F969" s="29" cm="1">
        <f t="array" ref="F969">SUMPRODUCT((Radio!$A$2:$A$1000=Радиостанции!A969)*(Radio!$B$2:$B$1000=Радиостанции!D969)*Radio!$C$2:$C$1000)</f>
        <v>0</v>
      </c>
    </row>
    <row r="970" spans="3:6" x14ac:dyDescent="0.25">
      <c r="C970" s="25" t="str">
        <f t="shared" si="15"/>
        <v/>
      </c>
      <c r="F970" s="29" cm="1">
        <f t="array" ref="F970">SUMPRODUCT((Radio!$A$2:$A$1000=Радиостанции!A970)*(Radio!$B$2:$B$1000=Радиостанции!D970)*Radio!$C$2:$C$1000)</f>
        <v>0</v>
      </c>
    </row>
    <row r="971" spans="3:6" x14ac:dyDescent="0.25">
      <c r="C971" s="25" t="str">
        <f t="shared" si="15"/>
        <v/>
      </c>
      <c r="F971" s="29" cm="1">
        <f t="array" ref="F971">SUMPRODUCT((Radio!$A$2:$A$1000=Радиостанции!A971)*(Radio!$B$2:$B$1000=Радиостанции!D971)*Radio!$C$2:$C$1000)</f>
        <v>0</v>
      </c>
    </row>
    <row r="972" spans="3:6" x14ac:dyDescent="0.25">
      <c r="C972" s="25" t="str">
        <f t="shared" si="15"/>
        <v/>
      </c>
      <c r="F972" s="29" cm="1">
        <f t="array" ref="F972">SUMPRODUCT((Radio!$A$2:$A$1000=Радиостанции!A972)*(Radio!$B$2:$B$1000=Радиостанции!D972)*Radio!$C$2:$C$1000)</f>
        <v>0</v>
      </c>
    </row>
    <row r="973" spans="3:6" x14ac:dyDescent="0.25">
      <c r="C973" s="25" t="str">
        <f t="shared" si="15"/>
        <v/>
      </c>
      <c r="F973" s="29" cm="1">
        <f t="array" ref="F973">SUMPRODUCT((Radio!$A$2:$A$1000=Радиостанции!A973)*(Radio!$B$2:$B$1000=Радиостанции!D973)*Radio!$C$2:$C$1000)</f>
        <v>0</v>
      </c>
    </row>
    <row r="974" spans="3:6" x14ac:dyDescent="0.25">
      <c r="C974" s="25" t="str">
        <f t="shared" si="15"/>
        <v/>
      </c>
      <c r="F974" s="29" cm="1">
        <f t="array" ref="F974">SUMPRODUCT((Radio!$A$2:$A$1000=Радиостанции!A974)*(Radio!$B$2:$B$1000=Радиостанции!D974)*Radio!$C$2:$C$1000)</f>
        <v>0</v>
      </c>
    </row>
    <row r="975" spans="3:6" x14ac:dyDescent="0.25">
      <c r="C975" s="25" t="str">
        <f t="shared" si="15"/>
        <v/>
      </c>
      <c r="F975" s="29" cm="1">
        <f t="array" ref="F975">SUMPRODUCT((Radio!$A$2:$A$1000=Радиостанции!A975)*(Radio!$B$2:$B$1000=Радиостанции!D975)*Radio!$C$2:$C$1000)</f>
        <v>0</v>
      </c>
    </row>
    <row r="976" spans="3:6" x14ac:dyDescent="0.25">
      <c r="C976" s="25" t="str">
        <f t="shared" si="15"/>
        <v/>
      </c>
      <c r="F976" s="29" cm="1">
        <f t="array" ref="F976">SUMPRODUCT((Radio!$A$2:$A$1000=Радиостанции!A976)*(Radio!$B$2:$B$1000=Радиостанции!D976)*Radio!$C$2:$C$1000)</f>
        <v>0</v>
      </c>
    </row>
    <row r="977" spans="3:6" x14ac:dyDescent="0.25">
      <c r="C977" s="25" t="str">
        <f t="shared" si="15"/>
        <v/>
      </c>
      <c r="F977" s="29" cm="1">
        <f t="array" ref="F977">SUMPRODUCT((Radio!$A$2:$A$1000=Радиостанции!A977)*(Radio!$B$2:$B$1000=Радиостанции!D977)*Radio!$C$2:$C$1000)</f>
        <v>0</v>
      </c>
    </row>
    <row r="978" spans="3:6" x14ac:dyDescent="0.25">
      <c r="C978" s="25" t="str">
        <f t="shared" si="15"/>
        <v/>
      </c>
      <c r="F978" s="29" cm="1">
        <f t="array" ref="F978">SUMPRODUCT((Radio!$A$2:$A$1000=Радиостанции!A978)*(Radio!$B$2:$B$1000=Радиостанции!D978)*Radio!$C$2:$C$1000)</f>
        <v>0</v>
      </c>
    </row>
    <row r="979" spans="3:6" x14ac:dyDescent="0.25">
      <c r="C979" s="25" t="str">
        <f t="shared" si="15"/>
        <v/>
      </c>
      <c r="F979" s="29" cm="1">
        <f t="array" ref="F979">SUMPRODUCT((Radio!$A$2:$A$1000=Радиостанции!A979)*(Radio!$B$2:$B$1000=Радиостанции!D979)*Radio!$C$2:$C$1000)</f>
        <v>0</v>
      </c>
    </row>
    <row r="980" spans="3:6" x14ac:dyDescent="0.25">
      <c r="C980" s="25" t="str">
        <f t="shared" si="15"/>
        <v/>
      </c>
      <c r="F980" s="29" cm="1">
        <f t="array" ref="F980">SUMPRODUCT((Radio!$A$2:$A$1000=Радиостанции!A980)*(Radio!$B$2:$B$1000=Радиостанции!D980)*Radio!$C$2:$C$1000)</f>
        <v>0</v>
      </c>
    </row>
    <row r="981" spans="3:6" x14ac:dyDescent="0.25">
      <c r="C981" s="25" t="str">
        <f t="shared" si="15"/>
        <v/>
      </c>
      <c r="F981" s="29" cm="1">
        <f t="array" ref="F981">SUMPRODUCT((Radio!$A$2:$A$1000=Радиостанции!A981)*(Radio!$B$2:$B$1000=Радиостанции!D981)*Radio!$C$2:$C$1000)</f>
        <v>0</v>
      </c>
    </row>
    <row r="982" spans="3:6" x14ac:dyDescent="0.25">
      <c r="C982" s="25" t="str">
        <f t="shared" si="15"/>
        <v/>
      </c>
      <c r="F982" s="29" cm="1">
        <f t="array" ref="F982">SUMPRODUCT((Radio!$A$2:$A$1000=Радиостанции!A982)*(Radio!$B$2:$B$1000=Радиостанции!D982)*Radio!$C$2:$C$1000)</f>
        <v>0</v>
      </c>
    </row>
    <row r="983" spans="3:6" x14ac:dyDescent="0.25">
      <c r="C983" s="25" t="str">
        <f t="shared" si="15"/>
        <v/>
      </c>
      <c r="F983" s="29" cm="1">
        <f t="array" ref="F983">SUMPRODUCT((Radio!$A$2:$A$1000=Радиостанции!A983)*(Radio!$B$2:$B$1000=Радиостанции!D983)*Radio!$C$2:$C$1000)</f>
        <v>0</v>
      </c>
    </row>
    <row r="984" spans="3:6" x14ac:dyDescent="0.25">
      <c r="C984" s="25" t="str">
        <f t="shared" si="15"/>
        <v/>
      </c>
      <c r="F984" s="29" cm="1">
        <f t="array" ref="F984">SUMPRODUCT((Radio!$A$2:$A$1000=Радиостанции!A984)*(Radio!$B$2:$B$1000=Радиостанции!D984)*Radio!$C$2:$C$1000)</f>
        <v>0</v>
      </c>
    </row>
    <row r="985" spans="3:6" x14ac:dyDescent="0.25">
      <c r="C985" s="25" t="str">
        <f t="shared" si="15"/>
        <v/>
      </c>
      <c r="F985" s="29" cm="1">
        <f t="array" ref="F985">SUMPRODUCT((Radio!$A$2:$A$1000=Радиостанции!A985)*(Radio!$B$2:$B$1000=Радиостанции!D985)*Radio!$C$2:$C$1000)</f>
        <v>0</v>
      </c>
    </row>
    <row r="986" spans="3:6" x14ac:dyDescent="0.25">
      <c r="C986" s="25" t="str">
        <f t="shared" si="15"/>
        <v/>
      </c>
      <c r="F986" s="29" cm="1">
        <f t="array" ref="F986">SUMPRODUCT((Radio!$A$2:$A$1000=Радиостанции!A986)*(Radio!$B$2:$B$1000=Радиостанции!D986)*Radio!$C$2:$C$1000)</f>
        <v>0</v>
      </c>
    </row>
    <row r="987" spans="3:6" x14ac:dyDescent="0.25">
      <c r="C987" s="25" t="str">
        <f t="shared" si="15"/>
        <v/>
      </c>
      <c r="F987" s="29" cm="1">
        <f t="array" ref="F987">SUMPRODUCT((Radio!$A$2:$A$1000=Радиостанции!A987)*(Radio!$B$2:$B$1000=Радиостанции!D987)*Radio!$C$2:$C$1000)</f>
        <v>0</v>
      </c>
    </row>
    <row r="988" spans="3:6" x14ac:dyDescent="0.25">
      <c r="C988" s="25" t="str">
        <f t="shared" si="15"/>
        <v/>
      </c>
      <c r="F988" s="29" cm="1">
        <f t="array" ref="F988">SUMPRODUCT((Radio!$A$2:$A$1000=Радиостанции!A988)*(Radio!$B$2:$B$1000=Радиостанции!D988)*Radio!$C$2:$C$1000)</f>
        <v>0</v>
      </c>
    </row>
    <row r="989" spans="3:6" x14ac:dyDescent="0.25">
      <c r="C989" s="25" t="str">
        <f t="shared" si="15"/>
        <v/>
      </c>
      <c r="F989" s="29" cm="1">
        <f t="array" ref="F989">SUMPRODUCT((Radio!$A$2:$A$1000=Радиостанции!A989)*(Radio!$B$2:$B$1000=Радиостанции!D989)*Radio!$C$2:$C$1000)</f>
        <v>0</v>
      </c>
    </row>
    <row r="990" spans="3:6" x14ac:dyDescent="0.25">
      <c r="C990" s="25" t="str">
        <f t="shared" si="15"/>
        <v/>
      </c>
      <c r="F990" s="29" cm="1">
        <f t="array" ref="F990">SUMPRODUCT((Radio!$A$2:$A$1000=Радиостанции!A990)*(Radio!$B$2:$B$1000=Радиостанции!D990)*Radio!$C$2:$C$1000)</f>
        <v>0</v>
      </c>
    </row>
    <row r="991" spans="3:6" x14ac:dyDescent="0.25">
      <c r="C991" s="25" t="str">
        <f t="shared" si="15"/>
        <v/>
      </c>
      <c r="F991" s="29" cm="1">
        <f t="array" ref="F991">SUMPRODUCT((Radio!$A$2:$A$1000=Радиостанции!A991)*(Radio!$B$2:$B$1000=Радиостанции!D991)*Radio!$C$2:$C$1000)</f>
        <v>0</v>
      </c>
    </row>
    <row r="992" spans="3:6" x14ac:dyDescent="0.25">
      <c r="C992" s="25" t="str">
        <f t="shared" si="15"/>
        <v/>
      </c>
      <c r="F992" s="29" cm="1">
        <f t="array" ref="F992">SUMPRODUCT((Radio!$A$2:$A$1000=Радиостанции!A992)*(Radio!$B$2:$B$1000=Радиостанции!D992)*Radio!$C$2:$C$1000)</f>
        <v>0</v>
      </c>
    </row>
    <row r="993" spans="3:6" x14ac:dyDescent="0.25">
      <c r="C993" s="25" t="str">
        <f t="shared" si="15"/>
        <v/>
      </c>
      <c r="F993" s="29" cm="1">
        <f t="array" ref="F993">SUMPRODUCT((Radio!$A$2:$A$1000=Радиостанции!A993)*(Radio!$B$2:$B$1000=Радиостанции!D993)*Radio!$C$2:$C$1000)</f>
        <v>0</v>
      </c>
    </row>
    <row r="994" spans="3:6" x14ac:dyDescent="0.25">
      <c r="C994" s="25" t="str">
        <f t="shared" si="15"/>
        <v/>
      </c>
      <c r="F994" s="29" cm="1">
        <f t="array" ref="F994">SUMPRODUCT((Radio!$A$2:$A$1000=Радиостанции!A994)*(Radio!$B$2:$B$1000=Радиостанции!D994)*Radio!$C$2:$C$1000)</f>
        <v>0</v>
      </c>
    </row>
    <row r="995" spans="3:6" x14ac:dyDescent="0.25">
      <c r="C995" s="25" t="str">
        <f t="shared" si="15"/>
        <v/>
      </c>
      <c r="F995" s="29" cm="1">
        <f t="array" ref="F995">SUMPRODUCT((Radio!$A$2:$A$1000=Радиостанции!A995)*(Radio!$B$2:$B$1000=Радиостанции!D995)*Radio!$C$2:$C$1000)</f>
        <v>0</v>
      </c>
    </row>
    <row r="996" spans="3:6" x14ac:dyDescent="0.25">
      <c r="C996" s="25" t="str">
        <f t="shared" si="15"/>
        <v/>
      </c>
      <c r="F996" s="29" cm="1">
        <f t="array" ref="F996">SUMPRODUCT((Radio!$A$2:$A$1000=Радиостанции!A996)*(Radio!$B$2:$B$1000=Радиостанции!D996)*Radio!$C$2:$C$1000)</f>
        <v>0</v>
      </c>
    </row>
    <row r="997" spans="3:6" x14ac:dyDescent="0.25">
      <c r="C997" s="25" t="str">
        <f t="shared" si="15"/>
        <v/>
      </c>
      <c r="F997" s="29" cm="1">
        <f t="array" ref="F997">SUMPRODUCT((Radio!$A$2:$A$1000=Радиостанции!A997)*(Radio!$B$2:$B$1000=Радиостанции!D997)*Radio!$C$2:$C$1000)</f>
        <v>0</v>
      </c>
    </row>
    <row r="998" spans="3:6" x14ac:dyDescent="0.25">
      <c r="C998" s="25" t="str">
        <f t="shared" si="15"/>
        <v/>
      </c>
      <c r="F998" s="29" cm="1">
        <f t="array" ref="F998">SUMPRODUCT((Radio!$A$2:$A$1000=Радиостанции!A998)*(Radio!$B$2:$B$1000=Радиостанции!D998)*Radio!$C$2:$C$1000)</f>
        <v>0</v>
      </c>
    </row>
    <row r="999" spans="3:6" x14ac:dyDescent="0.25">
      <c r="C999" s="25" t="str">
        <f t="shared" si="15"/>
        <v/>
      </c>
      <c r="F999" s="29" cm="1">
        <f t="array" ref="F999">SUMPRODUCT((Radio!$A$2:$A$1000=Радиостанции!A999)*(Radio!$B$2:$B$1000=Радиостанции!D999)*Radio!$C$2:$C$1000)</f>
        <v>0</v>
      </c>
    </row>
    <row r="1000" spans="3:6" x14ac:dyDescent="0.25">
      <c r="C1000" s="25" t="str">
        <f t="shared" si="15"/>
        <v/>
      </c>
      <c r="F1000" s="29" cm="1">
        <f t="array" ref="F1000">SUMPRODUCT((Radio!$A$2:$A$1000=Радиостанции!A1000)*(Radio!$B$2:$B$1000=Радиостанции!D1000)*Radio!$C$2:$C$1000)</f>
        <v>0</v>
      </c>
    </row>
    <row r="1001" spans="3:6" x14ac:dyDescent="0.25">
      <c r="C1001" s="25" t="str">
        <f t="shared" si="15"/>
        <v/>
      </c>
      <c r="F1001" s="29" cm="1">
        <f t="array" ref="F1001">SUMPRODUCT((Radio!$A$2:$A$1000=Радиостанции!A1001)*(Radio!$B$2:$B$1000=Радиостанции!D1001)*Radio!$C$2:$C$1000)</f>
        <v>0</v>
      </c>
    </row>
    <row r="1002" spans="3:6" x14ac:dyDescent="0.25">
      <c r="C1002" s="25" t="str">
        <f t="shared" si="15"/>
        <v/>
      </c>
      <c r="F1002" s="29" cm="1">
        <f t="array" ref="F1002">SUMPRODUCT((Radio!$A$2:$A$1000=Радиостанции!A1002)*(Radio!$B$2:$B$1000=Радиостанции!D1002)*Radio!$C$2:$C$1000)</f>
        <v>0</v>
      </c>
    </row>
    <row r="1003" spans="3:6" x14ac:dyDescent="0.25">
      <c r="C1003" s="25" t="str">
        <f t="shared" si="15"/>
        <v/>
      </c>
      <c r="F1003" s="29" cm="1">
        <f t="array" ref="F1003">SUMPRODUCT((Radio!$A$2:$A$1000=Радиостанции!A1003)*(Radio!$B$2:$B$1000=Радиостанции!D1003)*Radio!$C$2:$C$1000)</f>
        <v>0</v>
      </c>
    </row>
    <row r="1004" spans="3:6" x14ac:dyDescent="0.25">
      <c r="C1004" s="25" t="str">
        <f t="shared" si="15"/>
        <v/>
      </c>
      <c r="F1004" s="29" cm="1">
        <f t="array" ref="F1004">SUMPRODUCT((Radio!$A$2:$A$1000=Радиостанции!A1004)*(Radio!$B$2:$B$1000=Радиостанции!D1004)*Radio!$C$2:$C$1000)</f>
        <v>0</v>
      </c>
    </row>
    <row r="1005" spans="3:6" x14ac:dyDescent="0.25">
      <c r="C1005" s="25" t="str">
        <f t="shared" si="15"/>
        <v/>
      </c>
      <c r="F1005" s="29" cm="1">
        <f t="array" ref="F1005">SUMPRODUCT((Radio!$A$2:$A$1000=Радиостанции!A1005)*(Radio!$B$2:$B$1000=Радиостанции!D1005)*Radio!$C$2:$C$1000)</f>
        <v>0</v>
      </c>
    </row>
    <row r="1006" spans="3:6" x14ac:dyDescent="0.25">
      <c r="C1006" s="25" t="str">
        <f t="shared" si="15"/>
        <v/>
      </c>
      <c r="F1006" s="29" cm="1">
        <f t="array" ref="F1006">SUMPRODUCT((Radio!$A$2:$A$1000=Радиостанции!A1006)*(Radio!$B$2:$B$1000=Радиостанции!D1006)*Radio!$C$2:$C$1000)</f>
        <v>0</v>
      </c>
    </row>
    <row r="1007" spans="3:6" x14ac:dyDescent="0.25">
      <c r="C1007" s="25" t="str">
        <f t="shared" si="15"/>
        <v/>
      </c>
      <c r="F1007" s="29" cm="1">
        <f t="array" ref="F1007">SUMPRODUCT((Radio!$A$2:$A$1000=Радиостанции!A1007)*(Radio!$B$2:$B$1000=Радиостанции!D1007)*Radio!$C$2:$C$1000)</f>
        <v>0</v>
      </c>
    </row>
    <row r="1008" spans="3:6" x14ac:dyDescent="0.25">
      <c r="C1008" s="25" t="str">
        <f t="shared" si="15"/>
        <v/>
      </c>
      <c r="F1008" s="29" cm="1">
        <f t="array" ref="F1008">SUMPRODUCT((Radio!$A$2:$A$1000=Радиостанции!A1008)*(Radio!$B$2:$B$1000=Радиостанции!D1008)*Radio!$C$2:$C$1000)</f>
        <v>0</v>
      </c>
    </row>
    <row r="1009" spans="3:6" x14ac:dyDescent="0.25">
      <c r="C1009" s="25" t="str">
        <f t="shared" si="15"/>
        <v/>
      </c>
      <c r="F1009" s="29" cm="1">
        <f t="array" ref="F1009">SUMPRODUCT((Radio!$A$2:$A$1000=Радиостанции!A1009)*(Radio!$B$2:$B$1000=Радиостанции!D1009)*Radio!$C$2:$C$1000)</f>
        <v>0</v>
      </c>
    </row>
    <row r="1010" spans="3:6" x14ac:dyDescent="0.25">
      <c r="C1010" s="25" t="str">
        <f t="shared" si="15"/>
        <v/>
      </c>
      <c r="F1010" s="29" cm="1">
        <f t="array" ref="F1010">SUMPRODUCT((Radio!$A$2:$A$1000=Радиостанции!A1010)*(Radio!$B$2:$B$1000=Радиостанции!D1010)*Radio!$C$2:$C$1000)</f>
        <v>0</v>
      </c>
    </row>
    <row r="1011" spans="3:6" x14ac:dyDescent="0.25">
      <c r="C1011" s="25" t="str">
        <f t="shared" si="15"/>
        <v/>
      </c>
      <c r="F1011" s="29" cm="1">
        <f t="array" ref="F1011">SUMPRODUCT((Radio!$A$2:$A$1000=Радиостанции!A1011)*(Radio!$B$2:$B$1000=Радиостанции!D1011)*Radio!$C$2:$C$1000)</f>
        <v>0</v>
      </c>
    </row>
    <row r="1012" spans="3:6" x14ac:dyDescent="0.25">
      <c r="C1012" s="25" t="str">
        <f t="shared" si="15"/>
        <v/>
      </c>
      <c r="F1012" s="29" cm="1">
        <f t="array" ref="F1012">SUMPRODUCT((Radio!$A$2:$A$1000=Радиостанции!A1012)*(Radio!$B$2:$B$1000=Радиостанции!D1012)*Radio!$C$2:$C$1000)</f>
        <v>0</v>
      </c>
    </row>
    <row r="1013" spans="3:6" x14ac:dyDescent="0.25">
      <c r="C1013" s="25" t="str">
        <f t="shared" si="15"/>
        <v/>
      </c>
      <c r="F1013" s="29" cm="1">
        <f t="array" ref="F1013">SUMPRODUCT((Radio!$A$2:$A$1000=Радиостанции!A1013)*(Radio!$B$2:$B$1000=Радиостанции!D1013)*Radio!$C$2:$C$1000)</f>
        <v>0</v>
      </c>
    </row>
    <row r="1014" spans="3:6" x14ac:dyDescent="0.25">
      <c r="C1014" s="25" t="str">
        <f t="shared" si="15"/>
        <v/>
      </c>
      <c r="F1014" s="29" cm="1">
        <f t="array" ref="F1014">SUMPRODUCT((Radio!$A$2:$A$1000=Радиостанции!A1014)*(Radio!$B$2:$B$1000=Радиостанции!D1014)*Radio!$C$2:$C$1000)</f>
        <v>0</v>
      </c>
    </row>
    <row r="1015" spans="3:6" x14ac:dyDescent="0.25">
      <c r="C1015" s="25" t="str">
        <f t="shared" si="15"/>
        <v/>
      </c>
      <c r="F1015" s="29" cm="1">
        <f t="array" ref="F1015">SUMPRODUCT((Radio!$A$2:$A$1000=Радиостанции!A1015)*(Radio!$B$2:$B$1000=Радиостанции!D1015)*Radio!$C$2:$C$1000)</f>
        <v>0</v>
      </c>
    </row>
    <row r="1016" spans="3:6" x14ac:dyDescent="0.25">
      <c r="C1016" s="25" t="str">
        <f t="shared" si="15"/>
        <v/>
      </c>
      <c r="F1016" s="29" cm="1">
        <f t="array" ref="F1016">SUMPRODUCT((Radio!$A$2:$A$1000=Радиостанции!A1016)*(Radio!$B$2:$B$1000=Радиостанции!D1016)*Radio!$C$2:$C$1000)</f>
        <v>0</v>
      </c>
    </row>
    <row r="1017" spans="3:6" x14ac:dyDescent="0.25">
      <c r="C1017" s="25" t="str">
        <f t="shared" si="15"/>
        <v/>
      </c>
      <c r="F1017" s="29" cm="1">
        <f t="array" ref="F1017">SUMPRODUCT((Radio!$A$2:$A$1000=Радиостанции!A1017)*(Radio!$B$2:$B$1000=Радиостанции!D1017)*Radio!$C$2:$C$1000)</f>
        <v>0</v>
      </c>
    </row>
    <row r="1018" spans="3:6" x14ac:dyDescent="0.25">
      <c r="C1018" s="25" t="str">
        <f t="shared" si="15"/>
        <v/>
      </c>
      <c r="F1018" s="29" cm="1">
        <f t="array" ref="F1018">SUMPRODUCT((Radio!$A$2:$A$1000=Радиостанции!A1018)*(Radio!$B$2:$B$1000=Радиостанции!D1018)*Radio!$C$2:$C$1000)</f>
        <v>0</v>
      </c>
    </row>
    <row r="1019" spans="3:6" x14ac:dyDescent="0.25">
      <c r="C1019" s="25" t="str">
        <f t="shared" si="15"/>
        <v/>
      </c>
      <c r="F1019" s="29" cm="1">
        <f t="array" ref="F1019">SUMPRODUCT((Radio!$A$2:$A$1000=Радиостанции!A1019)*(Radio!$B$2:$B$1000=Радиостанции!D1019)*Radio!$C$2:$C$1000)</f>
        <v>0</v>
      </c>
    </row>
    <row r="1020" spans="3:6" x14ac:dyDescent="0.25">
      <c r="C1020" s="25" t="str">
        <f t="shared" si="15"/>
        <v/>
      </c>
      <c r="F1020" s="29" cm="1">
        <f t="array" ref="F1020">SUMPRODUCT((Radio!$A$2:$A$1000=Радиостанции!A1020)*(Radio!$B$2:$B$1000=Радиостанции!D1020)*Radio!$C$2:$C$1000)</f>
        <v>0</v>
      </c>
    </row>
    <row r="1021" spans="3:6" x14ac:dyDescent="0.25">
      <c r="C1021" s="25" t="str">
        <f t="shared" si="15"/>
        <v/>
      </c>
      <c r="F1021" s="29" cm="1">
        <f t="array" ref="F1021">SUMPRODUCT((Radio!$A$2:$A$1000=Радиостанции!A1021)*(Radio!$B$2:$B$1000=Радиостанции!D1021)*Radio!$C$2:$C$1000)</f>
        <v>0</v>
      </c>
    </row>
    <row r="1022" spans="3:6" x14ac:dyDescent="0.25">
      <c r="C1022" s="25" t="str">
        <f t="shared" si="15"/>
        <v/>
      </c>
      <c r="F1022" s="29" cm="1">
        <f t="array" ref="F1022">SUMPRODUCT((Radio!$A$2:$A$1000=Радиостанции!A1022)*(Radio!$B$2:$B$1000=Радиостанции!D1022)*Radio!$C$2:$C$1000)</f>
        <v>0</v>
      </c>
    </row>
    <row r="1023" spans="3:6" x14ac:dyDescent="0.25">
      <c r="C1023" s="25" t="str">
        <f t="shared" si="15"/>
        <v/>
      </c>
      <c r="F1023" s="29" cm="1">
        <f t="array" ref="F1023">SUMPRODUCT((Radio!$A$2:$A$1000=Радиостанции!A1023)*(Radio!$B$2:$B$1000=Радиостанции!D1023)*Radio!$C$2:$C$1000)</f>
        <v>0</v>
      </c>
    </row>
    <row r="1024" spans="3:6" x14ac:dyDescent="0.25">
      <c r="C1024" s="25" t="str">
        <f t="shared" si="15"/>
        <v/>
      </c>
      <c r="F1024" s="29" cm="1">
        <f t="array" ref="F1024">SUMPRODUCT((Radio!$A$2:$A$1000=Радиостанции!A1024)*(Radio!$B$2:$B$1000=Радиостанции!D1024)*Radio!$C$2:$C$1000)</f>
        <v>0</v>
      </c>
    </row>
    <row r="1025" spans="3:6" x14ac:dyDescent="0.25">
      <c r="C1025" s="25" t="str">
        <f t="shared" si="15"/>
        <v/>
      </c>
      <c r="F1025" s="29" cm="1">
        <f t="array" ref="F1025">SUMPRODUCT((Radio!$A$2:$A$1000=Радиостанции!A1025)*(Radio!$B$2:$B$1000=Радиостанции!D1025)*Radio!$C$2:$C$1000)</f>
        <v>0</v>
      </c>
    </row>
    <row r="1026" spans="3:6" x14ac:dyDescent="0.25">
      <c r="C1026" s="25" t="str">
        <f t="shared" si="15"/>
        <v/>
      </c>
      <c r="F1026" s="29" cm="1">
        <f t="array" ref="F1026">SUMPRODUCT((Radio!$A$2:$A$1000=Радиостанции!A1026)*(Radio!$B$2:$B$1000=Радиостанции!D1026)*Radio!$C$2:$C$1000)</f>
        <v>0</v>
      </c>
    </row>
    <row r="1027" spans="3:6" x14ac:dyDescent="0.25">
      <c r="C1027" s="25" t="str">
        <f t="shared" ref="C1027:C1028" si="16">_xlfn.CONCAT(A1027,B1027)</f>
        <v/>
      </c>
      <c r="F1027" s="29" cm="1">
        <f t="array" ref="F1027">SUMPRODUCT((Radio!$A$2:$A$1000=Радиостанции!A1027)*(Radio!$B$2:$B$1000=Радиостанции!D1027)*Radio!$C$2:$C$1000)</f>
        <v>0</v>
      </c>
    </row>
    <row r="1028" spans="3:6" x14ac:dyDescent="0.25">
      <c r="C1028" s="25" t="str">
        <f t="shared" si="16"/>
        <v/>
      </c>
      <c r="F1028" s="29" cm="1">
        <f t="array" ref="F1028">SUMPRODUCT((Radio!$A$2:$A$1000=Радиостанции!A1028)*(Radio!$B$2:$B$1000=Радиостанции!D1028)*Radio!$C$2:$C$1000)</f>
        <v>0</v>
      </c>
    </row>
  </sheetData>
  <dataValidations count="2">
    <dataValidation type="list" allowBlank="1" showInputMessage="1" showErrorMessage="1" sqref="D2:D1136" xr:uid="{3D67803F-BB9E-41B0-9CE1-E049B40A7689}">
      <formula1>Радио</formula1>
    </dataValidation>
    <dataValidation type="list" allowBlank="1" showInputMessage="1" showErrorMessage="1" sqref="A2:A1066 B2:B918" xr:uid="{DCEB6A4A-DF16-436D-B63A-226F9933B812}">
      <formula1>#REF!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D88B0-B059-4DB6-B62C-F83366B2F270}">
  <sheetPr codeName="Лист4">
    <tabColor rgb="FF92D050"/>
  </sheetPr>
  <dimension ref="A1:G39"/>
  <sheetViews>
    <sheetView topLeftCell="A6" zoomScale="70" zoomScaleNormal="70" workbookViewId="0">
      <selection activeCell="A13" sqref="A13:G13"/>
    </sheetView>
  </sheetViews>
  <sheetFormatPr defaultColWidth="8.85546875" defaultRowHeight="15" x14ac:dyDescent="0.25"/>
  <cols>
    <col min="1" max="1" width="67.42578125" customWidth="1"/>
    <col min="2" max="4" width="21.42578125" customWidth="1"/>
    <col min="5" max="5" width="18.42578125" customWidth="1"/>
    <col min="6" max="6" width="8.140625" hidden="1" customWidth="1"/>
    <col min="7" max="7" width="16.42578125" customWidth="1"/>
  </cols>
  <sheetData>
    <row r="1" spans="1:7" ht="45.75" customHeight="1" x14ac:dyDescent="0.25">
      <c r="A1" s="5" t="s">
        <v>2</v>
      </c>
      <c r="B1" s="5" t="s">
        <v>121</v>
      </c>
      <c r="C1" s="31" t="s">
        <v>122</v>
      </c>
      <c r="D1" s="5" t="s">
        <v>123</v>
      </c>
      <c r="E1" s="6" t="s">
        <v>124</v>
      </c>
      <c r="F1" s="7" t="s">
        <v>125</v>
      </c>
      <c r="G1" s="33" t="s">
        <v>126</v>
      </c>
    </row>
    <row r="2" spans="1:7" ht="21" customHeight="1" x14ac:dyDescent="0.25">
      <c r="A2" s="12" t="s">
        <v>127</v>
      </c>
      <c r="B2" s="13">
        <v>150</v>
      </c>
      <c r="C2" s="14">
        <v>1</v>
      </c>
      <c r="D2" s="15">
        <v>150</v>
      </c>
      <c r="E2" s="15">
        <v>1.5</v>
      </c>
      <c r="F2" s="11">
        <v>225</v>
      </c>
      <c r="G2" s="32">
        <v>2</v>
      </c>
    </row>
    <row r="3" spans="1:7" ht="21" customHeight="1" x14ac:dyDescent="0.25">
      <c r="A3" s="12" t="s">
        <v>128</v>
      </c>
      <c r="B3" s="13">
        <v>120</v>
      </c>
      <c r="C3" s="14">
        <v>0.85</v>
      </c>
      <c r="D3" s="15">
        <v>102</v>
      </c>
      <c r="E3" s="15">
        <v>1.3</v>
      </c>
      <c r="F3" s="11">
        <v>132.6</v>
      </c>
      <c r="G3" s="32">
        <v>2</v>
      </c>
    </row>
    <row r="4" spans="1:7" ht="21" customHeight="1" x14ac:dyDescent="0.25">
      <c r="A4" s="12" t="s">
        <v>129</v>
      </c>
      <c r="B4" s="13">
        <v>90</v>
      </c>
      <c r="C4" s="14">
        <v>0.8</v>
      </c>
      <c r="D4" s="15">
        <v>72</v>
      </c>
      <c r="E4" s="15">
        <v>1.1000000000000001</v>
      </c>
      <c r="F4" s="11">
        <v>79.2</v>
      </c>
      <c r="G4" s="32">
        <v>2</v>
      </c>
    </row>
    <row r="5" spans="1:7" ht="21" customHeight="1" x14ac:dyDescent="0.25">
      <c r="A5" s="12" t="s">
        <v>130</v>
      </c>
      <c r="B5" s="13">
        <v>20</v>
      </c>
      <c r="C5" s="14">
        <v>0.7</v>
      </c>
      <c r="D5" s="15">
        <v>14</v>
      </c>
      <c r="E5" s="15">
        <v>1.05</v>
      </c>
      <c r="F5" s="11">
        <v>14.7</v>
      </c>
      <c r="G5" s="32">
        <v>2</v>
      </c>
    </row>
    <row r="6" spans="1:7" ht="21" customHeight="1" x14ac:dyDescent="0.25">
      <c r="A6" s="12" t="s">
        <v>1</v>
      </c>
      <c r="B6" s="13">
        <v>5</v>
      </c>
      <c r="C6" s="14">
        <v>0.8</v>
      </c>
      <c r="D6" s="15">
        <v>4</v>
      </c>
      <c r="E6" s="15">
        <v>1</v>
      </c>
      <c r="F6" s="11">
        <v>4</v>
      </c>
      <c r="G6" s="32">
        <v>12</v>
      </c>
    </row>
    <row r="7" spans="1:7" ht="21" customHeight="1" x14ac:dyDescent="0.25">
      <c r="A7" s="35" t="s">
        <v>30</v>
      </c>
      <c r="B7" s="13">
        <v>20</v>
      </c>
      <c r="C7" s="14">
        <v>0.77</v>
      </c>
      <c r="D7" s="15">
        <v>15.4</v>
      </c>
      <c r="E7" s="15">
        <v>0.9</v>
      </c>
      <c r="F7" s="11">
        <v>13.86</v>
      </c>
      <c r="G7" s="32">
        <v>4</v>
      </c>
    </row>
    <row r="8" spans="1:7" ht="21" customHeight="1" x14ac:dyDescent="0.25">
      <c r="A8" s="16" t="s">
        <v>131</v>
      </c>
      <c r="B8" s="17">
        <v>20</v>
      </c>
      <c r="C8" s="18">
        <v>0.8</v>
      </c>
      <c r="D8" s="19">
        <v>16</v>
      </c>
      <c r="E8" s="19">
        <v>0.95</v>
      </c>
      <c r="F8" s="20">
        <v>15.2</v>
      </c>
      <c r="G8" s="32">
        <v>3</v>
      </c>
    </row>
    <row r="9" spans="1:7" ht="21" customHeight="1" x14ac:dyDescent="0.25">
      <c r="A9" s="16" t="s">
        <v>132</v>
      </c>
      <c r="B9" s="17">
        <v>15</v>
      </c>
      <c r="C9" s="18">
        <v>0.8</v>
      </c>
      <c r="D9" s="19">
        <v>12</v>
      </c>
      <c r="E9" s="19">
        <v>0.85</v>
      </c>
      <c r="F9" s="20">
        <v>10.199999999999999</v>
      </c>
      <c r="G9" s="32">
        <v>4</v>
      </c>
    </row>
    <row r="10" spans="1:7" ht="21" customHeight="1" x14ac:dyDescent="0.25">
      <c r="A10" s="12" t="s">
        <v>133</v>
      </c>
      <c r="B10" s="15" t="s">
        <v>134</v>
      </c>
      <c r="C10" s="15">
        <v>7</v>
      </c>
      <c r="D10" s="15">
        <v>7</v>
      </c>
      <c r="E10" s="15">
        <v>0.77</v>
      </c>
      <c r="F10" s="11">
        <v>5.38</v>
      </c>
      <c r="G10" s="32">
        <v>2</v>
      </c>
    </row>
    <row r="11" spans="1:7" ht="21" customHeight="1" x14ac:dyDescent="0.25">
      <c r="A11" s="12" t="s">
        <v>135</v>
      </c>
      <c r="B11" s="15" t="s">
        <v>134</v>
      </c>
      <c r="C11" s="15">
        <v>5</v>
      </c>
      <c r="D11" s="15">
        <v>5</v>
      </c>
      <c r="E11" s="15">
        <v>0.7</v>
      </c>
      <c r="F11" s="11">
        <v>3.52</v>
      </c>
      <c r="G11" s="32">
        <v>3</v>
      </c>
    </row>
    <row r="12" spans="1:7" ht="21" customHeight="1" x14ac:dyDescent="0.25">
      <c r="A12" s="12" t="s">
        <v>136</v>
      </c>
      <c r="B12" s="15" t="s">
        <v>7</v>
      </c>
      <c r="C12" s="15">
        <v>7</v>
      </c>
      <c r="D12" s="15">
        <v>7</v>
      </c>
      <c r="E12" s="15">
        <v>0.74</v>
      </c>
      <c r="F12" s="11">
        <v>5.15</v>
      </c>
      <c r="G12" s="32">
        <v>3</v>
      </c>
    </row>
    <row r="13" spans="1:7" ht="21" customHeight="1" x14ac:dyDescent="0.25">
      <c r="A13" s="12" t="s">
        <v>24</v>
      </c>
      <c r="B13" s="13">
        <v>15</v>
      </c>
      <c r="C13" s="14">
        <v>0.8</v>
      </c>
      <c r="D13" s="15">
        <v>12</v>
      </c>
      <c r="E13" s="15">
        <v>0.66</v>
      </c>
      <c r="F13" s="11">
        <v>7.92</v>
      </c>
      <c r="G13" s="32">
        <v>6</v>
      </c>
    </row>
    <row r="14" spans="1:7" ht="21" customHeight="1" x14ac:dyDescent="0.25">
      <c r="A14" s="35" t="s">
        <v>29</v>
      </c>
      <c r="B14" s="15" t="s">
        <v>137</v>
      </c>
      <c r="C14" s="15">
        <v>1.5</v>
      </c>
      <c r="D14" s="15">
        <v>1.5</v>
      </c>
      <c r="E14" s="15">
        <v>0.64</v>
      </c>
      <c r="F14" s="11">
        <v>0.96</v>
      </c>
      <c r="G14" s="32">
        <v>5</v>
      </c>
    </row>
    <row r="15" spans="1:7" ht="21" customHeight="1" x14ac:dyDescent="0.25">
      <c r="A15" s="16" t="s">
        <v>138</v>
      </c>
      <c r="B15" s="19" t="s">
        <v>137</v>
      </c>
      <c r="C15" s="19">
        <v>1.5</v>
      </c>
      <c r="D15" s="19">
        <v>1.5</v>
      </c>
      <c r="E15" s="19">
        <v>0.67</v>
      </c>
      <c r="F15" s="20">
        <v>1.01</v>
      </c>
      <c r="G15" s="32">
        <v>4</v>
      </c>
    </row>
    <row r="16" spans="1:7" ht="21" customHeight="1" x14ac:dyDescent="0.25">
      <c r="A16" s="35" t="s">
        <v>97</v>
      </c>
      <c r="B16" s="15" t="s">
        <v>139</v>
      </c>
      <c r="C16" s="15">
        <v>2</v>
      </c>
      <c r="D16" s="15">
        <v>2</v>
      </c>
      <c r="E16" s="15">
        <v>0.57999999999999996</v>
      </c>
      <c r="F16" s="11">
        <v>1.1599999999999999</v>
      </c>
      <c r="G16" s="32">
        <v>5</v>
      </c>
    </row>
    <row r="17" spans="1:7" ht="21" customHeight="1" x14ac:dyDescent="0.25">
      <c r="A17" s="16" t="s">
        <v>140</v>
      </c>
      <c r="B17" s="19" t="s">
        <v>139</v>
      </c>
      <c r="C17" s="19">
        <v>2</v>
      </c>
      <c r="D17" s="19">
        <v>4</v>
      </c>
      <c r="E17" s="19">
        <v>0.57999999999999996</v>
      </c>
      <c r="F17" s="20">
        <v>2.3199999999999998</v>
      </c>
      <c r="G17" s="32">
        <v>3</v>
      </c>
    </row>
    <row r="18" spans="1:7" ht="21" customHeight="1" x14ac:dyDescent="0.25">
      <c r="A18" s="35" t="s">
        <v>28</v>
      </c>
      <c r="B18" s="13">
        <v>15</v>
      </c>
      <c r="C18" s="14">
        <v>0.8</v>
      </c>
      <c r="D18" s="15">
        <v>12</v>
      </c>
      <c r="E18" s="15">
        <v>0.59</v>
      </c>
      <c r="F18" s="11">
        <v>7.13</v>
      </c>
      <c r="G18" s="32">
        <v>2</v>
      </c>
    </row>
    <row r="19" spans="1:7" ht="21" customHeight="1" x14ac:dyDescent="0.25">
      <c r="A19" s="12" t="s">
        <v>17</v>
      </c>
      <c r="B19" s="15" t="s">
        <v>141</v>
      </c>
      <c r="C19" s="15">
        <v>5</v>
      </c>
      <c r="D19" s="15">
        <v>5</v>
      </c>
      <c r="E19" s="15">
        <v>0.6</v>
      </c>
      <c r="F19" s="11">
        <v>3</v>
      </c>
      <c r="G19" s="32">
        <v>10</v>
      </c>
    </row>
    <row r="20" spans="1:7" ht="21" customHeight="1" x14ac:dyDescent="0.25">
      <c r="A20" s="12" t="s">
        <v>142</v>
      </c>
      <c r="B20" s="15" t="s">
        <v>143</v>
      </c>
      <c r="C20" s="15">
        <v>1.5</v>
      </c>
      <c r="D20" s="15">
        <v>1.5</v>
      </c>
      <c r="E20" s="15">
        <v>0.64</v>
      </c>
      <c r="F20" s="11">
        <v>0.96</v>
      </c>
      <c r="G20" s="32">
        <v>4</v>
      </c>
    </row>
    <row r="21" spans="1:7" ht="21" customHeight="1" x14ac:dyDescent="0.25">
      <c r="A21" s="12" t="s">
        <v>12</v>
      </c>
      <c r="B21" s="15" t="s">
        <v>143</v>
      </c>
      <c r="C21" s="15">
        <v>5</v>
      </c>
      <c r="D21" s="15">
        <v>5</v>
      </c>
      <c r="E21" s="15">
        <v>0.6</v>
      </c>
      <c r="F21" s="11">
        <v>3</v>
      </c>
      <c r="G21" s="32">
        <v>5</v>
      </c>
    </row>
    <row r="22" spans="1:7" ht="21" customHeight="1" x14ac:dyDescent="0.25">
      <c r="A22" s="22" t="s">
        <v>5</v>
      </c>
      <c r="B22" s="15" t="s">
        <v>143</v>
      </c>
      <c r="C22" s="15">
        <v>3</v>
      </c>
      <c r="D22" s="15">
        <v>3</v>
      </c>
      <c r="E22" s="15">
        <v>0.5</v>
      </c>
      <c r="F22" s="11">
        <v>1.5</v>
      </c>
      <c r="G22" s="32">
        <v>15</v>
      </c>
    </row>
    <row r="23" spans="1:7" ht="21" customHeight="1" x14ac:dyDescent="0.25">
      <c r="A23" s="50" t="s">
        <v>100</v>
      </c>
      <c r="B23" s="15" t="s">
        <v>137</v>
      </c>
      <c r="C23" s="15">
        <v>1.5</v>
      </c>
      <c r="D23" s="15">
        <v>1.5</v>
      </c>
      <c r="E23" s="15">
        <v>0.64</v>
      </c>
      <c r="F23" s="11">
        <v>0.96</v>
      </c>
      <c r="G23" s="32">
        <v>5</v>
      </c>
    </row>
    <row r="24" spans="1:7" ht="21" customHeight="1" x14ac:dyDescent="0.25">
      <c r="A24" s="50" t="s">
        <v>103</v>
      </c>
      <c r="B24" s="13">
        <v>20</v>
      </c>
      <c r="C24" s="14">
        <v>0.77</v>
      </c>
      <c r="D24" s="15">
        <v>15.4</v>
      </c>
      <c r="E24" s="15">
        <v>0.9</v>
      </c>
      <c r="F24" s="11">
        <v>13.86</v>
      </c>
      <c r="G24" s="32">
        <v>4</v>
      </c>
    </row>
    <row r="25" spans="1:7" ht="15.75" x14ac:dyDescent="0.25">
      <c r="A25" s="50" t="s">
        <v>106</v>
      </c>
      <c r="B25" s="15" t="s">
        <v>137</v>
      </c>
      <c r="C25" s="15">
        <v>1.5</v>
      </c>
      <c r="D25" s="15">
        <v>1.5</v>
      </c>
      <c r="E25" s="15">
        <v>0.64</v>
      </c>
      <c r="F25" s="11">
        <v>0.96</v>
      </c>
      <c r="G25" s="32">
        <v>5</v>
      </c>
    </row>
    <row r="26" spans="1:7" ht="21" customHeight="1" x14ac:dyDescent="0.25">
      <c r="A26" s="50" t="s">
        <v>107</v>
      </c>
      <c r="B26" s="15" t="s">
        <v>137</v>
      </c>
      <c r="C26" s="15">
        <v>1.5</v>
      </c>
      <c r="D26" s="15">
        <v>1.5</v>
      </c>
      <c r="E26" s="15">
        <v>0.64</v>
      </c>
      <c r="F26" s="11">
        <v>0.96</v>
      </c>
      <c r="G26" s="32">
        <v>5</v>
      </c>
    </row>
    <row r="27" spans="1:7" ht="21" customHeight="1" x14ac:dyDescent="0.25">
      <c r="A27" s="52" t="s">
        <v>26</v>
      </c>
      <c r="B27" s="13">
        <v>20</v>
      </c>
      <c r="C27" s="14">
        <v>0.77</v>
      </c>
      <c r="D27" s="15">
        <v>15.4</v>
      </c>
      <c r="E27" s="15">
        <v>0.9</v>
      </c>
      <c r="F27" s="11">
        <v>13.86</v>
      </c>
      <c r="G27" s="32">
        <v>4</v>
      </c>
    </row>
    <row r="28" spans="1:7" ht="21" customHeight="1" x14ac:dyDescent="0.25">
      <c r="A28" s="52" t="s">
        <v>27</v>
      </c>
      <c r="B28" s="15" t="s">
        <v>137</v>
      </c>
      <c r="C28" s="15">
        <v>1.5</v>
      </c>
      <c r="D28" s="15">
        <v>1.5</v>
      </c>
      <c r="E28" s="15">
        <v>0.64</v>
      </c>
      <c r="F28" s="11">
        <v>0.96</v>
      </c>
      <c r="G28" s="32">
        <v>5</v>
      </c>
    </row>
    <row r="29" spans="1:7" ht="21" customHeight="1" x14ac:dyDescent="0.25">
      <c r="A29" s="1"/>
      <c r="B29" s="48"/>
      <c r="C29" s="48"/>
      <c r="D29" s="48"/>
      <c r="E29" s="48"/>
      <c r="F29" s="49"/>
    </row>
    <row r="30" spans="1:7" ht="21" customHeight="1" x14ac:dyDescent="0.25">
      <c r="A30" s="1"/>
      <c r="B30" s="48"/>
      <c r="C30" s="48"/>
      <c r="D30" s="48"/>
      <c r="E30" s="48"/>
      <c r="F30" s="49"/>
    </row>
    <row r="31" spans="1:7" ht="21" customHeight="1" x14ac:dyDescent="0.25">
      <c r="A31" s="1"/>
      <c r="B31" s="48"/>
      <c r="C31" s="48"/>
      <c r="D31" s="48"/>
      <c r="E31" s="48"/>
      <c r="F31" s="49"/>
    </row>
    <row r="32" spans="1:7" x14ac:dyDescent="0.25">
      <c r="A32" s="8"/>
      <c r="B32" s="8"/>
      <c r="C32" s="8"/>
      <c r="D32" s="8"/>
      <c r="E32" s="8"/>
      <c r="F32" s="8"/>
    </row>
    <row r="33" spans="1:6" x14ac:dyDescent="0.25">
      <c r="A33" s="9" t="s">
        <v>144</v>
      </c>
      <c r="B33" s="8"/>
      <c r="C33" s="8"/>
      <c r="D33" s="8"/>
      <c r="E33" s="8"/>
      <c r="F33" s="8"/>
    </row>
    <row r="34" spans="1:6" x14ac:dyDescent="0.25">
      <c r="A34" s="10" t="s">
        <v>145</v>
      </c>
      <c r="B34" s="8"/>
      <c r="C34" s="8"/>
      <c r="D34" s="8"/>
      <c r="E34" s="8"/>
      <c r="F34" s="8"/>
    </row>
    <row r="37" spans="1:6" x14ac:dyDescent="0.25">
      <c r="A37" t="s">
        <v>146</v>
      </c>
    </row>
    <row r="39" spans="1:6" x14ac:dyDescent="0.25">
      <c r="E39" s="51" t="e">
        <f>1-(1-(#REF!*0.5))*(1-(#REF!*0.5))*(1-(#REF!*0.5))</f>
        <v>#REF!</v>
      </c>
    </row>
  </sheetData>
  <phoneticPr fontId="12" type="noConversion"/>
  <conditionalFormatting sqref="A1:A1048576">
    <cfRule type="duplicateValues" dxfId="0" priority="1"/>
  </conditionalFormatting>
  <dataValidations count="1">
    <dataValidation type="list" allowBlank="1" showInputMessage="1" showErrorMessage="1" sqref="A27:A28" xr:uid="{1266DA20-5CB4-4320-83D4-C179E7B8FED7}">
      <formula1>#REF!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5BDA4-206F-4D2B-B056-EE55A4BACB1E}">
  <sheetPr codeName="Лист9">
    <tabColor rgb="FF92D050"/>
  </sheetPr>
  <dimension ref="A1:B16"/>
  <sheetViews>
    <sheetView workbookViewId="0">
      <selection activeCell="A18" sqref="A18"/>
    </sheetView>
  </sheetViews>
  <sheetFormatPr defaultColWidth="8.85546875" defaultRowHeight="15" x14ac:dyDescent="0.25"/>
  <cols>
    <col min="1" max="1" width="18.42578125" customWidth="1"/>
    <col min="2" max="2" width="24.85546875" customWidth="1"/>
  </cols>
  <sheetData>
    <row r="1" spans="1:2" x14ac:dyDescent="0.25">
      <c r="A1" s="21" t="s">
        <v>69</v>
      </c>
      <c r="B1" s="21" t="s">
        <v>147</v>
      </c>
    </row>
    <row r="2" spans="1:2" x14ac:dyDescent="0.25">
      <c r="A2" t="s">
        <v>68</v>
      </c>
      <c r="B2" s="37">
        <v>11062570</v>
      </c>
    </row>
    <row r="3" spans="1:2" x14ac:dyDescent="0.25">
      <c r="A3" t="s">
        <v>67</v>
      </c>
      <c r="B3" s="37">
        <v>4746408</v>
      </c>
    </row>
    <row r="4" spans="1:2" x14ac:dyDescent="0.25">
      <c r="A4" t="s">
        <v>66</v>
      </c>
      <c r="B4" s="37">
        <v>1228946.4000000001</v>
      </c>
    </row>
    <row r="5" spans="1:2" x14ac:dyDescent="0.25">
      <c r="A5" t="s">
        <v>65</v>
      </c>
      <c r="B5" s="37">
        <v>436312.80000000005</v>
      </c>
    </row>
    <row r="6" spans="1:2" x14ac:dyDescent="0.25">
      <c r="A6" t="s">
        <v>64</v>
      </c>
      <c r="B6" s="37">
        <v>435680</v>
      </c>
    </row>
    <row r="7" spans="1:2" x14ac:dyDescent="0.25">
      <c r="A7" t="s">
        <v>63</v>
      </c>
      <c r="B7" s="37">
        <v>1054883.2</v>
      </c>
    </row>
    <row r="8" spans="1:2" x14ac:dyDescent="0.25">
      <c r="A8" t="s">
        <v>62</v>
      </c>
      <c r="B8" s="37">
        <v>1307080.8</v>
      </c>
    </row>
    <row r="9" spans="1:2" x14ac:dyDescent="0.25">
      <c r="A9" t="s">
        <v>61</v>
      </c>
      <c r="B9" s="37">
        <v>910923.20000000007</v>
      </c>
    </row>
    <row r="10" spans="1:2" x14ac:dyDescent="0.25">
      <c r="A10" t="s">
        <v>60</v>
      </c>
      <c r="B10" s="37">
        <v>355991.2</v>
      </c>
    </row>
    <row r="11" spans="1:2" x14ac:dyDescent="0.25">
      <c r="A11" t="s">
        <v>59</v>
      </c>
      <c r="B11" s="37">
        <v>393864.80000000005</v>
      </c>
    </row>
    <row r="12" spans="1:2" x14ac:dyDescent="0.25">
      <c r="A12" t="s">
        <v>58</v>
      </c>
      <c r="B12" s="37">
        <v>970781.60000000009</v>
      </c>
    </row>
    <row r="13" spans="1:2" x14ac:dyDescent="0.25">
      <c r="A13" t="s">
        <v>57</v>
      </c>
      <c r="B13" s="37">
        <v>492456</v>
      </c>
    </row>
    <row r="14" spans="1:2" x14ac:dyDescent="0.25">
      <c r="A14" t="s">
        <v>56</v>
      </c>
      <c r="B14" s="37">
        <v>391667.20000000001</v>
      </c>
    </row>
    <row r="15" spans="1:2" x14ac:dyDescent="0.25">
      <c r="A15" t="s">
        <v>55</v>
      </c>
      <c r="B15" s="37">
        <v>883588</v>
      </c>
    </row>
    <row r="16" spans="1:2" x14ac:dyDescent="0.25">
      <c r="A16" t="s">
        <v>0</v>
      </c>
      <c r="B16" s="37">
        <v>866979.20000000007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805D2-ABD7-4F9F-AA5B-C4000B3BF3A4}">
  <sheetPr codeName="Лист10">
    <tabColor rgb="FF92D050"/>
  </sheetPr>
  <dimension ref="A1:U25"/>
  <sheetViews>
    <sheetView zoomScale="77" workbookViewId="0">
      <selection activeCell="G2" sqref="G2"/>
    </sheetView>
  </sheetViews>
  <sheetFormatPr defaultColWidth="8.85546875" defaultRowHeight="15" x14ac:dyDescent="0.25"/>
  <cols>
    <col min="1" max="1" width="42.85546875" bestFit="1" customWidth="1"/>
    <col min="2" max="3" width="8.85546875" customWidth="1"/>
    <col min="4" max="4" width="88.85546875" bestFit="1" customWidth="1"/>
    <col min="5" max="5" width="7.42578125" customWidth="1"/>
    <col min="6" max="6" width="10" customWidth="1"/>
    <col min="7" max="7" width="44" bestFit="1" customWidth="1"/>
    <col min="10" max="10" width="87.85546875" bestFit="1" customWidth="1"/>
    <col min="13" max="13" width="66.42578125" bestFit="1" customWidth="1"/>
    <col min="16" max="16" width="49.42578125" bestFit="1" customWidth="1"/>
    <col min="19" max="19" width="31.85546875" bestFit="1" customWidth="1"/>
  </cols>
  <sheetData>
    <row r="1" spans="1:21" x14ac:dyDescent="0.25">
      <c r="A1" s="28" t="s">
        <v>28</v>
      </c>
      <c r="B1" s="28" t="s">
        <v>95</v>
      </c>
      <c r="C1" s="24" t="s">
        <v>126</v>
      </c>
      <c r="D1" s="28" t="s">
        <v>37</v>
      </c>
      <c r="E1" s="28" t="s">
        <v>95</v>
      </c>
      <c r="F1" s="24" t="s">
        <v>126</v>
      </c>
      <c r="G1" s="28" t="s">
        <v>45</v>
      </c>
      <c r="H1" s="28" t="s">
        <v>95</v>
      </c>
      <c r="I1" s="24" t="s">
        <v>126</v>
      </c>
      <c r="J1" s="28" t="s">
        <v>47</v>
      </c>
      <c r="K1" s="28" t="s">
        <v>95</v>
      </c>
      <c r="L1" s="24" t="s">
        <v>126</v>
      </c>
      <c r="M1" s="28" t="s">
        <v>49</v>
      </c>
      <c r="N1" s="28" t="s">
        <v>95</v>
      </c>
      <c r="O1" s="24" t="s">
        <v>126</v>
      </c>
      <c r="P1" s="36" t="s">
        <v>30</v>
      </c>
      <c r="Q1" s="28" t="s">
        <v>95</v>
      </c>
      <c r="R1" s="24" t="s">
        <v>126</v>
      </c>
      <c r="S1" s="36" t="s">
        <v>51</v>
      </c>
      <c r="T1" s="28" t="s">
        <v>95</v>
      </c>
      <c r="U1" s="24" t="s">
        <v>126</v>
      </c>
    </row>
    <row r="2" spans="1:21" x14ac:dyDescent="0.25">
      <c r="A2" t="s">
        <v>35</v>
      </c>
      <c r="B2">
        <v>0.8</v>
      </c>
      <c r="C2" s="47">
        <v>1</v>
      </c>
      <c r="D2" t="s">
        <v>96</v>
      </c>
      <c r="E2">
        <v>0.9</v>
      </c>
      <c r="F2">
        <v>5</v>
      </c>
      <c r="G2" t="s">
        <v>46</v>
      </c>
      <c r="H2">
        <v>0.2</v>
      </c>
      <c r="I2">
        <v>1.5</v>
      </c>
      <c r="J2" t="s">
        <v>48</v>
      </c>
      <c r="K2">
        <v>0.8</v>
      </c>
      <c r="L2">
        <v>1.5</v>
      </c>
      <c r="M2" t="s">
        <v>119</v>
      </c>
      <c r="N2">
        <v>0.1</v>
      </c>
      <c r="O2">
        <v>2</v>
      </c>
      <c r="P2" t="s">
        <v>31</v>
      </c>
      <c r="Q2">
        <v>0.8</v>
      </c>
      <c r="R2">
        <v>3</v>
      </c>
      <c r="S2" t="s">
        <v>52</v>
      </c>
      <c r="T2" s="46">
        <v>0.2</v>
      </c>
      <c r="U2">
        <v>1</v>
      </c>
    </row>
    <row r="3" spans="1:21" x14ac:dyDescent="0.25">
      <c r="A3" t="s">
        <v>36</v>
      </c>
      <c r="B3">
        <v>0.9</v>
      </c>
      <c r="C3">
        <v>1</v>
      </c>
      <c r="D3" t="s">
        <v>40</v>
      </c>
      <c r="E3">
        <v>0.7</v>
      </c>
      <c r="F3">
        <v>1.5</v>
      </c>
      <c r="M3" t="s">
        <v>50</v>
      </c>
      <c r="N3">
        <v>0.05</v>
      </c>
      <c r="O3">
        <v>1</v>
      </c>
      <c r="P3" t="s">
        <v>32</v>
      </c>
      <c r="Q3">
        <v>0.8</v>
      </c>
      <c r="R3">
        <v>3</v>
      </c>
      <c r="S3" t="s">
        <v>53</v>
      </c>
      <c r="T3" s="46">
        <v>0.2</v>
      </c>
      <c r="U3">
        <v>1</v>
      </c>
    </row>
    <row r="4" spans="1:21" x14ac:dyDescent="0.25">
      <c r="D4" t="s">
        <v>98</v>
      </c>
      <c r="E4">
        <v>0.7</v>
      </c>
      <c r="F4">
        <v>3</v>
      </c>
      <c r="M4" t="s">
        <v>120</v>
      </c>
      <c r="N4">
        <v>0.2</v>
      </c>
      <c r="O4">
        <v>2</v>
      </c>
      <c r="P4" t="s">
        <v>33</v>
      </c>
      <c r="Q4">
        <v>0.8</v>
      </c>
      <c r="R4">
        <v>3</v>
      </c>
      <c r="S4" t="s">
        <v>54</v>
      </c>
      <c r="T4" s="46">
        <v>0.3</v>
      </c>
      <c r="U4">
        <v>1</v>
      </c>
    </row>
    <row r="5" spans="1:21" x14ac:dyDescent="0.25">
      <c r="D5" t="s">
        <v>38</v>
      </c>
      <c r="E5">
        <v>0.1</v>
      </c>
      <c r="F5">
        <v>3</v>
      </c>
      <c r="I5" s="30"/>
      <c r="P5" t="s">
        <v>34</v>
      </c>
      <c r="Q5">
        <v>0.8</v>
      </c>
      <c r="R5">
        <v>1</v>
      </c>
    </row>
    <row r="6" spans="1:21" x14ac:dyDescent="0.25">
      <c r="D6" t="s">
        <v>101</v>
      </c>
      <c r="E6">
        <v>0.9</v>
      </c>
      <c r="F6">
        <v>3</v>
      </c>
    </row>
    <row r="7" spans="1:21" x14ac:dyDescent="0.25">
      <c r="D7" t="s">
        <v>104</v>
      </c>
      <c r="E7">
        <v>0.9</v>
      </c>
      <c r="F7">
        <v>2</v>
      </c>
    </row>
    <row r="8" spans="1:21" x14ac:dyDescent="0.25">
      <c r="D8" t="s">
        <v>41</v>
      </c>
      <c r="E8">
        <v>0.9</v>
      </c>
      <c r="F8">
        <v>6</v>
      </c>
    </row>
    <row r="9" spans="1:21" x14ac:dyDescent="0.25">
      <c r="D9" t="s">
        <v>108</v>
      </c>
      <c r="E9">
        <v>0.8</v>
      </c>
      <c r="F9">
        <v>1.5</v>
      </c>
    </row>
    <row r="10" spans="1:21" x14ac:dyDescent="0.25">
      <c r="D10" t="s">
        <v>109</v>
      </c>
      <c r="E10">
        <v>0.6</v>
      </c>
      <c r="F10">
        <v>1</v>
      </c>
    </row>
    <row r="11" spans="1:21" x14ac:dyDescent="0.25">
      <c r="D11" t="s">
        <v>110</v>
      </c>
      <c r="E11">
        <v>0.9</v>
      </c>
      <c r="F11">
        <v>1</v>
      </c>
    </row>
    <row r="12" spans="1:21" x14ac:dyDescent="0.25">
      <c r="D12" t="s">
        <v>111</v>
      </c>
      <c r="E12">
        <v>0.6</v>
      </c>
      <c r="F12">
        <v>4</v>
      </c>
    </row>
    <row r="13" spans="1:21" x14ac:dyDescent="0.25">
      <c r="D13" t="s">
        <v>112</v>
      </c>
      <c r="E13">
        <v>0.6</v>
      </c>
      <c r="F13">
        <v>1</v>
      </c>
    </row>
    <row r="14" spans="1:21" x14ac:dyDescent="0.25">
      <c r="D14" t="s">
        <v>113</v>
      </c>
      <c r="E14">
        <v>0.9</v>
      </c>
      <c r="F14">
        <v>2</v>
      </c>
    </row>
    <row r="15" spans="1:21" x14ac:dyDescent="0.25">
      <c r="D15" t="s">
        <v>114</v>
      </c>
      <c r="E15">
        <v>0.9</v>
      </c>
      <c r="F15">
        <v>2</v>
      </c>
    </row>
    <row r="16" spans="1:21" x14ac:dyDescent="0.25">
      <c r="D16" t="s">
        <v>115</v>
      </c>
      <c r="E16">
        <v>0.9</v>
      </c>
      <c r="F16">
        <v>1</v>
      </c>
    </row>
    <row r="17" spans="1:6" x14ac:dyDescent="0.25">
      <c r="D17" t="s">
        <v>44</v>
      </c>
      <c r="E17">
        <v>0.7</v>
      </c>
      <c r="F17">
        <v>1</v>
      </c>
    </row>
    <row r="18" spans="1:6" x14ac:dyDescent="0.25">
      <c r="D18" t="s">
        <v>116</v>
      </c>
      <c r="E18">
        <v>0.7</v>
      </c>
      <c r="F18">
        <v>1</v>
      </c>
    </row>
    <row r="19" spans="1:6" x14ac:dyDescent="0.25">
      <c r="D19" t="s">
        <v>43</v>
      </c>
      <c r="E19">
        <v>0.3</v>
      </c>
      <c r="F19">
        <v>3</v>
      </c>
    </row>
    <row r="20" spans="1:6" x14ac:dyDescent="0.25">
      <c r="D20" t="s">
        <v>39</v>
      </c>
      <c r="E20">
        <v>0.8</v>
      </c>
      <c r="F20">
        <v>1</v>
      </c>
    </row>
    <row r="21" spans="1:6" x14ac:dyDescent="0.25">
      <c r="D21" t="s">
        <v>117</v>
      </c>
      <c r="E21">
        <v>0.8</v>
      </c>
      <c r="F21">
        <v>5</v>
      </c>
    </row>
    <row r="22" spans="1:6" x14ac:dyDescent="0.25">
      <c r="D22" t="s">
        <v>42</v>
      </c>
      <c r="E22">
        <v>0.8</v>
      </c>
      <c r="F22">
        <v>2</v>
      </c>
    </row>
    <row r="23" spans="1:6" x14ac:dyDescent="0.25">
      <c r="D23" t="s">
        <v>118</v>
      </c>
      <c r="E23">
        <v>0.9</v>
      </c>
      <c r="F23">
        <v>1</v>
      </c>
    </row>
    <row r="24" spans="1:6" x14ac:dyDescent="0.25">
      <c r="D24" t="s">
        <v>119</v>
      </c>
      <c r="E24">
        <v>0.1</v>
      </c>
      <c r="F24">
        <v>2</v>
      </c>
    </row>
    <row r="25" spans="1:6" x14ac:dyDescent="0.25">
      <c r="A25" t="s">
        <v>146</v>
      </c>
      <c r="D25" t="s">
        <v>120</v>
      </c>
      <c r="E25">
        <v>0.2</v>
      </c>
      <c r="F25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DA983-F2C5-48A5-8F41-BB2FA17168CE}">
  <sheetPr codeName="Лист11">
    <tabColor rgb="FF92D050"/>
  </sheetPr>
  <dimension ref="A1:G464"/>
  <sheetViews>
    <sheetView workbookViewId="0">
      <selection activeCell="G1" sqref="G1"/>
    </sheetView>
  </sheetViews>
  <sheetFormatPr defaultColWidth="8.85546875" defaultRowHeight="15" x14ac:dyDescent="0.25"/>
  <cols>
    <col min="1" max="3" width="28.42578125" customWidth="1"/>
  </cols>
  <sheetData>
    <row r="1" spans="1:7" x14ac:dyDescent="0.25">
      <c r="A1" t="s">
        <v>148</v>
      </c>
      <c r="B1" t="s">
        <v>72</v>
      </c>
      <c r="C1" t="s">
        <v>74</v>
      </c>
      <c r="G1" t="s">
        <v>75</v>
      </c>
    </row>
    <row r="2" spans="1:7" x14ac:dyDescent="0.25">
      <c r="A2" t="s">
        <v>0</v>
      </c>
      <c r="B2" t="s">
        <v>149</v>
      </c>
      <c r="C2">
        <v>395</v>
      </c>
    </row>
    <row r="3" spans="1:7" x14ac:dyDescent="0.25">
      <c r="A3" t="s">
        <v>0</v>
      </c>
      <c r="B3" t="s">
        <v>150</v>
      </c>
      <c r="C3">
        <v>784</v>
      </c>
    </row>
    <row r="4" spans="1:7" x14ac:dyDescent="0.25">
      <c r="A4" t="s">
        <v>0</v>
      </c>
      <c r="B4" t="s">
        <v>84</v>
      </c>
      <c r="C4">
        <v>16491</v>
      </c>
    </row>
    <row r="5" spans="1:7" x14ac:dyDescent="0.25">
      <c r="A5" t="s">
        <v>0</v>
      </c>
      <c r="B5" t="s">
        <v>83</v>
      </c>
      <c r="C5">
        <v>8049</v>
      </c>
    </row>
    <row r="6" spans="1:7" x14ac:dyDescent="0.25">
      <c r="A6" t="s">
        <v>0</v>
      </c>
      <c r="B6" t="s">
        <v>151</v>
      </c>
      <c r="C6">
        <v>13938</v>
      </c>
    </row>
    <row r="7" spans="1:7" x14ac:dyDescent="0.25">
      <c r="A7" t="s">
        <v>0</v>
      </c>
      <c r="B7" t="s">
        <v>82</v>
      </c>
      <c r="C7">
        <v>873</v>
      </c>
    </row>
    <row r="8" spans="1:7" x14ac:dyDescent="0.25">
      <c r="A8" t="s">
        <v>0</v>
      </c>
      <c r="B8" t="s">
        <v>152</v>
      </c>
      <c r="C8">
        <v>3007</v>
      </c>
    </row>
    <row r="9" spans="1:7" x14ac:dyDescent="0.25">
      <c r="A9" t="s">
        <v>0</v>
      </c>
      <c r="B9" t="s">
        <v>153</v>
      </c>
      <c r="C9">
        <v>4692</v>
      </c>
    </row>
    <row r="10" spans="1:7" x14ac:dyDescent="0.25">
      <c r="A10" t="s">
        <v>0</v>
      </c>
      <c r="B10" t="s">
        <v>81</v>
      </c>
      <c r="C10">
        <v>4075</v>
      </c>
    </row>
    <row r="11" spans="1:7" x14ac:dyDescent="0.25">
      <c r="A11" t="s">
        <v>0</v>
      </c>
      <c r="B11" t="s">
        <v>77</v>
      </c>
      <c r="C11">
        <v>3695</v>
      </c>
    </row>
    <row r="12" spans="1:7" x14ac:dyDescent="0.25">
      <c r="A12" t="s">
        <v>0</v>
      </c>
      <c r="B12" t="s">
        <v>154</v>
      </c>
      <c r="C12">
        <v>1277</v>
      </c>
    </row>
    <row r="13" spans="1:7" x14ac:dyDescent="0.25">
      <c r="A13" t="s">
        <v>0</v>
      </c>
      <c r="B13" t="s">
        <v>155</v>
      </c>
      <c r="C13">
        <v>2634</v>
      </c>
    </row>
    <row r="14" spans="1:7" x14ac:dyDescent="0.25">
      <c r="A14" t="s">
        <v>0</v>
      </c>
      <c r="B14" t="s">
        <v>156</v>
      </c>
      <c r="C14">
        <v>2124</v>
      </c>
    </row>
    <row r="15" spans="1:7" x14ac:dyDescent="0.25">
      <c r="A15" t="s">
        <v>0</v>
      </c>
      <c r="B15" t="s">
        <v>157</v>
      </c>
      <c r="C15">
        <v>12470</v>
      </c>
    </row>
    <row r="16" spans="1:7" x14ac:dyDescent="0.25">
      <c r="A16" t="s">
        <v>0</v>
      </c>
      <c r="B16" t="s">
        <v>158</v>
      </c>
      <c r="C16">
        <v>957</v>
      </c>
    </row>
    <row r="17" spans="1:3" x14ac:dyDescent="0.25">
      <c r="A17" t="s">
        <v>0</v>
      </c>
      <c r="B17" t="s">
        <v>159</v>
      </c>
      <c r="C17">
        <v>130</v>
      </c>
    </row>
    <row r="18" spans="1:3" x14ac:dyDescent="0.25">
      <c r="A18" t="s">
        <v>0</v>
      </c>
      <c r="B18" t="s">
        <v>160</v>
      </c>
      <c r="C18">
        <v>4</v>
      </c>
    </row>
    <row r="19" spans="1:3" x14ac:dyDescent="0.25">
      <c r="A19" t="s">
        <v>0</v>
      </c>
      <c r="B19" t="s">
        <v>76</v>
      </c>
      <c r="C19">
        <v>614</v>
      </c>
    </row>
    <row r="20" spans="1:3" x14ac:dyDescent="0.25">
      <c r="A20" t="s">
        <v>0</v>
      </c>
      <c r="B20" t="s">
        <v>161</v>
      </c>
      <c r="C20">
        <v>13</v>
      </c>
    </row>
    <row r="21" spans="1:3" x14ac:dyDescent="0.25">
      <c r="A21" t="s">
        <v>0</v>
      </c>
      <c r="B21" t="s">
        <v>78</v>
      </c>
      <c r="C21">
        <v>315</v>
      </c>
    </row>
    <row r="22" spans="1:3" x14ac:dyDescent="0.25">
      <c r="A22" t="s">
        <v>0</v>
      </c>
      <c r="B22" t="s">
        <v>162</v>
      </c>
      <c r="C22">
        <v>510</v>
      </c>
    </row>
    <row r="23" spans="1:3" x14ac:dyDescent="0.25">
      <c r="A23" t="s">
        <v>0</v>
      </c>
      <c r="B23" t="s">
        <v>80</v>
      </c>
      <c r="C23">
        <v>2103</v>
      </c>
    </row>
    <row r="24" spans="1:3" x14ac:dyDescent="0.25">
      <c r="A24" t="s">
        <v>0</v>
      </c>
      <c r="B24" t="s">
        <v>163</v>
      </c>
      <c r="C24">
        <v>0</v>
      </c>
    </row>
    <row r="25" spans="1:3" x14ac:dyDescent="0.25">
      <c r="A25" t="s">
        <v>0</v>
      </c>
      <c r="B25" t="s">
        <v>164</v>
      </c>
      <c r="C25">
        <v>973</v>
      </c>
    </row>
    <row r="26" spans="1:3" x14ac:dyDescent="0.25">
      <c r="A26" t="s">
        <v>0</v>
      </c>
      <c r="B26" t="s">
        <v>165</v>
      </c>
      <c r="C26">
        <v>164</v>
      </c>
    </row>
    <row r="27" spans="1:3" x14ac:dyDescent="0.25">
      <c r="A27" t="s">
        <v>0</v>
      </c>
      <c r="B27" t="s">
        <v>79</v>
      </c>
      <c r="C27">
        <v>116</v>
      </c>
    </row>
    <row r="28" spans="1:3" x14ac:dyDescent="0.25">
      <c r="A28" t="s">
        <v>0</v>
      </c>
      <c r="B28" t="s">
        <v>166</v>
      </c>
      <c r="C28">
        <v>28</v>
      </c>
    </row>
    <row r="29" spans="1:3" x14ac:dyDescent="0.25">
      <c r="A29" t="s">
        <v>0</v>
      </c>
      <c r="B29" t="s">
        <v>167</v>
      </c>
      <c r="C29">
        <v>118</v>
      </c>
    </row>
    <row r="30" spans="1:3" x14ac:dyDescent="0.25">
      <c r="A30" t="s">
        <v>0</v>
      </c>
      <c r="B30" t="s">
        <v>168</v>
      </c>
      <c r="C30">
        <v>0</v>
      </c>
    </row>
    <row r="31" spans="1:3" x14ac:dyDescent="0.25">
      <c r="A31" t="s">
        <v>0</v>
      </c>
      <c r="B31" t="s">
        <v>169</v>
      </c>
      <c r="C31">
        <v>235</v>
      </c>
    </row>
    <row r="32" spans="1:3" x14ac:dyDescent="0.25">
      <c r="A32" t="s">
        <v>0</v>
      </c>
      <c r="B32" t="s">
        <v>170</v>
      </c>
      <c r="C32">
        <v>0</v>
      </c>
    </row>
    <row r="33" spans="1:3" x14ac:dyDescent="0.25">
      <c r="A33" t="s">
        <v>0</v>
      </c>
      <c r="B33" t="s">
        <v>171</v>
      </c>
      <c r="C33">
        <v>1350</v>
      </c>
    </row>
    <row r="34" spans="1:3" x14ac:dyDescent="0.25">
      <c r="A34" t="s">
        <v>0</v>
      </c>
      <c r="B34" t="s">
        <v>172</v>
      </c>
      <c r="C34">
        <v>869</v>
      </c>
    </row>
    <row r="35" spans="1:3" x14ac:dyDescent="0.25">
      <c r="A35" t="s">
        <v>0</v>
      </c>
      <c r="B35" t="s">
        <v>173</v>
      </c>
      <c r="C35">
        <v>552</v>
      </c>
    </row>
    <row r="36" spans="1:3" x14ac:dyDescent="0.25">
      <c r="A36" t="s">
        <v>0</v>
      </c>
      <c r="B36" t="s">
        <v>174</v>
      </c>
      <c r="C36">
        <v>0</v>
      </c>
    </row>
    <row r="37" spans="1:3" x14ac:dyDescent="0.25">
      <c r="A37" t="s">
        <v>0</v>
      </c>
      <c r="B37" t="s">
        <v>175</v>
      </c>
      <c r="C37">
        <v>11</v>
      </c>
    </row>
    <row r="38" spans="1:3" x14ac:dyDescent="0.25">
      <c r="A38" t="s">
        <v>0</v>
      </c>
      <c r="B38" t="s">
        <v>176</v>
      </c>
      <c r="C38">
        <v>0</v>
      </c>
    </row>
    <row r="39" spans="1:3" x14ac:dyDescent="0.25">
      <c r="A39" t="s">
        <v>0</v>
      </c>
      <c r="B39" t="s">
        <v>177</v>
      </c>
      <c r="C39">
        <v>0</v>
      </c>
    </row>
    <row r="40" spans="1:3" x14ac:dyDescent="0.25">
      <c r="A40" t="s">
        <v>0</v>
      </c>
      <c r="B40" t="s">
        <v>178</v>
      </c>
      <c r="C40">
        <v>0</v>
      </c>
    </row>
    <row r="41" spans="1:3" x14ac:dyDescent="0.25">
      <c r="A41" t="s">
        <v>66</v>
      </c>
      <c r="B41" t="s">
        <v>76</v>
      </c>
      <c r="C41">
        <v>2426</v>
      </c>
    </row>
    <row r="42" spans="1:3" x14ac:dyDescent="0.25">
      <c r="A42" t="s">
        <v>66</v>
      </c>
      <c r="B42" t="s">
        <v>84</v>
      </c>
      <c r="C42">
        <v>8255</v>
      </c>
    </row>
    <row r="43" spans="1:3" x14ac:dyDescent="0.25">
      <c r="A43" t="s">
        <v>66</v>
      </c>
      <c r="B43" t="s">
        <v>83</v>
      </c>
      <c r="C43">
        <v>11719</v>
      </c>
    </row>
    <row r="44" spans="1:3" x14ac:dyDescent="0.25">
      <c r="A44" t="s">
        <v>66</v>
      </c>
      <c r="B44" t="s">
        <v>151</v>
      </c>
      <c r="C44">
        <v>13937</v>
      </c>
    </row>
    <row r="45" spans="1:3" x14ac:dyDescent="0.25">
      <c r="A45" t="s">
        <v>66</v>
      </c>
      <c r="B45" t="s">
        <v>82</v>
      </c>
      <c r="C45">
        <v>6822</v>
      </c>
    </row>
    <row r="46" spans="1:3" x14ac:dyDescent="0.25">
      <c r="A46" t="s">
        <v>66</v>
      </c>
      <c r="B46" t="s">
        <v>152</v>
      </c>
      <c r="C46">
        <v>9163</v>
      </c>
    </row>
    <row r="47" spans="1:3" x14ac:dyDescent="0.25">
      <c r="A47" t="s">
        <v>66</v>
      </c>
      <c r="B47" t="s">
        <v>153</v>
      </c>
      <c r="C47">
        <v>14060</v>
      </c>
    </row>
    <row r="48" spans="1:3" x14ac:dyDescent="0.25">
      <c r="A48" t="s">
        <v>66</v>
      </c>
      <c r="B48" t="s">
        <v>81</v>
      </c>
      <c r="C48">
        <v>3393</v>
      </c>
    </row>
    <row r="49" spans="1:3" x14ac:dyDescent="0.25">
      <c r="A49" t="s">
        <v>66</v>
      </c>
      <c r="B49" t="s">
        <v>77</v>
      </c>
      <c r="C49">
        <v>2272</v>
      </c>
    </row>
    <row r="50" spans="1:3" x14ac:dyDescent="0.25">
      <c r="A50" t="s">
        <v>66</v>
      </c>
      <c r="B50" t="s">
        <v>78</v>
      </c>
      <c r="C50">
        <v>66</v>
      </c>
    </row>
    <row r="51" spans="1:3" x14ac:dyDescent="0.25">
      <c r="A51" t="s">
        <v>66</v>
      </c>
      <c r="B51" t="s">
        <v>154</v>
      </c>
      <c r="C51">
        <v>513</v>
      </c>
    </row>
    <row r="52" spans="1:3" x14ac:dyDescent="0.25">
      <c r="A52" t="s">
        <v>66</v>
      </c>
      <c r="B52" t="s">
        <v>155</v>
      </c>
      <c r="C52">
        <v>5761</v>
      </c>
    </row>
    <row r="53" spans="1:3" x14ac:dyDescent="0.25">
      <c r="A53" t="s">
        <v>66</v>
      </c>
      <c r="B53" t="s">
        <v>156</v>
      </c>
      <c r="C53">
        <v>4822</v>
      </c>
    </row>
    <row r="54" spans="1:3" x14ac:dyDescent="0.25">
      <c r="A54" t="s">
        <v>66</v>
      </c>
      <c r="B54" t="s">
        <v>157</v>
      </c>
      <c r="C54">
        <v>11122</v>
      </c>
    </row>
    <row r="55" spans="1:3" x14ac:dyDescent="0.25">
      <c r="A55" t="s">
        <v>66</v>
      </c>
      <c r="B55" t="s">
        <v>179</v>
      </c>
      <c r="C55">
        <v>121</v>
      </c>
    </row>
    <row r="56" spans="1:3" x14ac:dyDescent="0.25">
      <c r="A56" t="s">
        <v>66</v>
      </c>
      <c r="B56" t="s">
        <v>180</v>
      </c>
      <c r="C56">
        <v>1125</v>
      </c>
    </row>
    <row r="57" spans="1:3" x14ac:dyDescent="0.25">
      <c r="A57" t="s">
        <v>66</v>
      </c>
      <c r="B57" t="s">
        <v>181</v>
      </c>
      <c r="C57">
        <v>19</v>
      </c>
    </row>
    <row r="58" spans="1:3" x14ac:dyDescent="0.25">
      <c r="A58" t="s">
        <v>66</v>
      </c>
      <c r="B58" t="s">
        <v>150</v>
      </c>
      <c r="C58">
        <v>177</v>
      </c>
    </row>
    <row r="59" spans="1:3" x14ac:dyDescent="0.25">
      <c r="A59" t="s">
        <v>66</v>
      </c>
      <c r="B59" t="s">
        <v>149</v>
      </c>
      <c r="C59">
        <v>1962</v>
      </c>
    </row>
    <row r="60" spans="1:3" x14ac:dyDescent="0.25">
      <c r="A60" t="s">
        <v>66</v>
      </c>
      <c r="B60" t="s">
        <v>159</v>
      </c>
      <c r="C60">
        <v>281</v>
      </c>
    </row>
    <row r="61" spans="1:3" x14ac:dyDescent="0.25">
      <c r="A61" t="s">
        <v>66</v>
      </c>
      <c r="B61" t="s">
        <v>182</v>
      </c>
      <c r="C61">
        <v>72</v>
      </c>
    </row>
    <row r="62" spans="1:3" x14ac:dyDescent="0.25">
      <c r="A62" t="s">
        <v>66</v>
      </c>
      <c r="B62" t="s">
        <v>161</v>
      </c>
      <c r="C62">
        <v>3</v>
      </c>
    </row>
    <row r="63" spans="1:3" x14ac:dyDescent="0.25">
      <c r="A63" t="s">
        <v>66</v>
      </c>
      <c r="B63" t="s">
        <v>162</v>
      </c>
      <c r="C63">
        <v>55</v>
      </c>
    </row>
    <row r="64" spans="1:3" x14ac:dyDescent="0.25">
      <c r="A64" t="s">
        <v>66</v>
      </c>
      <c r="B64" t="s">
        <v>80</v>
      </c>
      <c r="C64">
        <v>1618</v>
      </c>
    </row>
    <row r="65" spans="1:3" x14ac:dyDescent="0.25">
      <c r="A65" t="s">
        <v>66</v>
      </c>
      <c r="B65" t="s">
        <v>163</v>
      </c>
      <c r="C65">
        <v>29</v>
      </c>
    </row>
    <row r="66" spans="1:3" x14ac:dyDescent="0.25">
      <c r="A66" t="s">
        <v>66</v>
      </c>
      <c r="B66" t="s">
        <v>164</v>
      </c>
      <c r="C66">
        <v>46</v>
      </c>
    </row>
    <row r="67" spans="1:3" x14ac:dyDescent="0.25">
      <c r="A67" t="s">
        <v>66</v>
      </c>
      <c r="B67" t="s">
        <v>79</v>
      </c>
      <c r="C67">
        <v>0</v>
      </c>
    </row>
    <row r="68" spans="1:3" x14ac:dyDescent="0.25">
      <c r="A68" t="s">
        <v>66</v>
      </c>
      <c r="B68" t="s">
        <v>165</v>
      </c>
      <c r="C68">
        <v>866</v>
      </c>
    </row>
    <row r="69" spans="1:3" x14ac:dyDescent="0.25">
      <c r="A69" t="s">
        <v>66</v>
      </c>
      <c r="B69" t="s">
        <v>167</v>
      </c>
      <c r="C69">
        <v>1000</v>
      </c>
    </row>
    <row r="70" spans="1:3" x14ac:dyDescent="0.25">
      <c r="A70" t="s">
        <v>66</v>
      </c>
      <c r="B70" t="s">
        <v>169</v>
      </c>
      <c r="C70">
        <v>276</v>
      </c>
    </row>
    <row r="71" spans="1:3" x14ac:dyDescent="0.25">
      <c r="A71" t="s">
        <v>66</v>
      </c>
      <c r="B71" t="s">
        <v>168</v>
      </c>
      <c r="C71">
        <v>31</v>
      </c>
    </row>
    <row r="72" spans="1:3" x14ac:dyDescent="0.25">
      <c r="A72" t="s">
        <v>66</v>
      </c>
      <c r="B72" t="s">
        <v>166</v>
      </c>
      <c r="C72">
        <v>455</v>
      </c>
    </row>
    <row r="73" spans="1:3" x14ac:dyDescent="0.25">
      <c r="A73" t="s">
        <v>66</v>
      </c>
      <c r="B73" t="s">
        <v>170</v>
      </c>
      <c r="C73">
        <v>156</v>
      </c>
    </row>
    <row r="74" spans="1:3" x14ac:dyDescent="0.25">
      <c r="A74" t="s">
        <v>66</v>
      </c>
      <c r="B74" t="s">
        <v>171</v>
      </c>
      <c r="C74">
        <v>3186</v>
      </c>
    </row>
    <row r="75" spans="1:3" x14ac:dyDescent="0.25">
      <c r="A75" t="s">
        <v>66</v>
      </c>
      <c r="B75" t="s">
        <v>172</v>
      </c>
      <c r="C75">
        <v>1438</v>
      </c>
    </row>
    <row r="76" spans="1:3" x14ac:dyDescent="0.25">
      <c r="A76" t="s">
        <v>66</v>
      </c>
      <c r="B76" t="s">
        <v>173</v>
      </c>
      <c r="C76">
        <v>1015</v>
      </c>
    </row>
    <row r="77" spans="1:3" x14ac:dyDescent="0.25">
      <c r="A77" t="s">
        <v>66</v>
      </c>
      <c r="B77" t="s">
        <v>174</v>
      </c>
      <c r="C77">
        <v>9</v>
      </c>
    </row>
    <row r="78" spans="1:3" x14ac:dyDescent="0.25">
      <c r="A78" t="s">
        <v>66</v>
      </c>
      <c r="B78" t="s">
        <v>175</v>
      </c>
      <c r="C78">
        <v>0</v>
      </c>
    </row>
    <row r="79" spans="1:3" x14ac:dyDescent="0.25">
      <c r="A79" t="s">
        <v>66</v>
      </c>
      <c r="B79" t="s">
        <v>176</v>
      </c>
      <c r="C79">
        <v>74</v>
      </c>
    </row>
    <row r="80" spans="1:3" x14ac:dyDescent="0.25">
      <c r="A80" t="s">
        <v>66</v>
      </c>
      <c r="B80" t="s">
        <v>177</v>
      </c>
      <c r="C80">
        <v>0</v>
      </c>
    </row>
    <row r="81" spans="1:3" x14ac:dyDescent="0.25">
      <c r="A81" t="s">
        <v>66</v>
      </c>
      <c r="B81" t="s">
        <v>178</v>
      </c>
      <c r="C81">
        <v>956</v>
      </c>
    </row>
    <row r="82" spans="1:3" x14ac:dyDescent="0.25">
      <c r="A82" t="s">
        <v>63</v>
      </c>
      <c r="B82" t="s">
        <v>76</v>
      </c>
      <c r="C82">
        <v>443</v>
      </c>
    </row>
    <row r="83" spans="1:3" x14ac:dyDescent="0.25">
      <c r="A83" t="s">
        <v>63</v>
      </c>
      <c r="B83" t="s">
        <v>84</v>
      </c>
      <c r="C83">
        <v>10885</v>
      </c>
    </row>
    <row r="84" spans="1:3" x14ac:dyDescent="0.25">
      <c r="A84" t="s">
        <v>63</v>
      </c>
      <c r="B84" t="s">
        <v>83</v>
      </c>
      <c r="C84">
        <v>5058</v>
      </c>
    </row>
    <row r="85" spans="1:3" x14ac:dyDescent="0.25">
      <c r="A85" t="s">
        <v>63</v>
      </c>
      <c r="B85" t="s">
        <v>151</v>
      </c>
      <c r="C85">
        <v>15105</v>
      </c>
    </row>
    <row r="86" spans="1:3" x14ac:dyDescent="0.25">
      <c r="A86" t="s">
        <v>63</v>
      </c>
      <c r="B86" t="s">
        <v>82</v>
      </c>
      <c r="C86">
        <v>3448</v>
      </c>
    </row>
    <row r="87" spans="1:3" x14ac:dyDescent="0.25">
      <c r="A87" t="s">
        <v>63</v>
      </c>
      <c r="B87" t="s">
        <v>152</v>
      </c>
      <c r="C87">
        <v>5896</v>
      </c>
    </row>
    <row r="88" spans="1:3" x14ac:dyDescent="0.25">
      <c r="A88" t="s">
        <v>63</v>
      </c>
      <c r="B88" t="s">
        <v>153</v>
      </c>
      <c r="C88">
        <v>4135</v>
      </c>
    </row>
    <row r="89" spans="1:3" x14ac:dyDescent="0.25">
      <c r="A89" t="s">
        <v>63</v>
      </c>
      <c r="B89" t="s">
        <v>81</v>
      </c>
      <c r="C89">
        <v>706</v>
      </c>
    </row>
    <row r="90" spans="1:3" x14ac:dyDescent="0.25">
      <c r="A90" t="s">
        <v>63</v>
      </c>
      <c r="B90" t="s">
        <v>77</v>
      </c>
      <c r="C90">
        <v>3063</v>
      </c>
    </row>
    <row r="91" spans="1:3" x14ac:dyDescent="0.25">
      <c r="A91" t="s">
        <v>63</v>
      </c>
      <c r="B91" t="s">
        <v>154</v>
      </c>
      <c r="C91">
        <v>2113</v>
      </c>
    </row>
    <row r="92" spans="1:3" x14ac:dyDescent="0.25">
      <c r="A92" t="s">
        <v>63</v>
      </c>
      <c r="B92" t="s">
        <v>155</v>
      </c>
      <c r="C92">
        <v>2090</v>
      </c>
    </row>
    <row r="93" spans="1:3" x14ac:dyDescent="0.25">
      <c r="A93" t="s">
        <v>63</v>
      </c>
      <c r="B93" t="s">
        <v>156</v>
      </c>
      <c r="C93">
        <v>1317</v>
      </c>
    </row>
    <row r="94" spans="1:3" x14ac:dyDescent="0.25">
      <c r="A94" t="s">
        <v>63</v>
      </c>
      <c r="B94" t="s">
        <v>157</v>
      </c>
      <c r="C94">
        <v>5212</v>
      </c>
    </row>
    <row r="95" spans="1:3" x14ac:dyDescent="0.25">
      <c r="A95" t="s">
        <v>63</v>
      </c>
      <c r="B95" t="s">
        <v>80</v>
      </c>
      <c r="C95">
        <v>975</v>
      </c>
    </row>
    <row r="96" spans="1:3" x14ac:dyDescent="0.25">
      <c r="A96" t="s">
        <v>63</v>
      </c>
      <c r="B96" t="s">
        <v>183</v>
      </c>
      <c r="C96">
        <v>230</v>
      </c>
    </row>
    <row r="97" spans="1:3" x14ac:dyDescent="0.25">
      <c r="A97" t="s">
        <v>63</v>
      </c>
      <c r="B97" t="s">
        <v>150</v>
      </c>
      <c r="C97">
        <v>652</v>
      </c>
    </row>
    <row r="98" spans="1:3" x14ac:dyDescent="0.25">
      <c r="A98" t="s">
        <v>63</v>
      </c>
      <c r="B98" t="s">
        <v>149</v>
      </c>
      <c r="C98">
        <v>4006</v>
      </c>
    </row>
    <row r="99" spans="1:3" x14ac:dyDescent="0.25">
      <c r="A99" t="s">
        <v>63</v>
      </c>
      <c r="B99" t="s">
        <v>159</v>
      </c>
      <c r="C99">
        <v>1584</v>
      </c>
    </row>
    <row r="100" spans="1:3" x14ac:dyDescent="0.25">
      <c r="A100" t="s">
        <v>63</v>
      </c>
      <c r="B100" t="s">
        <v>184</v>
      </c>
      <c r="C100">
        <v>0</v>
      </c>
    </row>
    <row r="101" spans="1:3" x14ac:dyDescent="0.25">
      <c r="A101" t="s">
        <v>63</v>
      </c>
      <c r="B101" t="s">
        <v>161</v>
      </c>
      <c r="C101">
        <v>23</v>
      </c>
    </row>
    <row r="102" spans="1:3" x14ac:dyDescent="0.25">
      <c r="A102" t="s">
        <v>63</v>
      </c>
      <c r="B102" t="s">
        <v>78</v>
      </c>
      <c r="C102">
        <v>0</v>
      </c>
    </row>
    <row r="103" spans="1:3" x14ac:dyDescent="0.25">
      <c r="A103" t="s">
        <v>63</v>
      </c>
      <c r="B103" t="s">
        <v>162</v>
      </c>
      <c r="C103">
        <v>126</v>
      </c>
    </row>
    <row r="104" spans="1:3" x14ac:dyDescent="0.25">
      <c r="A104" t="s">
        <v>63</v>
      </c>
      <c r="B104" t="s">
        <v>163</v>
      </c>
      <c r="C104">
        <v>0</v>
      </c>
    </row>
    <row r="105" spans="1:3" x14ac:dyDescent="0.25">
      <c r="A105" t="s">
        <v>63</v>
      </c>
      <c r="B105" t="s">
        <v>164</v>
      </c>
      <c r="C105">
        <v>43</v>
      </c>
    </row>
    <row r="106" spans="1:3" x14ac:dyDescent="0.25">
      <c r="A106" t="s">
        <v>63</v>
      </c>
      <c r="B106" t="s">
        <v>166</v>
      </c>
      <c r="C106">
        <v>0</v>
      </c>
    </row>
    <row r="107" spans="1:3" x14ac:dyDescent="0.25">
      <c r="A107" t="s">
        <v>63</v>
      </c>
      <c r="B107" t="s">
        <v>79</v>
      </c>
      <c r="C107">
        <v>0</v>
      </c>
    </row>
    <row r="108" spans="1:3" x14ac:dyDescent="0.25">
      <c r="A108" t="s">
        <v>63</v>
      </c>
      <c r="B108" t="s">
        <v>167</v>
      </c>
      <c r="C108">
        <v>3663</v>
      </c>
    </row>
    <row r="109" spans="1:3" x14ac:dyDescent="0.25">
      <c r="A109" t="s">
        <v>63</v>
      </c>
      <c r="B109" t="s">
        <v>165</v>
      </c>
      <c r="C109">
        <v>574</v>
      </c>
    </row>
    <row r="110" spans="1:3" x14ac:dyDescent="0.25">
      <c r="A110" t="s">
        <v>63</v>
      </c>
      <c r="B110" t="s">
        <v>169</v>
      </c>
      <c r="C110">
        <v>0</v>
      </c>
    </row>
    <row r="111" spans="1:3" x14ac:dyDescent="0.25">
      <c r="A111" t="s">
        <v>63</v>
      </c>
      <c r="B111" t="s">
        <v>168</v>
      </c>
      <c r="C111">
        <v>33</v>
      </c>
    </row>
    <row r="112" spans="1:3" x14ac:dyDescent="0.25">
      <c r="A112" t="s">
        <v>63</v>
      </c>
      <c r="B112" t="s">
        <v>170</v>
      </c>
      <c r="C112">
        <v>0</v>
      </c>
    </row>
    <row r="113" spans="1:3" x14ac:dyDescent="0.25">
      <c r="A113" t="s">
        <v>63</v>
      </c>
      <c r="B113" t="s">
        <v>171</v>
      </c>
      <c r="C113">
        <v>3712</v>
      </c>
    </row>
    <row r="114" spans="1:3" x14ac:dyDescent="0.25">
      <c r="A114" t="s">
        <v>63</v>
      </c>
      <c r="B114" t="s">
        <v>172</v>
      </c>
      <c r="C114">
        <v>2333</v>
      </c>
    </row>
    <row r="115" spans="1:3" x14ac:dyDescent="0.25">
      <c r="A115" t="s">
        <v>63</v>
      </c>
      <c r="B115" t="s">
        <v>173</v>
      </c>
      <c r="C115">
        <v>1548</v>
      </c>
    </row>
    <row r="116" spans="1:3" x14ac:dyDescent="0.25">
      <c r="A116" t="s">
        <v>63</v>
      </c>
      <c r="B116" t="s">
        <v>174</v>
      </c>
      <c r="C116">
        <v>0</v>
      </c>
    </row>
    <row r="117" spans="1:3" x14ac:dyDescent="0.25">
      <c r="A117" t="s">
        <v>63</v>
      </c>
      <c r="B117" t="s">
        <v>175</v>
      </c>
      <c r="C117">
        <v>0</v>
      </c>
    </row>
    <row r="118" spans="1:3" x14ac:dyDescent="0.25">
      <c r="A118" t="s">
        <v>63</v>
      </c>
      <c r="B118" t="s">
        <v>176</v>
      </c>
      <c r="C118">
        <v>331</v>
      </c>
    </row>
    <row r="119" spans="1:3" x14ac:dyDescent="0.25">
      <c r="A119" t="s">
        <v>63</v>
      </c>
      <c r="B119" t="s">
        <v>177</v>
      </c>
      <c r="C119">
        <v>0</v>
      </c>
    </row>
    <row r="120" spans="1:3" x14ac:dyDescent="0.25">
      <c r="A120" t="s">
        <v>63</v>
      </c>
      <c r="B120" t="s">
        <v>178</v>
      </c>
      <c r="C120">
        <v>123</v>
      </c>
    </row>
    <row r="121" spans="1:3" x14ac:dyDescent="0.25">
      <c r="A121" t="s">
        <v>64</v>
      </c>
      <c r="B121" t="s">
        <v>159</v>
      </c>
      <c r="C121">
        <v>680</v>
      </c>
    </row>
    <row r="122" spans="1:3" x14ac:dyDescent="0.25">
      <c r="A122" t="s">
        <v>64</v>
      </c>
      <c r="B122" t="s">
        <v>84</v>
      </c>
      <c r="C122">
        <v>2390</v>
      </c>
    </row>
    <row r="123" spans="1:3" x14ac:dyDescent="0.25">
      <c r="A123" t="s">
        <v>64</v>
      </c>
      <c r="B123" t="s">
        <v>83</v>
      </c>
      <c r="C123">
        <v>4093</v>
      </c>
    </row>
    <row r="124" spans="1:3" x14ac:dyDescent="0.25">
      <c r="A124" t="s">
        <v>64</v>
      </c>
      <c r="B124" t="s">
        <v>151</v>
      </c>
      <c r="C124">
        <v>2596</v>
      </c>
    </row>
    <row r="125" spans="1:3" x14ac:dyDescent="0.25">
      <c r="A125" t="s">
        <v>64</v>
      </c>
      <c r="B125" t="s">
        <v>82</v>
      </c>
      <c r="C125">
        <v>2578</v>
      </c>
    </row>
    <row r="126" spans="1:3" x14ac:dyDescent="0.25">
      <c r="A126" t="s">
        <v>64</v>
      </c>
      <c r="B126" t="s">
        <v>152</v>
      </c>
      <c r="C126">
        <v>693</v>
      </c>
    </row>
    <row r="127" spans="1:3" x14ac:dyDescent="0.25">
      <c r="A127" t="s">
        <v>64</v>
      </c>
      <c r="B127" t="s">
        <v>81</v>
      </c>
      <c r="C127">
        <v>3729</v>
      </c>
    </row>
    <row r="128" spans="1:3" x14ac:dyDescent="0.25">
      <c r="A128" t="s">
        <v>64</v>
      </c>
      <c r="B128" t="s">
        <v>154</v>
      </c>
      <c r="C128">
        <v>314</v>
      </c>
    </row>
    <row r="129" spans="1:3" x14ac:dyDescent="0.25">
      <c r="A129" t="s">
        <v>64</v>
      </c>
      <c r="B129" t="s">
        <v>155</v>
      </c>
      <c r="C129">
        <v>2998</v>
      </c>
    </row>
    <row r="130" spans="1:3" x14ac:dyDescent="0.25">
      <c r="A130" t="s">
        <v>64</v>
      </c>
      <c r="B130" t="s">
        <v>157</v>
      </c>
      <c r="C130">
        <v>2008</v>
      </c>
    </row>
    <row r="131" spans="1:3" x14ac:dyDescent="0.25">
      <c r="A131" t="s">
        <v>64</v>
      </c>
      <c r="B131" t="s">
        <v>185</v>
      </c>
      <c r="C131">
        <v>436</v>
      </c>
    </row>
    <row r="132" spans="1:3" x14ac:dyDescent="0.25">
      <c r="A132" t="s">
        <v>64</v>
      </c>
      <c r="B132" t="s">
        <v>77</v>
      </c>
      <c r="C132">
        <v>762</v>
      </c>
    </row>
    <row r="133" spans="1:3" x14ac:dyDescent="0.25">
      <c r="A133" t="s">
        <v>64</v>
      </c>
      <c r="B133" t="s">
        <v>153</v>
      </c>
      <c r="C133">
        <v>2382</v>
      </c>
    </row>
    <row r="134" spans="1:3" x14ac:dyDescent="0.25">
      <c r="A134" t="s">
        <v>64</v>
      </c>
      <c r="B134" t="s">
        <v>186</v>
      </c>
      <c r="C134">
        <v>338</v>
      </c>
    </row>
    <row r="135" spans="1:3" x14ac:dyDescent="0.25">
      <c r="A135" t="s">
        <v>64</v>
      </c>
      <c r="B135" t="s">
        <v>149</v>
      </c>
      <c r="C135">
        <v>91</v>
      </c>
    </row>
    <row r="136" spans="1:3" x14ac:dyDescent="0.25">
      <c r="A136" t="s">
        <v>64</v>
      </c>
      <c r="B136" t="s">
        <v>166</v>
      </c>
      <c r="C136">
        <v>0</v>
      </c>
    </row>
    <row r="137" spans="1:3" x14ac:dyDescent="0.25">
      <c r="A137" t="s">
        <v>64</v>
      </c>
      <c r="B137" t="s">
        <v>161</v>
      </c>
      <c r="C137">
        <v>3</v>
      </c>
    </row>
    <row r="138" spans="1:3" x14ac:dyDescent="0.25">
      <c r="A138" t="s">
        <v>64</v>
      </c>
      <c r="B138" t="s">
        <v>78</v>
      </c>
      <c r="C138">
        <v>0</v>
      </c>
    </row>
    <row r="139" spans="1:3" x14ac:dyDescent="0.25">
      <c r="A139" t="s">
        <v>64</v>
      </c>
      <c r="B139" t="s">
        <v>162</v>
      </c>
      <c r="C139">
        <v>2203</v>
      </c>
    </row>
    <row r="140" spans="1:3" x14ac:dyDescent="0.25">
      <c r="A140" t="s">
        <v>64</v>
      </c>
      <c r="B140" t="s">
        <v>80</v>
      </c>
      <c r="C140">
        <v>616</v>
      </c>
    </row>
    <row r="141" spans="1:3" x14ac:dyDescent="0.25">
      <c r="A141" t="s">
        <v>64</v>
      </c>
      <c r="B141" t="s">
        <v>165</v>
      </c>
      <c r="C141">
        <v>29</v>
      </c>
    </row>
    <row r="142" spans="1:3" x14ac:dyDescent="0.25">
      <c r="A142" t="s">
        <v>64</v>
      </c>
      <c r="B142" t="s">
        <v>167</v>
      </c>
      <c r="C142">
        <v>86</v>
      </c>
    </row>
    <row r="143" spans="1:3" x14ac:dyDescent="0.25">
      <c r="A143" t="s">
        <v>64</v>
      </c>
      <c r="B143" t="s">
        <v>163</v>
      </c>
      <c r="C143">
        <v>9</v>
      </c>
    </row>
    <row r="144" spans="1:3" x14ac:dyDescent="0.25">
      <c r="A144" t="s">
        <v>64</v>
      </c>
      <c r="B144" t="s">
        <v>156</v>
      </c>
      <c r="C144">
        <v>142</v>
      </c>
    </row>
    <row r="145" spans="1:3" x14ac:dyDescent="0.25">
      <c r="A145" t="s">
        <v>64</v>
      </c>
      <c r="B145" t="s">
        <v>164</v>
      </c>
      <c r="C145">
        <v>9</v>
      </c>
    </row>
    <row r="146" spans="1:3" x14ac:dyDescent="0.25">
      <c r="A146" t="s">
        <v>64</v>
      </c>
      <c r="B146" t="s">
        <v>150</v>
      </c>
      <c r="C146">
        <v>68</v>
      </c>
    </row>
    <row r="147" spans="1:3" x14ac:dyDescent="0.25">
      <c r="A147" t="s">
        <v>64</v>
      </c>
      <c r="B147" t="s">
        <v>79</v>
      </c>
      <c r="C147">
        <v>107</v>
      </c>
    </row>
    <row r="148" spans="1:3" x14ac:dyDescent="0.25">
      <c r="A148" t="s">
        <v>64</v>
      </c>
      <c r="B148" t="s">
        <v>169</v>
      </c>
      <c r="C148">
        <v>0</v>
      </c>
    </row>
    <row r="149" spans="1:3" x14ac:dyDescent="0.25">
      <c r="A149" t="s">
        <v>64</v>
      </c>
      <c r="B149" t="s">
        <v>168</v>
      </c>
      <c r="C149">
        <v>10</v>
      </c>
    </row>
    <row r="150" spans="1:3" x14ac:dyDescent="0.25">
      <c r="A150" t="s">
        <v>64</v>
      </c>
      <c r="B150" t="s">
        <v>76</v>
      </c>
      <c r="C150">
        <v>30</v>
      </c>
    </row>
    <row r="151" spans="1:3" x14ac:dyDescent="0.25">
      <c r="A151" t="s">
        <v>64</v>
      </c>
      <c r="B151" t="s">
        <v>171</v>
      </c>
      <c r="C151">
        <v>1267</v>
      </c>
    </row>
    <row r="152" spans="1:3" x14ac:dyDescent="0.25">
      <c r="A152" t="s">
        <v>64</v>
      </c>
      <c r="B152" t="s">
        <v>172</v>
      </c>
      <c r="C152">
        <v>743</v>
      </c>
    </row>
    <row r="153" spans="1:3" x14ac:dyDescent="0.25">
      <c r="A153" t="s">
        <v>64</v>
      </c>
      <c r="B153" t="s">
        <v>173</v>
      </c>
      <c r="C153">
        <v>626</v>
      </c>
    </row>
    <row r="154" spans="1:3" x14ac:dyDescent="0.25">
      <c r="A154" t="s">
        <v>64</v>
      </c>
      <c r="B154" t="s">
        <v>174</v>
      </c>
      <c r="C154">
        <v>0</v>
      </c>
    </row>
    <row r="155" spans="1:3" x14ac:dyDescent="0.25">
      <c r="A155" t="s">
        <v>64</v>
      </c>
      <c r="B155" t="s">
        <v>175</v>
      </c>
      <c r="C155">
        <v>0</v>
      </c>
    </row>
    <row r="156" spans="1:3" x14ac:dyDescent="0.25">
      <c r="A156" t="s">
        <v>64</v>
      </c>
      <c r="B156" t="s">
        <v>176</v>
      </c>
      <c r="C156">
        <v>0</v>
      </c>
    </row>
    <row r="157" spans="1:3" x14ac:dyDescent="0.25">
      <c r="A157" t="s">
        <v>64</v>
      </c>
      <c r="B157" t="s">
        <v>177</v>
      </c>
      <c r="C157">
        <v>0</v>
      </c>
    </row>
    <row r="158" spans="1:3" x14ac:dyDescent="0.25">
      <c r="A158" t="s">
        <v>64</v>
      </c>
      <c r="B158" t="s">
        <v>178</v>
      </c>
      <c r="C158">
        <v>309</v>
      </c>
    </row>
    <row r="159" spans="1:3" x14ac:dyDescent="0.25">
      <c r="A159" t="s">
        <v>61</v>
      </c>
      <c r="B159" t="s">
        <v>156</v>
      </c>
      <c r="C159">
        <v>406</v>
      </c>
    </row>
    <row r="160" spans="1:3" x14ac:dyDescent="0.25">
      <c r="A160" t="s">
        <v>61</v>
      </c>
      <c r="B160" t="s">
        <v>159</v>
      </c>
      <c r="C160">
        <v>1497</v>
      </c>
    </row>
    <row r="161" spans="1:3" x14ac:dyDescent="0.25">
      <c r="A161" t="s">
        <v>61</v>
      </c>
      <c r="B161" t="s">
        <v>77</v>
      </c>
      <c r="C161">
        <v>870</v>
      </c>
    </row>
    <row r="162" spans="1:3" x14ac:dyDescent="0.25">
      <c r="A162" t="s">
        <v>61</v>
      </c>
      <c r="B162" t="s">
        <v>150</v>
      </c>
      <c r="C162">
        <v>516</v>
      </c>
    </row>
    <row r="163" spans="1:3" x14ac:dyDescent="0.25">
      <c r="A163" t="s">
        <v>61</v>
      </c>
      <c r="B163" t="s">
        <v>149</v>
      </c>
      <c r="C163">
        <v>1299</v>
      </c>
    </row>
    <row r="164" spans="1:3" x14ac:dyDescent="0.25">
      <c r="A164" t="s">
        <v>61</v>
      </c>
      <c r="B164" t="s">
        <v>84</v>
      </c>
      <c r="C164">
        <v>7339</v>
      </c>
    </row>
    <row r="165" spans="1:3" x14ac:dyDescent="0.25">
      <c r="A165" t="s">
        <v>61</v>
      </c>
      <c r="B165" t="s">
        <v>83</v>
      </c>
      <c r="C165">
        <v>7386</v>
      </c>
    </row>
    <row r="166" spans="1:3" x14ac:dyDescent="0.25">
      <c r="A166" t="s">
        <v>61</v>
      </c>
      <c r="B166" t="s">
        <v>151</v>
      </c>
      <c r="C166">
        <v>7461</v>
      </c>
    </row>
    <row r="167" spans="1:3" x14ac:dyDescent="0.25">
      <c r="A167" t="s">
        <v>61</v>
      </c>
      <c r="B167" t="s">
        <v>82</v>
      </c>
      <c r="C167">
        <v>3887</v>
      </c>
    </row>
    <row r="168" spans="1:3" x14ac:dyDescent="0.25">
      <c r="A168" t="s">
        <v>61</v>
      </c>
      <c r="B168" t="s">
        <v>152</v>
      </c>
      <c r="C168">
        <v>2847</v>
      </c>
    </row>
    <row r="169" spans="1:3" x14ac:dyDescent="0.25">
      <c r="A169" t="s">
        <v>61</v>
      </c>
      <c r="B169" t="s">
        <v>153</v>
      </c>
      <c r="C169">
        <v>6188</v>
      </c>
    </row>
    <row r="170" spans="1:3" x14ac:dyDescent="0.25">
      <c r="A170" t="s">
        <v>61</v>
      </c>
      <c r="B170" t="s">
        <v>81</v>
      </c>
      <c r="C170">
        <v>1232</v>
      </c>
    </row>
    <row r="171" spans="1:3" x14ac:dyDescent="0.25">
      <c r="A171" t="s">
        <v>61</v>
      </c>
      <c r="B171" t="s">
        <v>154</v>
      </c>
      <c r="C171">
        <v>132</v>
      </c>
    </row>
    <row r="172" spans="1:3" x14ac:dyDescent="0.25">
      <c r="A172" t="s">
        <v>61</v>
      </c>
      <c r="B172" t="s">
        <v>155</v>
      </c>
      <c r="C172">
        <v>2078</v>
      </c>
    </row>
    <row r="173" spans="1:3" x14ac:dyDescent="0.25">
      <c r="A173" t="s">
        <v>61</v>
      </c>
      <c r="B173" t="s">
        <v>157</v>
      </c>
      <c r="C173">
        <v>3365</v>
      </c>
    </row>
    <row r="174" spans="1:3" x14ac:dyDescent="0.25">
      <c r="A174" t="s">
        <v>61</v>
      </c>
      <c r="B174" t="s">
        <v>187</v>
      </c>
      <c r="C174">
        <v>577</v>
      </c>
    </row>
    <row r="175" spans="1:3" x14ac:dyDescent="0.25">
      <c r="A175" t="s">
        <v>61</v>
      </c>
      <c r="B175" t="s">
        <v>76</v>
      </c>
      <c r="C175">
        <v>316</v>
      </c>
    </row>
    <row r="176" spans="1:3" x14ac:dyDescent="0.25">
      <c r="A176" t="s">
        <v>61</v>
      </c>
      <c r="B176" t="s">
        <v>188</v>
      </c>
      <c r="C176">
        <v>665</v>
      </c>
    </row>
    <row r="177" spans="1:3" x14ac:dyDescent="0.25">
      <c r="A177" t="s">
        <v>61</v>
      </c>
      <c r="B177" t="s">
        <v>161</v>
      </c>
      <c r="C177">
        <v>0</v>
      </c>
    </row>
    <row r="178" spans="1:3" x14ac:dyDescent="0.25">
      <c r="A178" t="s">
        <v>61</v>
      </c>
      <c r="B178" t="s">
        <v>78</v>
      </c>
      <c r="C178">
        <v>0</v>
      </c>
    </row>
    <row r="179" spans="1:3" x14ac:dyDescent="0.25">
      <c r="A179" t="s">
        <v>61</v>
      </c>
      <c r="B179" t="s">
        <v>80</v>
      </c>
      <c r="C179">
        <v>2350</v>
      </c>
    </row>
    <row r="180" spans="1:3" x14ac:dyDescent="0.25">
      <c r="A180" t="s">
        <v>61</v>
      </c>
      <c r="B180" t="s">
        <v>164</v>
      </c>
      <c r="C180">
        <v>274</v>
      </c>
    </row>
    <row r="181" spans="1:3" x14ac:dyDescent="0.25">
      <c r="A181" t="s">
        <v>61</v>
      </c>
      <c r="B181" t="s">
        <v>165</v>
      </c>
      <c r="C181">
        <v>246</v>
      </c>
    </row>
    <row r="182" spans="1:3" x14ac:dyDescent="0.25">
      <c r="A182" t="s">
        <v>61</v>
      </c>
      <c r="B182" t="s">
        <v>79</v>
      </c>
      <c r="C182">
        <v>132</v>
      </c>
    </row>
    <row r="183" spans="1:3" x14ac:dyDescent="0.25">
      <c r="A183" t="s">
        <v>61</v>
      </c>
      <c r="B183" t="s">
        <v>168</v>
      </c>
      <c r="C183">
        <v>9</v>
      </c>
    </row>
    <row r="184" spans="1:3" x14ac:dyDescent="0.25">
      <c r="A184" t="s">
        <v>61</v>
      </c>
      <c r="B184" t="s">
        <v>169</v>
      </c>
      <c r="C184">
        <v>1406</v>
      </c>
    </row>
    <row r="185" spans="1:3" x14ac:dyDescent="0.25">
      <c r="A185" t="s">
        <v>61</v>
      </c>
      <c r="B185" t="s">
        <v>162</v>
      </c>
      <c r="C185">
        <v>708</v>
      </c>
    </row>
    <row r="186" spans="1:3" x14ac:dyDescent="0.25">
      <c r="A186" t="s">
        <v>61</v>
      </c>
      <c r="B186" t="s">
        <v>171</v>
      </c>
      <c r="C186">
        <v>1486</v>
      </c>
    </row>
    <row r="187" spans="1:3" x14ac:dyDescent="0.25">
      <c r="A187" t="s">
        <v>61</v>
      </c>
      <c r="B187" t="s">
        <v>172</v>
      </c>
      <c r="C187">
        <v>843</v>
      </c>
    </row>
    <row r="188" spans="1:3" x14ac:dyDescent="0.25">
      <c r="A188" t="s">
        <v>61</v>
      </c>
      <c r="B188" t="s">
        <v>173</v>
      </c>
      <c r="C188">
        <v>384</v>
      </c>
    </row>
    <row r="189" spans="1:3" x14ac:dyDescent="0.25">
      <c r="A189" t="s">
        <v>61</v>
      </c>
      <c r="B189" t="s">
        <v>174</v>
      </c>
      <c r="C189">
        <v>0</v>
      </c>
    </row>
    <row r="190" spans="1:3" x14ac:dyDescent="0.25">
      <c r="A190" t="s">
        <v>61</v>
      </c>
      <c r="B190" t="s">
        <v>175</v>
      </c>
      <c r="C190">
        <v>46</v>
      </c>
    </row>
    <row r="191" spans="1:3" x14ac:dyDescent="0.25">
      <c r="A191" t="s">
        <v>61</v>
      </c>
      <c r="B191" t="s">
        <v>176</v>
      </c>
      <c r="C191">
        <v>179</v>
      </c>
    </row>
    <row r="192" spans="1:3" x14ac:dyDescent="0.25">
      <c r="A192" t="s">
        <v>61</v>
      </c>
      <c r="B192" t="s">
        <v>177</v>
      </c>
      <c r="C192">
        <v>0</v>
      </c>
    </row>
    <row r="193" spans="1:3" x14ac:dyDescent="0.25">
      <c r="A193" t="s">
        <v>68</v>
      </c>
      <c r="B193" t="s">
        <v>76</v>
      </c>
      <c r="C193">
        <v>2395</v>
      </c>
    </row>
    <row r="194" spans="1:3" x14ac:dyDescent="0.25">
      <c r="A194" t="s">
        <v>68</v>
      </c>
      <c r="B194" t="s">
        <v>84</v>
      </c>
      <c r="C194">
        <v>94047</v>
      </c>
    </row>
    <row r="195" spans="1:3" x14ac:dyDescent="0.25">
      <c r="A195" t="s">
        <v>68</v>
      </c>
      <c r="B195" t="s">
        <v>83</v>
      </c>
      <c r="C195">
        <v>147309</v>
      </c>
    </row>
    <row r="196" spans="1:3" x14ac:dyDescent="0.25">
      <c r="A196" t="s">
        <v>68</v>
      </c>
      <c r="B196" t="s">
        <v>80</v>
      </c>
      <c r="C196">
        <v>27264</v>
      </c>
    </row>
    <row r="197" spans="1:3" x14ac:dyDescent="0.25">
      <c r="A197" t="s">
        <v>68</v>
      </c>
      <c r="B197" t="s">
        <v>152</v>
      </c>
      <c r="C197">
        <v>82460</v>
      </c>
    </row>
    <row r="198" spans="1:3" x14ac:dyDescent="0.25">
      <c r="A198" t="s">
        <v>68</v>
      </c>
      <c r="B198" t="s">
        <v>151</v>
      </c>
      <c r="C198">
        <v>121116</v>
      </c>
    </row>
    <row r="199" spans="1:3" x14ac:dyDescent="0.25">
      <c r="A199" t="s">
        <v>68</v>
      </c>
      <c r="B199" t="s">
        <v>162</v>
      </c>
      <c r="C199">
        <v>3358</v>
      </c>
    </row>
    <row r="200" spans="1:3" x14ac:dyDescent="0.25">
      <c r="A200" t="s">
        <v>68</v>
      </c>
      <c r="B200" t="s">
        <v>82</v>
      </c>
      <c r="C200">
        <v>29655</v>
      </c>
    </row>
    <row r="201" spans="1:3" x14ac:dyDescent="0.25">
      <c r="A201" t="s">
        <v>68</v>
      </c>
      <c r="B201" t="s">
        <v>155</v>
      </c>
      <c r="C201">
        <v>64485</v>
      </c>
    </row>
    <row r="202" spans="1:3" x14ac:dyDescent="0.25">
      <c r="A202" t="s">
        <v>68</v>
      </c>
      <c r="B202" t="s">
        <v>81</v>
      </c>
      <c r="C202">
        <v>29266</v>
      </c>
    </row>
    <row r="203" spans="1:3" x14ac:dyDescent="0.25">
      <c r="A203" t="s">
        <v>68</v>
      </c>
      <c r="B203" t="s">
        <v>77</v>
      </c>
      <c r="C203">
        <v>33455</v>
      </c>
    </row>
    <row r="204" spans="1:3" x14ac:dyDescent="0.25">
      <c r="A204" t="s">
        <v>68</v>
      </c>
      <c r="B204" t="s">
        <v>154</v>
      </c>
      <c r="C204">
        <v>48074</v>
      </c>
    </row>
    <row r="205" spans="1:3" x14ac:dyDescent="0.25">
      <c r="A205" t="s">
        <v>68</v>
      </c>
      <c r="B205" t="s">
        <v>153</v>
      </c>
      <c r="C205">
        <v>58705</v>
      </c>
    </row>
    <row r="206" spans="1:3" x14ac:dyDescent="0.25">
      <c r="A206" t="s">
        <v>68</v>
      </c>
      <c r="B206" t="s">
        <v>78</v>
      </c>
      <c r="C206">
        <v>6309</v>
      </c>
    </row>
    <row r="207" spans="1:3" x14ac:dyDescent="0.25">
      <c r="A207" t="s">
        <v>68</v>
      </c>
      <c r="B207" t="s">
        <v>156</v>
      </c>
      <c r="C207">
        <v>23557</v>
      </c>
    </row>
    <row r="208" spans="1:3" x14ac:dyDescent="0.25">
      <c r="A208" t="s">
        <v>68</v>
      </c>
      <c r="B208" t="s">
        <v>157</v>
      </c>
      <c r="C208">
        <v>103091</v>
      </c>
    </row>
    <row r="209" spans="1:3" x14ac:dyDescent="0.25">
      <c r="A209" t="s">
        <v>68</v>
      </c>
      <c r="B209" t="s">
        <v>189</v>
      </c>
      <c r="C209">
        <v>6656</v>
      </c>
    </row>
    <row r="210" spans="1:3" x14ac:dyDescent="0.25">
      <c r="A210" t="s">
        <v>68</v>
      </c>
      <c r="B210" t="s">
        <v>190</v>
      </c>
      <c r="C210">
        <v>1272</v>
      </c>
    </row>
    <row r="211" spans="1:3" x14ac:dyDescent="0.25">
      <c r="A211" t="s">
        <v>68</v>
      </c>
      <c r="B211" t="s">
        <v>191</v>
      </c>
      <c r="C211">
        <v>8546</v>
      </c>
    </row>
    <row r="212" spans="1:3" x14ac:dyDescent="0.25">
      <c r="A212" t="s">
        <v>68</v>
      </c>
      <c r="B212" t="s">
        <v>164</v>
      </c>
      <c r="C212">
        <v>2718</v>
      </c>
    </row>
    <row r="213" spans="1:3" x14ac:dyDescent="0.25">
      <c r="A213" t="s">
        <v>68</v>
      </c>
      <c r="B213" t="s">
        <v>150</v>
      </c>
      <c r="C213">
        <v>7525</v>
      </c>
    </row>
    <row r="214" spans="1:3" x14ac:dyDescent="0.25">
      <c r="A214" t="s">
        <v>68</v>
      </c>
      <c r="B214" t="s">
        <v>79</v>
      </c>
      <c r="C214">
        <v>8526</v>
      </c>
    </row>
    <row r="215" spans="1:3" x14ac:dyDescent="0.25">
      <c r="A215" t="s">
        <v>68</v>
      </c>
      <c r="B215" t="s">
        <v>149</v>
      </c>
      <c r="C215">
        <v>25039</v>
      </c>
    </row>
    <row r="216" spans="1:3" x14ac:dyDescent="0.25">
      <c r="A216" t="s">
        <v>68</v>
      </c>
      <c r="B216" t="s">
        <v>159</v>
      </c>
      <c r="C216">
        <v>15054</v>
      </c>
    </row>
    <row r="217" spans="1:3" x14ac:dyDescent="0.25">
      <c r="A217" t="s">
        <v>68</v>
      </c>
      <c r="B217" t="s">
        <v>169</v>
      </c>
      <c r="C217">
        <v>6468</v>
      </c>
    </row>
    <row r="218" spans="1:3" x14ac:dyDescent="0.25">
      <c r="A218" t="s">
        <v>68</v>
      </c>
      <c r="B218" t="s">
        <v>165</v>
      </c>
      <c r="C218">
        <v>9808</v>
      </c>
    </row>
    <row r="219" spans="1:3" x14ac:dyDescent="0.25">
      <c r="A219" t="s">
        <v>68</v>
      </c>
      <c r="B219" t="s">
        <v>166</v>
      </c>
      <c r="C219">
        <v>706</v>
      </c>
    </row>
    <row r="220" spans="1:3" x14ac:dyDescent="0.25">
      <c r="A220" t="s">
        <v>68</v>
      </c>
      <c r="B220" t="s">
        <v>161</v>
      </c>
      <c r="C220">
        <v>288</v>
      </c>
    </row>
    <row r="221" spans="1:3" x14ac:dyDescent="0.25">
      <c r="A221" t="s">
        <v>68</v>
      </c>
      <c r="B221" t="s">
        <v>163</v>
      </c>
      <c r="C221">
        <v>1577</v>
      </c>
    </row>
    <row r="222" spans="1:3" x14ac:dyDescent="0.25">
      <c r="A222" t="s">
        <v>68</v>
      </c>
      <c r="B222" t="s">
        <v>167</v>
      </c>
      <c r="C222">
        <v>5167</v>
      </c>
    </row>
    <row r="223" spans="1:3" x14ac:dyDescent="0.25">
      <c r="A223" t="s">
        <v>68</v>
      </c>
      <c r="B223" t="s">
        <v>168</v>
      </c>
      <c r="C223">
        <v>309</v>
      </c>
    </row>
    <row r="224" spans="1:3" x14ac:dyDescent="0.25">
      <c r="A224" t="s">
        <v>68</v>
      </c>
      <c r="B224" t="s">
        <v>170</v>
      </c>
      <c r="C224">
        <v>1739</v>
      </c>
    </row>
    <row r="225" spans="1:3" x14ac:dyDescent="0.25">
      <c r="A225" t="s">
        <v>68</v>
      </c>
      <c r="B225" t="s">
        <v>171</v>
      </c>
      <c r="C225">
        <v>33840</v>
      </c>
    </row>
    <row r="226" spans="1:3" x14ac:dyDescent="0.25">
      <c r="A226" t="s">
        <v>68</v>
      </c>
      <c r="B226" t="s">
        <v>172</v>
      </c>
      <c r="C226">
        <v>19957</v>
      </c>
    </row>
    <row r="227" spans="1:3" x14ac:dyDescent="0.25">
      <c r="A227" t="s">
        <v>68</v>
      </c>
      <c r="B227" t="s">
        <v>173</v>
      </c>
      <c r="C227">
        <v>13931</v>
      </c>
    </row>
    <row r="228" spans="1:3" x14ac:dyDescent="0.25">
      <c r="A228" t="s">
        <v>68</v>
      </c>
      <c r="B228" t="s">
        <v>174</v>
      </c>
      <c r="C228">
        <v>55</v>
      </c>
    </row>
    <row r="229" spans="1:3" x14ac:dyDescent="0.25">
      <c r="A229" t="s">
        <v>68</v>
      </c>
      <c r="B229" t="s">
        <v>175</v>
      </c>
      <c r="C229">
        <v>25</v>
      </c>
    </row>
    <row r="230" spans="1:3" x14ac:dyDescent="0.25">
      <c r="A230" t="s">
        <v>68</v>
      </c>
      <c r="B230" t="s">
        <v>176</v>
      </c>
      <c r="C230">
        <v>188</v>
      </c>
    </row>
    <row r="231" spans="1:3" x14ac:dyDescent="0.25">
      <c r="A231" t="s">
        <v>68</v>
      </c>
      <c r="B231" t="s">
        <v>177</v>
      </c>
      <c r="C231">
        <v>149</v>
      </c>
    </row>
    <row r="232" spans="1:3" x14ac:dyDescent="0.25">
      <c r="A232" t="s">
        <v>68</v>
      </c>
      <c r="B232" t="s">
        <v>178</v>
      </c>
      <c r="C232">
        <v>15327</v>
      </c>
    </row>
    <row r="233" spans="1:3" x14ac:dyDescent="0.25">
      <c r="A233" t="s">
        <v>58</v>
      </c>
      <c r="B233" t="s">
        <v>76</v>
      </c>
      <c r="C233">
        <v>372</v>
      </c>
    </row>
    <row r="234" spans="1:3" x14ac:dyDescent="0.25">
      <c r="A234" t="s">
        <v>58</v>
      </c>
      <c r="B234" t="s">
        <v>84</v>
      </c>
      <c r="C234">
        <v>7439</v>
      </c>
    </row>
    <row r="235" spans="1:3" x14ac:dyDescent="0.25">
      <c r="A235" t="s">
        <v>58</v>
      </c>
      <c r="B235" t="s">
        <v>83</v>
      </c>
      <c r="C235">
        <v>10590</v>
      </c>
    </row>
    <row r="236" spans="1:3" x14ac:dyDescent="0.25">
      <c r="A236" t="s">
        <v>58</v>
      </c>
      <c r="B236" t="s">
        <v>151</v>
      </c>
      <c r="C236">
        <v>5613</v>
      </c>
    </row>
    <row r="237" spans="1:3" x14ac:dyDescent="0.25">
      <c r="A237" t="s">
        <v>58</v>
      </c>
      <c r="B237" t="s">
        <v>82</v>
      </c>
      <c r="C237">
        <v>4430</v>
      </c>
    </row>
    <row r="238" spans="1:3" x14ac:dyDescent="0.25">
      <c r="A238" t="s">
        <v>58</v>
      </c>
      <c r="B238" t="s">
        <v>152</v>
      </c>
      <c r="C238">
        <v>4723</v>
      </c>
    </row>
    <row r="239" spans="1:3" x14ac:dyDescent="0.25">
      <c r="A239" t="s">
        <v>58</v>
      </c>
      <c r="B239" t="s">
        <v>153</v>
      </c>
      <c r="C239">
        <v>8530</v>
      </c>
    </row>
    <row r="240" spans="1:3" x14ac:dyDescent="0.25">
      <c r="A240" t="s">
        <v>58</v>
      </c>
      <c r="B240" t="s">
        <v>81</v>
      </c>
      <c r="C240">
        <v>2850</v>
      </c>
    </row>
    <row r="241" spans="1:3" x14ac:dyDescent="0.25">
      <c r="A241" t="s">
        <v>58</v>
      </c>
      <c r="B241" t="s">
        <v>77</v>
      </c>
      <c r="C241">
        <v>5708</v>
      </c>
    </row>
    <row r="242" spans="1:3" x14ac:dyDescent="0.25">
      <c r="A242" t="s">
        <v>58</v>
      </c>
      <c r="B242" t="s">
        <v>78</v>
      </c>
      <c r="C242">
        <v>327</v>
      </c>
    </row>
    <row r="243" spans="1:3" x14ac:dyDescent="0.25">
      <c r="A243" t="s">
        <v>58</v>
      </c>
      <c r="B243" t="s">
        <v>154</v>
      </c>
      <c r="C243">
        <v>2001</v>
      </c>
    </row>
    <row r="244" spans="1:3" x14ac:dyDescent="0.25">
      <c r="A244" t="s">
        <v>58</v>
      </c>
      <c r="B244" t="s">
        <v>155</v>
      </c>
      <c r="C244">
        <v>6268</v>
      </c>
    </row>
    <row r="245" spans="1:3" x14ac:dyDescent="0.25">
      <c r="A245" t="s">
        <v>58</v>
      </c>
      <c r="B245" t="s">
        <v>156</v>
      </c>
      <c r="C245">
        <v>1873</v>
      </c>
    </row>
    <row r="246" spans="1:3" x14ac:dyDescent="0.25">
      <c r="A246" t="s">
        <v>58</v>
      </c>
      <c r="B246" t="s">
        <v>157</v>
      </c>
      <c r="C246">
        <v>7134</v>
      </c>
    </row>
    <row r="247" spans="1:3" x14ac:dyDescent="0.25">
      <c r="A247" t="s">
        <v>58</v>
      </c>
      <c r="B247" t="s">
        <v>80</v>
      </c>
      <c r="C247">
        <v>876</v>
      </c>
    </row>
    <row r="248" spans="1:3" x14ac:dyDescent="0.25">
      <c r="A248" t="s">
        <v>58</v>
      </c>
      <c r="B248" t="s">
        <v>192</v>
      </c>
      <c r="C248">
        <v>1359</v>
      </c>
    </row>
    <row r="249" spans="1:3" x14ac:dyDescent="0.25">
      <c r="A249" t="s">
        <v>58</v>
      </c>
      <c r="B249" t="s">
        <v>150</v>
      </c>
      <c r="C249">
        <v>872</v>
      </c>
    </row>
    <row r="250" spans="1:3" x14ac:dyDescent="0.25">
      <c r="A250" t="s">
        <v>58</v>
      </c>
      <c r="B250" t="s">
        <v>149</v>
      </c>
      <c r="C250">
        <v>1682</v>
      </c>
    </row>
    <row r="251" spans="1:3" x14ac:dyDescent="0.25">
      <c r="A251" t="s">
        <v>58</v>
      </c>
      <c r="B251" t="s">
        <v>159</v>
      </c>
      <c r="C251">
        <v>517</v>
      </c>
    </row>
    <row r="252" spans="1:3" x14ac:dyDescent="0.25">
      <c r="A252" t="s">
        <v>58</v>
      </c>
      <c r="B252" t="s">
        <v>193</v>
      </c>
      <c r="C252">
        <v>0</v>
      </c>
    </row>
    <row r="253" spans="1:3" x14ac:dyDescent="0.25">
      <c r="A253" t="s">
        <v>58</v>
      </c>
      <c r="B253" t="s">
        <v>161</v>
      </c>
      <c r="C253">
        <v>0</v>
      </c>
    </row>
    <row r="254" spans="1:3" x14ac:dyDescent="0.25">
      <c r="A254" t="s">
        <v>58</v>
      </c>
      <c r="B254" t="s">
        <v>162</v>
      </c>
      <c r="C254">
        <v>359</v>
      </c>
    </row>
    <row r="255" spans="1:3" x14ac:dyDescent="0.25">
      <c r="A255" t="s">
        <v>58</v>
      </c>
      <c r="B255" t="s">
        <v>163</v>
      </c>
      <c r="C255">
        <v>118</v>
      </c>
    </row>
    <row r="256" spans="1:3" x14ac:dyDescent="0.25">
      <c r="A256" t="s">
        <v>58</v>
      </c>
      <c r="B256" t="s">
        <v>164</v>
      </c>
      <c r="C256">
        <v>225</v>
      </c>
    </row>
    <row r="257" spans="1:3" x14ac:dyDescent="0.25">
      <c r="A257" t="s">
        <v>58</v>
      </c>
      <c r="B257" t="s">
        <v>79</v>
      </c>
      <c r="C257">
        <v>9</v>
      </c>
    </row>
    <row r="258" spans="1:3" x14ac:dyDescent="0.25">
      <c r="A258" t="s">
        <v>58</v>
      </c>
      <c r="B258" t="s">
        <v>165</v>
      </c>
      <c r="C258">
        <v>140</v>
      </c>
    </row>
    <row r="259" spans="1:3" x14ac:dyDescent="0.25">
      <c r="A259" t="s">
        <v>58</v>
      </c>
      <c r="B259" t="s">
        <v>168</v>
      </c>
      <c r="C259">
        <v>4</v>
      </c>
    </row>
    <row r="260" spans="1:3" x14ac:dyDescent="0.25">
      <c r="A260" t="s">
        <v>58</v>
      </c>
      <c r="B260" t="s">
        <v>167</v>
      </c>
      <c r="C260">
        <v>462</v>
      </c>
    </row>
    <row r="261" spans="1:3" x14ac:dyDescent="0.25">
      <c r="A261" t="s">
        <v>58</v>
      </c>
      <c r="B261" t="s">
        <v>169</v>
      </c>
      <c r="C261">
        <v>38</v>
      </c>
    </row>
    <row r="262" spans="1:3" x14ac:dyDescent="0.25">
      <c r="A262" t="s">
        <v>58</v>
      </c>
      <c r="B262" t="s">
        <v>166</v>
      </c>
      <c r="C262">
        <v>0</v>
      </c>
    </row>
    <row r="263" spans="1:3" x14ac:dyDescent="0.25">
      <c r="A263" t="s">
        <v>58</v>
      </c>
      <c r="B263" t="s">
        <v>170</v>
      </c>
      <c r="C263">
        <v>30</v>
      </c>
    </row>
    <row r="264" spans="1:3" x14ac:dyDescent="0.25">
      <c r="A264" t="s">
        <v>58</v>
      </c>
      <c r="B264" t="s">
        <v>171</v>
      </c>
      <c r="C264">
        <v>2201</v>
      </c>
    </row>
    <row r="265" spans="1:3" x14ac:dyDescent="0.25">
      <c r="A265" t="s">
        <v>58</v>
      </c>
      <c r="B265" t="s">
        <v>172</v>
      </c>
      <c r="C265">
        <v>803</v>
      </c>
    </row>
    <row r="266" spans="1:3" x14ac:dyDescent="0.25">
      <c r="A266" t="s">
        <v>58</v>
      </c>
      <c r="B266" t="s">
        <v>173</v>
      </c>
      <c r="C266">
        <v>654</v>
      </c>
    </row>
    <row r="267" spans="1:3" x14ac:dyDescent="0.25">
      <c r="A267" t="s">
        <v>58</v>
      </c>
      <c r="B267" t="s">
        <v>174</v>
      </c>
      <c r="C267">
        <v>0</v>
      </c>
    </row>
    <row r="268" spans="1:3" x14ac:dyDescent="0.25">
      <c r="A268" t="s">
        <v>58</v>
      </c>
      <c r="B268" t="s">
        <v>175</v>
      </c>
      <c r="C268">
        <v>14</v>
      </c>
    </row>
    <row r="269" spans="1:3" x14ac:dyDescent="0.25">
      <c r="A269" t="s">
        <v>58</v>
      </c>
      <c r="B269" t="s">
        <v>176</v>
      </c>
      <c r="C269">
        <v>5</v>
      </c>
    </row>
    <row r="270" spans="1:3" x14ac:dyDescent="0.25">
      <c r="A270" t="s">
        <v>58</v>
      </c>
      <c r="B270" t="s">
        <v>177</v>
      </c>
      <c r="C270">
        <v>13</v>
      </c>
    </row>
    <row r="271" spans="1:3" x14ac:dyDescent="0.25">
      <c r="A271" t="s">
        <v>58</v>
      </c>
      <c r="B271" t="s">
        <v>178</v>
      </c>
      <c r="C271">
        <v>280</v>
      </c>
    </row>
    <row r="272" spans="1:3" x14ac:dyDescent="0.25">
      <c r="A272" t="s">
        <v>62</v>
      </c>
      <c r="B272" t="s">
        <v>150</v>
      </c>
      <c r="C272">
        <v>670</v>
      </c>
    </row>
    <row r="273" spans="1:3" x14ac:dyDescent="0.25">
      <c r="A273" t="s">
        <v>62</v>
      </c>
      <c r="B273" t="s">
        <v>149</v>
      </c>
      <c r="C273">
        <v>132</v>
      </c>
    </row>
    <row r="274" spans="1:3" x14ac:dyDescent="0.25">
      <c r="A274" t="s">
        <v>62</v>
      </c>
      <c r="B274" t="s">
        <v>76</v>
      </c>
      <c r="C274">
        <v>41</v>
      </c>
    </row>
    <row r="275" spans="1:3" x14ac:dyDescent="0.25">
      <c r="A275" t="s">
        <v>62</v>
      </c>
      <c r="B275" t="s">
        <v>84</v>
      </c>
      <c r="C275">
        <v>10023</v>
      </c>
    </row>
    <row r="276" spans="1:3" x14ac:dyDescent="0.25">
      <c r="A276" t="s">
        <v>62</v>
      </c>
      <c r="B276" t="s">
        <v>83</v>
      </c>
      <c r="C276">
        <v>13761</v>
      </c>
    </row>
    <row r="277" spans="1:3" x14ac:dyDescent="0.25">
      <c r="A277" t="s">
        <v>62</v>
      </c>
      <c r="B277" t="s">
        <v>151</v>
      </c>
      <c r="C277">
        <v>8938</v>
      </c>
    </row>
    <row r="278" spans="1:3" x14ac:dyDescent="0.25">
      <c r="A278" t="s">
        <v>62</v>
      </c>
      <c r="B278" t="s">
        <v>82</v>
      </c>
      <c r="C278">
        <v>3616</v>
      </c>
    </row>
    <row r="279" spans="1:3" x14ac:dyDescent="0.25">
      <c r="A279" t="s">
        <v>62</v>
      </c>
      <c r="B279" t="s">
        <v>152</v>
      </c>
      <c r="C279">
        <v>3535</v>
      </c>
    </row>
    <row r="280" spans="1:3" x14ac:dyDescent="0.25">
      <c r="A280" t="s">
        <v>62</v>
      </c>
      <c r="B280" t="s">
        <v>153</v>
      </c>
      <c r="C280">
        <v>8004</v>
      </c>
    </row>
    <row r="281" spans="1:3" x14ac:dyDescent="0.25">
      <c r="A281" t="s">
        <v>62</v>
      </c>
      <c r="B281" t="s">
        <v>81</v>
      </c>
      <c r="C281">
        <v>2109</v>
      </c>
    </row>
    <row r="282" spans="1:3" x14ac:dyDescent="0.25">
      <c r="A282" t="s">
        <v>62</v>
      </c>
      <c r="B282" t="s">
        <v>77</v>
      </c>
      <c r="C282">
        <v>2514</v>
      </c>
    </row>
    <row r="283" spans="1:3" x14ac:dyDescent="0.25">
      <c r="A283" t="s">
        <v>62</v>
      </c>
      <c r="B283" t="s">
        <v>154</v>
      </c>
      <c r="C283">
        <v>3274</v>
      </c>
    </row>
    <row r="284" spans="1:3" x14ac:dyDescent="0.25">
      <c r="A284" t="s">
        <v>62</v>
      </c>
      <c r="B284" t="s">
        <v>155</v>
      </c>
      <c r="C284">
        <v>3951</v>
      </c>
    </row>
    <row r="285" spans="1:3" x14ac:dyDescent="0.25">
      <c r="A285" t="s">
        <v>62</v>
      </c>
      <c r="B285" t="s">
        <v>157</v>
      </c>
      <c r="C285">
        <v>4001</v>
      </c>
    </row>
    <row r="286" spans="1:3" x14ac:dyDescent="0.25">
      <c r="A286" t="s">
        <v>62</v>
      </c>
      <c r="B286" t="s">
        <v>80</v>
      </c>
      <c r="C286">
        <v>2912</v>
      </c>
    </row>
    <row r="287" spans="1:3" x14ac:dyDescent="0.25">
      <c r="A287" t="s">
        <v>62</v>
      </c>
      <c r="B287" t="s">
        <v>194</v>
      </c>
      <c r="C287">
        <v>621</v>
      </c>
    </row>
    <row r="288" spans="1:3" x14ac:dyDescent="0.25">
      <c r="A288" t="s">
        <v>62</v>
      </c>
      <c r="B288" t="s">
        <v>156</v>
      </c>
      <c r="C288">
        <v>4936</v>
      </c>
    </row>
    <row r="289" spans="1:3" x14ac:dyDescent="0.25">
      <c r="A289" t="s">
        <v>62</v>
      </c>
      <c r="B289" t="s">
        <v>159</v>
      </c>
      <c r="C289">
        <v>107</v>
      </c>
    </row>
    <row r="290" spans="1:3" x14ac:dyDescent="0.25">
      <c r="A290" t="s">
        <v>62</v>
      </c>
      <c r="B290" t="s">
        <v>162</v>
      </c>
      <c r="C290">
        <v>335</v>
      </c>
    </row>
    <row r="291" spans="1:3" x14ac:dyDescent="0.25">
      <c r="A291" t="s">
        <v>62</v>
      </c>
      <c r="B291" t="s">
        <v>163</v>
      </c>
      <c r="C291">
        <v>76</v>
      </c>
    </row>
    <row r="292" spans="1:3" x14ac:dyDescent="0.25">
      <c r="A292" t="s">
        <v>62</v>
      </c>
      <c r="B292" t="s">
        <v>166</v>
      </c>
      <c r="C292">
        <v>142</v>
      </c>
    </row>
    <row r="293" spans="1:3" x14ac:dyDescent="0.25">
      <c r="A293" t="s">
        <v>62</v>
      </c>
      <c r="B293" t="s">
        <v>161</v>
      </c>
      <c r="C293">
        <v>12</v>
      </c>
    </row>
    <row r="294" spans="1:3" x14ac:dyDescent="0.25">
      <c r="A294" t="s">
        <v>62</v>
      </c>
      <c r="B294" t="s">
        <v>78</v>
      </c>
      <c r="C294">
        <v>0</v>
      </c>
    </row>
    <row r="295" spans="1:3" x14ac:dyDescent="0.25">
      <c r="A295" t="s">
        <v>62</v>
      </c>
      <c r="B295" t="s">
        <v>164</v>
      </c>
      <c r="C295">
        <v>129</v>
      </c>
    </row>
    <row r="296" spans="1:3" x14ac:dyDescent="0.25">
      <c r="A296" t="s">
        <v>62</v>
      </c>
      <c r="B296" t="s">
        <v>79</v>
      </c>
      <c r="C296">
        <v>101</v>
      </c>
    </row>
    <row r="297" spans="1:3" x14ac:dyDescent="0.25">
      <c r="A297" t="s">
        <v>62</v>
      </c>
      <c r="B297" t="s">
        <v>167</v>
      </c>
      <c r="C297">
        <v>733</v>
      </c>
    </row>
    <row r="298" spans="1:3" x14ac:dyDescent="0.25">
      <c r="A298" t="s">
        <v>62</v>
      </c>
      <c r="B298" t="s">
        <v>165</v>
      </c>
      <c r="C298">
        <v>1186</v>
      </c>
    </row>
    <row r="299" spans="1:3" x14ac:dyDescent="0.25">
      <c r="A299" t="s">
        <v>62</v>
      </c>
      <c r="B299" t="s">
        <v>168</v>
      </c>
      <c r="C299">
        <v>33</v>
      </c>
    </row>
    <row r="300" spans="1:3" x14ac:dyDescent="0.25">
      <c r="A300" t="s">
        <v>62</v>
      </c>
      <c r="B300" t="s">
        <v>169</v>
      </c>
      <c r="C300">
        <v>0</v>
      </c>
    </row>
    <row r="301" spans="1:3" x14ac:dyDescent="0.25">
      <c r="A301" t="s">
        <v>62</v>
      </c>
      <c r="B301" t="s">
        <v>171</v>
      </c>
      <c r="C301">
        <v>1724</v>
      </c>
    </row>
    <row r="302" spans="1:3" x14ac:dyDescent="0.25">
      <c r="A302" t="s">
        <v>62</v>
      </c>
      <c r="B302" t="s">
        <v>172</v>
      </c>
      <c r="C302">
        <v>1114</v>
      </c>
    </row>
    <row r="303" spans="1:3" x14ac:dyDescent="0.25">
      <c r="A303" t="s">
        <v>62</v>
      </c>
      <c r="B303" t="s">
        <v>173</v>
      </c>
      <c r="C303">
        <v>574</v>
      </c>
    </row>
    <row r="304" spans="1:3" x14ac:dyDescent="0.25">
      <c r="A304" t="s">
        <v>62</v>
      </c>
      <c r="B304" t="s">
        <v>174</v>
      </c>
      <c r="C304">
        <v>0</v>
      </c>
    </row>
    <row r="305" spans="1:3" x14ac:dyDescent="0.25">
      <c r="A305" t="s">
        <v>62</v>
      </c>
      <c r="B305" t="s">
        <v>175</v>
      </c>
      <c r="C305">
        <v>0</v>
      </c>
    </row>
    <row r="306" spans="1:3" x14ac:dyDescent="0.25">
      <c r="A306" t="s">
        <v>62</v>
      </c>
      <c r="B306" t="s">
        <v>176</v>
      </c>
      <c r="C306">
        <v>0</v>
      </c>
    </row>
    <row r="307" spans="1:3" x14ac:dyDescent="0.25">
      <c r="A307" t="s">
        <v>62</v>
      </c>
      <c r="B307" t="s">
        <v>177</v>
      </c>
      <c r="C307">
        <v>0</v>
      </c>
    </row>
    <row r="308" spans="1:3" x14ac:dyDescent="0.25">
      <c r="A308" t="s">
        <v>62</v>
      </c>
      <c r="B308" t="s">
        <v>178</v>
      </c>
      <c r="C308">
        <v>294</v>
      </c>
    </row>
    <row r="309" spans="1:3" x14ac:dyDescent="0.25">
      <c r="A309" t="s">
        <v>55</v>
      </c>
      <c r="B309" t="s">
        <v>159</v>
      </c>
      <c r="C309">
        <v>116</v>
      </c>
    </row>
    <row r="310" spans="1:3" x14ac:dyDescent="0.25">
      <c r="A310" t="s">
        <v>55</v>
      </c>
      <c r="B310" t="s">
        <v>84</v>
      </c>
      <c r="C310">
        <v>6579</v>
      </c>
    </row>
    <row r="311" spans="1:3" x14ac:dyDescent="0.25">
      <c r="A311" t="s">
        <v>55</v>
      </c>
      <c r="B311" t="s">
        <v>83</v>
      </c>
      <c r="C311">
        <v>7269</v>
      </c>
    </row>
    <row r="312" spans="1:3" x14ac:dyDescent="0.25">
      <c r="A312" t="s">
        <v>55</v>
      </c>
      <c r="B312" t="s">
        <v>151</v>
      </c>
      <c r="C312">
        <v>13020</v>
      </c>
    </row>
    <row r="313" spans="1:3" x14ac:dyDescent="0.25">
      <c r="A313" t="s">
        <v>55</v>
      </c>
      <c r="B313" t="s">
        <v>82</v>
      </c>
      <c r="C313">
        <v>6171</v>
      </c>
    </row>
    <row r="314" spans="1:3" x14ac:dyDescent="0.25">
      <c r="A314" t="s">
        <v>55</v>
      </c>
      <c r="B314" t="s">
        <v>152</v>
      </c>
      <c r="C314">
        <v>4391</v>
      </c>
    </row>
    <row r="315" spans="1:3" x14ac:dyDescent="0.25">
      <c r="A315" t="s">
        <v>55</v>
      </c>
      <c r="B315" t="s">
        <v>153</v>
      </c>
      <c r="C315">
        <v>8416</v>
      </c>
    </row>
    <row r="316" spans="1:3" x14ac:dyDescent="0.25">
      <c r="A316" t="s">
        <v>55</v>
      </c>
      <c r="B316" t="s">
        <v>81</v>
      </c>
      <c r="C316">
        <v>3844</v>
      </c>
    </row>
    <row r="317" spans="1:3" x14ac:dyDescent="0.25">
      <c r="A317" t="s">
        <v>55</v>
      </c>
      <c r="B317" t="s">
        <v>77</v>
      </c>
      <c r="C317">
        <v>599</v>
      </c>
    </row>
    <row r="318" spans="1:3" x14ac:dyDescent="0.25">
      <c r="A318" t="s">
        <v>55</v>
      </c>
      <c r="B318" t="s">
        <v>154</v>
      </c>
      <c r="C318">
        <v>588</v>
      </c>
    </row>
    <row r="319" spans="1:3" x14ac:dyDescent="0.25">
      <c r="A319" t="s">
        <v>55</v>
      </c>
      <c r="B319" t="s">
        <v>157</v>
      </c>
      <c r="C319">
        <v>5009</v>
      </c>
    </row>
    <row r="320" spans="1:3" x14ac:dyDescent="0.25">
      <c r="A320" t="s">
        <v>55</v>
      </c>
      <c r="B320" t="s">
        <v>195</v>
      </c>
      <c r="C320">
        <v>688</v>
      </c>
    </row>
    <row r="321" spans="1:3" x14ac:dyDescent="0.25">
      <c r="A321" t="s">
        <v>55</v>
      </c>
      <c r="B321" t="s">
        <v>155</v>
      </c>
      <c r="C321">
        <v>9361</v>
      </c>
    </row>
    <row r="322" spans="1:3" x14ac:dyDescent="0.25">
      <c r="A322" t="s">
        <v>55</v>
      </c>
      <c r="B322" t="s">
        <v>196</v>
      </c>
      <c r="C322">
        <v>529</v>
      </c>
    </row>
    <row r="323" spans="1:3" x14ac:dyDescent="0.25">
      <c r="A323" t="s">
        <v>55</v>
      </c>
      <c r="B323" t="s">
        <v>76</v>
      </c>
      <c r="C323">
        <v>657</v>
      </c>
    </row>
    <row r="324" spans="1:3" x14ac:dyDescent="0.25">
      <c r="A324" t="s">
        <v>55</v>
      </c>
      <c r="B324" t="s">
        <v>161</v>
      </c>
      <c r="C324">
        <v>0</v>
      </c>
    </row>
    <row r="325" spans="1:3" x14ac:dyDescent="0.25">
      <c r="A325" t="s">
        <v>55</v>
      </c>
      <c r="B325" t="s">
        <v>78</v>
      </c>
      <c r="C325">
        <v>1758</v>
      </c>
    </row>
    <row r="326" spans="1:3" x14ac:dyDescent="0.25">
      <c r="A326" t="s">
        <v>55</v>
      </c>
      <c r="B326" t="s">
        <v>162</v>
      </c>
      <c r="C326">
        <v>1718</v>
      </c>
    </row>
    <row r="327" spans="1:3" x14ac:dyDescent="0.25">
      <c r="A327" t="s">
        <v>55</v>
      </c>
      <c r="B327" t="s">
        <v>156</v>
      </c>
      <c r="C327">
        <v>2146</v>
      </c>
    </row>
    <row r="328" spans="1:3" x14ac:dyDescent="0.25">
      <c r="A328" t="s">
        <v>55</v>
      </c>
      <c r="B328" t="s">
        <v>164</v>
      </c>
      <c r="C328">
        <v>32</v>
      </c>
    </row>
    <row r="329" spans="1:3" x14ac:dyDescent="0.25">
      <c r="A329" t="s">
        <v>55</v>
      </c>
      <c r="B329" t="s">
        <v>79</v>
      </c>
      <c r="C329">
        <v>3</v>
      </c>
    </row>
    <row r="330" spans="1:3" x14ac:dyDescent="0.25">
      <c r="A330" t="s">
        <v>55</v>
      </c>
      <c r="B330" t="s">
        <v>163</v>
      </c>
      <c r="C330">
        <v>9</v>
      </c>
    </row>
    <row r="331" spans="1:3" x14ac:dyDescent="0.25">
      <c r="A331" t="s">
        <v>55</v>
      </c>
      <c r="B331" t="s">
        <v>150</v>
      </c>
      <c r="C331">
        <v>1183</v>
      </c>
    </row>
    <row r="332" spans="1:3" x14ac:dyDescent="0.25">
      <c r="A332" t="s">
        <v>55</v>
      </c>
      <c r="B332" t="s">
        <v>80</v>
      </c>
      <c r="C332">
        <v>1639</v>
      </c>
    </row>
    <row r="333" spans="1:3" x14ac:dyDescent="0.25">
      <c r="A333" t="s">
        <v>55</v>
      </c>
      <c r="B333" t="s">
        <v>149</v>
      </c>
      <c r="C333">
        <v>6229</v>
      </c>
    </row>
    <row r="334" spans="1:3" x14ac:dyDescent="0.25">
      <c r="A334" t="s">
        <v>55</v>
      </c>
      <c r="B334" t="s">
        <v>167</v>
      </c>
      <c r="C334">
        <v>330</v>
      </c>
    </row>
    <row r="335" spans="1:3" x14ac:dyDescent="0.25">
      <c r="A335" t="s">
        <v>55</v>
      </c>
      <c r="B335" t="s">
        <v>165</v>
      </c>
      <c r="C335">
        <v>195</v>
      </c>
    </row>
    <row r="336" spans="1:3" x14ac:dyDescent="0.25">
      <c r="A336" t="s">
        <v>55</v>
      </c>
      <c r="B336" t="s">
        <v>169</v>
      </c>
      <c r="C336">
        <v>0</v>
      </c>
    </row>
    <row r="337" spans="1:3" x14ac:dyDescent="0.25">
      <c r="A337" t="s">
        <v>55</v>
      </c>
      <c r="B337" t="s">
        <v>168</v>
      </c>
      <c r="C337">
        <v>22</v>
      </c>
    </row>
    <row r="338" spans="1:3" x14ac:dyDescent="0.25">
      <c r="A338" t="s">
        <v>55</v>
      </c>
      <c r="B338" t="s">
        <v>166</v>
      </c>
      <c r="C338">
        <v>0</v>
      </c>
    </row>
    <row r="339" spans="1:3" x14ac:dyDescent="0.25">
      <c r="A339" t="s">
        <v>55</v>
      </c>
      <c r="B339" t="s">
        <v>170</v>
      </c>
      <c r="C339">
        <v>15</v>
      </c>
    </row>
    <row r="340" spans="1:3" x14ac:dyDescent="0.25">
      <c r="A340" t="s">
        <v>55</v>
      </c>
      <c r="B340" t="s">
        <v>171</v>
      </c>
      <c r="C340">
        <v>1760</v>
      </c>
    </row>
    <row r="341" spans="1:3" x14ac:dyDescent="0.25">
      <c r="A341" t="s">
        <v>55</v>
      </c>
      <c r="B341" t="s">
        <v>172</v>
      </c>
      <c r="C341">
        <v>552</v>
      </c>
    </row>
    <row r="342" spans="1:3" x14ac:dyDescent="0.25">
      <c r="A342" t="s">
        <v>55</v>
      </c>
      <c r="B342" t="s">
        <v>173</v>
      </c>
      <c r="C342">
        <v>535</v>
      </c>
    </row>
    <row r="343" spans="1:3" x14ac:dyDescent="0.25">
      <c r="A343" t="s">
        <v>55</v>
      </c>
      <c r="B343" t="s">
        <v>174</v>
      </c>
      <c r="C343">
        <v>0</v>
      </c>
    </row>
    <row r="344" spans="1:3" x14ac:dyDescent="0.25">
      <c r="A344" t="s">
        <v>55</v>
      </c>
      <c r="B344" t="s">
        <v>175</v>
      </c>
      <c r="C344">
        <v>0</v>
      </c>
    </row>
    <row r="345" spans="1:3" x14ac:dyDescent="0.25">
      <c r="A345" t="s">
        <v>55</v>
      </c>
      <c r="B345" t="s">
        <v>176</v>
      </c>
      <c r="C345">
        <v>0</v>
      </c>
    </row>
    <row r="346" spans="1:3" x14ac:dyDescent="0.25">
      <c r="A346" t="s">
        <v>55</v>
      </c>
      <c r="B346" t="s">
        <v>177</v>
      </c>
      <c r="C346">
        <v>9</v>
      </c>
    </row>
    <row r="347" spans="1:3" x14ac:dyDescent="0.25">
      <c r="A347" t="s">
        <v>55</v>
      </c>
      <c r="B347" t="s">
        <v>178</v>
      </c>
      <c r="C347">
        <v>47</v>
      </c>
    </row>
    <row r="348" spans="1:3" x14ac:dyDescent="0.25">
      <c r="A348" t="s">
        <v>67</v>
      </c>
      <c r="B348" t="s">
        <v>76</v>
      </c>
      <c r="C348">
        <v>2313</v>
      </c>
    </row>
    <row r="349" spans="1:3" x14ac:dyDescent="0.25">
      <c r="A349" t="s">
        <v>67</v>
      </c>
      <c r="B349" t="s">
        <v>84</v>
      </c>
      <c r="C349">
        <v>19734</v>
      </c>
    </row>
    <row r="350" spans="1:3" x14ac:dyDescent="0.25">
      <c r="A350" t="s">
        <v>67</v>
      </c>
      <c r="B350" t="s">
        <v>83</v>
      </c>
      <c r="C350">
        <v>33815</v>
      </c>
    </row>
    <row r="351" spans="1:3" x14ac:dyDescent="0.25">
      <c r="A351" t="s">
        <v>67</v>
      </c>
      <c r="B351" t="s">
        <v>151</v>
      </c>
      <c r="C351">
        <v>17314</v>
      </c>
    </row>
    <row r="352" spans="1:3" x14ac:dyDescent="0.25">
      <c r="A352" t="s">
        <v>67</v>
      </c>
      <c r="B352" t="s">
        <v>82</v>
      </c>
      <c r="C352">
        <v>16314</v>
      </c>
    </row>
    <row r="353" spans="1:3" x14ac:dyDescent="0.25">
      <c r="A353" t="s">
        <v>67</v>
      </c>
      <c r="B353" t="s">
        <v>152</v>
      </c>
      <c r="C353">
        <v>21231</v>
      </c>
    </row>
    <row r="354" spans="1:3" x14ac:dyDescent="0.25">
      <c r="A354" t="s">
        <v>67</v>
      </c>
      <c r="B354" t="s">
        <v>153</v>
      </c>
      <c r="C354">
        <v>24159</v>
      </c>
    </row>
    <row r="355" spans="1:3" x14ac:dyDescent="0.25">
      <c r="A355" t="s">
        <v>67</v>
      </c>
      <c r="B355" t="s">
        <v>81</v>
      </c>
      <c r="C355">
        <v>9146</v>
      </c>
    </row>
    <row r="356" spans="1:3" x14ac:dyDescent="0.25">
      <c r="A356" t="s">
        <v>67</v>
      </c>
      <c r="B356" t="s">
        <v>77</v>
      </c>
      <c r="C356">
        <v>13835</v>
      </c>
    </row>
    <row r="357" spans="1:3" x14ac:dyDescent="0.25">
      <c r="A357" t="s">
        <v>67</v>
      </c>
      <c r="B357" t="s">
        <v>78</v>
      </c>
      <c r="C357">
        <v>3330</v>
      </c>
    </row>
    <row r="358" spans="1:3" x14ac:dyDescent="0.25">
      <c r="A358" t="s">
        <v>67</v>
      </c>
      <c r="B358" t="s">
        <v>154</v>
      </c>
      <c r="C358">
        <v>13178</v>
      </c>
    </row>
    <row r="359" spans="1:3" x14ac:dyDescent="0.25">
      <c r="A359" t="s">
        <v>67</v>
      </c>
      <c r="B359" t="s">
        <v>162</v>
      </c>
      <c r="C359">
        <v>368</v>
      </c>
    </row>
    <row r="360" spans="1:3" x14ac:dyDescent="0.25">
      <c r="A360" t="s">
        <v>67</v>
      </c>
      <c r="B360" t="s">
        <v>155</v>
      </c>
      <c r="C360">
        <v>8664</v>
      </c>
    </row>
    <row r="361" spans="1:3" x14ac:dyDescent="0.25">
      <c r="A361" t="s">
        <v>67</v>
      </c>
      <c r="B361" t="s">
        <v>156</v>
      </c>
      <c r="C361">
        <v>8837</v>
      </c>
    </row>
    <row r="362" spans="1:3" x14ac:dyDescent="0.25">
      <c r="A362" t="s">
        <v>67</v>
      </c>
      <c r="B362" t="s">
        <v>157</v>
      </c>
      <c r="C362">
        <v>49746</v>
      </c>
    </row>
    <row r="363" spans="1:3" x14ac:dyDescent="0.25">
      <c r="A363" t="s">
        <v>67</v>
      </c>
      <c r="B363" t="s">
        <v>80</v>
      </c>
      <c r="C363">
        <v>9044</v>
      </c>
    </row>
    <row r="364" spans="1:3" x14ac:dyDescent="0.25">
      <c r="A364" t="s">
        <v>67</v>
      </c>
      <c r="B364" t="s">
        <v>197</v>
      </c>
      <c r="C364">
        <v>2903</v>
      </c>
    </row>
    <row r="365" spans="1:3" x14ac:dyDescent="0.25">
      <c r="A365" t="s">
        <v>67</v>
      </c>
      <c r="B365" t="s">
        <v>198</v>
      </c>
      <c r="C365">
        <v>1210</v>
      </c>
    </row>
    <row r="366" spans="1:3" x14ac:dyDescent="0.25">
      <c r="A366" t="s">
        <v>67</v>
      </c>
      <c r="B366" t="s">
        <v>150</v>
      </c>
      <c r="C366">
        <v>4953</v>
      </c>
    </row>
    <row r="367" spans="1:3" x14ac:dyDescent="0.25">
      <c r="A367" t="s">
        <v>67</v>
      </c>
      <c r="B367" t="s">
        <v>79</v>
      </c>
      <c r="C367">
        <v>1662</v>
      </c>
    </row>
    <row r="368" spans="1:3" x14ac:dyDescent="0.25">
      <c r="A368" t="s">
        <v>67</v>
      </c>
      <c r="B368" t="s">
        <v>149</v>
      </c>
      <c r="C368">
        <v>5575</v>
      </c>
    </row>
    <row r="369" spans="1:3" x14ac:dyDescent="0.25">
      <c r="A369" t="s">
        <v>67</v>
      </c>
      <c r="B369" t="s">
        <v>159</v>
      </c>
      <c r="C369">
        <v>4091</v>
      </c>
    </row>
    <row r="370" spans="1:3" x14ac:dyDescent="0.25">
      <c r="A370" t="s">
        <v>67</v>
      </c>
      <c r="B370" t="s">
        <v>199</v>
      </c>
      <c r="C370">
        <v>3154</v>
      </c>
    </row>
    <row r="371" spans="1:3" x14ac:dyDescent="0.25">
      <c r="A371" t="s">
        <v>67</v>
      </c>
      <c r="B371" t="s">
        <v>169</v>
      </c>
      <c r="C371">
        <v>250</v>
      </c>
    </row>
    <row r="372" spans="1:3" x14ac:dyDescent="0.25">
      <c r="A372" t="s">
        <v>67</v>
      </c>
      <c r="B372" t="s">
        <v>161</v>
      </c>
      <c r="C372">
        <v>141</v>
      </c>
    </row>
    <row r="373" spans="1:3" x14ac:dyDescent="0.25">
      <c r="A373" t="s">
        <v>67</v>
      </c>
      <c r="B373" t="s">
        <v>163</v>
      </c>
      <c r="C373">
        <v>70</v>
      </c>
    </row>
    <row r="374" spans="1:3" x14ac:dyDescent="0.25">
      <c r="A374" t="s">
        <v>67</v>
      </c>
      <c r="B374" t="s">
        <v>164</v>
      </c>
      <c r="C374">
        <v>2826</v>
      </c>
    </row>
    <row r="375" spans="1:3" x14ac:dyDescent="0.25">
      <c r="A375" t="s">
        <v>67</v>
      </c>
      <c r="B375" t="s">
        <v>167</v>
      </c>
      <c r="C375">
        <v>1105</v>
      </c>
    </row>
    <row r="376" spans="1:3" x14ac:dyDescent="0.25">
      <c r="A376" t="s">
        <v>67</v>
      </c>
      <c r="B376" t="s">
        <v>165</v>
      </c>
      <c r="C376">
        <v>745</v>
      </c>
    </row>
    <row r="377" spans="1:3" x14ac:dyDescent="0.25">
      <c r="A377" t="s">
        <v>67</v>
      </c>
      <c r="B377" t="s">
        <v>168</v>
      </c>
      <c r="C377">
        <v>30</v>
      </c>
    </row>
    <row r="378" spans="1:3" x14ac:dyDescent="0.25">
      <c r="A378" t="s">
        <v>67</v>
      </c>
      <c r="B378" t="s">
        <v>166</v>
      </c>
      <c r="C378">
        <v>1201</v>
      </c>
    </row>
    <row r="379" spans="1:3" x14ac:dyDescent="0.25">
      <c r="A379" t="s">
        <v>67</v>
      </c>
      <c r="B379" t="s">
        <v>170</v>
      </c>
      <c r="C379">
        <v>461</v>
      </c>
    </row>
    <row r="380" spans="1:3" x14ac:dyDescent="0.25">
      <c r="A380" t="s">
        <v>67</v>
      </c>
      <c r="B380" t="s">
        <v>172</v>
      </c>
      <c r="C380">
        <v>6841</v>
      </c>
    </row>
    <row r="381" spans="1:3" x14ac:dyDescent="0.25">
      <c r="A381" t="s">
        <v>67</v>
      </c>
      <c r="B381" t="s">
        <v>171</v>
      </c>
      <c r="C381">
        <v>10949</v>
      </c>
    </row>
    <row r="382" spans="1:3" x14ac:dyDescent="0.25">
      <c r="A382" t="s">
        <v>67</v>
      </c>
      <c r="B382" t="s">
        <v>173</v>
      </c>
      <c r="C382">
        <v>4763</v>
      </c>
    </row>
    <row r="383" spans="1:3" x14ac:dyDescent="0.25">
      <c r="A383" t="s">
        <v>67</v>
      </c>
      <c r="B383" t="s">
        <v>174</v>
      </c>
      <c r="C383">
        <v>0</v>
      </c>
    </row>
    <row r="384" spans="1:3" x14ac:dyDescent="0.25">
      <c r="A384" t="s">
        <v>67</v>
      </c>
      <c r="B384" t="s">
        <v>175</v>
      </c>
      <c r="C384">
        <v>49</v>
      </c>
    </row>
    <row r="385" spans="1:3" x14ac:dyDescent="0.25">
      <c r="A385" t="s">
        <v>67</v>
      </c>
      <c r="B385" t="s">
        <v>176</v>
      </c>
      <c r="C385">
        <v>221</v>
      </c>
    </row>
    <row r="386" spans="1:3" x14ac:dyDescent="0.25">
      <c r="A386" t="s">
        <v>67</v>
      </c>
      <c r="B386" t="s">
        <v>177</v>
      </c>
      <c r="C386">
        <v>41</v>
      </c>
    </row>
    <row r="387" spans="1:3" x14ac:dyDescent="0.25">
      <c r="A387" t="s">
        <v>67</v>
      </c>
      <c r="B387" t="s">
        <v>178</v>
      </c>
      <c r="C387">
        <v>4721</v>
      </c>
    </row>
    <row r="388" spans="1:3" x14ac:dyDescent="0.25">
      <c r="A388" t="s">
        <v>65</v>
      </c>
      <c r="B388" t="s">
        <v>159</v>
      </c>
      <c r="C388">
        <v>177</v>
      </c>
    </row>
    <row r="389" spans="1:3" x14ac:dyDescent="0.25">
      <c r="A389" t="s">
        <v>65</v>
      </c>
      <c r="B389" t="s">
        <v>84</v>
      </c>
      <c r="C389">
        <v>4012</v>
      </c>
    </row>
    <row r="390" spans="1:3" x14ac:dyDescent="0.25">
      <c r="A390" t="s">
        <v>65</v>
      </c>
      <c r="B390" t="s">
        <v>83</v>
      </c>
      <c r="C390">
        <v>5049</v>
      </c>
    </row>
    <row r="391" spans="1:3" x14ac:dyDescent="0.25">
      <c r="A391" t="s">
        <v>65</v>
      </c>
      <c r="B391" t="s">
        <v>151</v>
      </c>
      <c r="C391">
        <v>3579</v>
      </c>
    </row>
    <row r="392" spans="1:3" x14ac:dyDescent="0.25">
      <c r="A392" t="s">
        <v>65</v>
      </c>
      <c r="B392" t="s">
        <v>82</v>
      </c>
      <c r="C392">
        <v>377</v>
      </c>
    </row>
    <row r="393" spans="1:3" x14ac:dyDescent="0.25">
      <c r="A393" t="s">
        <v>65</v>
      </c>
      <c r="B393" t="s">
        <v>152</v>
      </c>
      <c r="C393">
        <v>472</v>
      </c>
    </row>
    <row r="394" spans="1:3" x14ac:dyDescent="0.25">
      <c r="A394" t="s">
        <v>65</v>
      </c>
      <c r="B394" t="s">
        <v>153</v>
      </c>
      <c r="C394">
        <v>2415</v>
      </c>
    </row>
    <row r="395" spans="1:3" x14ac:dyDescent="0.25">
      <c r="A395" t="s">
        <v>65</v>
      </c>
      <c r="B395" t="s">
        <v>81</v>
      </c>
      <c r="C395">
        <v>3493</v>
      </c>
    </row>
    <row r="396" spans="1:3" x14ac:dyDescent="0.25">
      <c r="A396" t="s">
        <v>65</v>
      </c>
      <c r="B396" t="s">
        <v>77</v>
      </c>
      <c r="C396">
        <v>887</v>
      </c>
    </row>
    <row r="397" spans="1:3" x14ac:dyDescent="0.25">
      <c r="A397" t="s">
        <v>65</v>
      </c>
      <c r="B397" t="s">
        <v>154</v>
      </c>
      <c r="C397">
        <v>334</v>
      </c>
    </row>
    <row r="398" spans="1:3" x14ac:dyDescent="0.25">
      <c r="A398" t="s">
        <v>65</v>
      </c>
      <c r="B398" t="s">
        <v>155</v>
      </c>
      <c r="C398">
        <v>1728</v>
      </c>
    </row>
    <row r="399" spans="1:3" x14ac:dyDescent="0.25">
      <c r="A399" t="s">
        <v>65</v>
      </c>
      <c r="B399" t="s">
        <v>157</v>
      </c>
      <c r="C399">
        <v>3211</v>
      </c>
    </row>
    <row r="400" spans="1:3" x14ac:dyDescent="0.25">
      <c r="A400" t="s">
        <v>65</v>
      </c>
      <c r="B400" t="s">
        <v>80</v>
      </c>
      <c r="C400">
        <v>1818</v>
      </c>
    </row>
    <row r="401" spans="1:3" x14ac:dyDescent="0.25">
      <c r="A401" t="s">
        <v>65</v>
      </c>
      <c r="B401" t="s">
        <v>200</v>
      </c>
      <c r="C401">
        <v>18</v>
      </c>
    </row>
    <row r="402" spans="1:3" x14ac:dyDescent="0.25">
      <c r="A402" t="s">
        <v>65</v>
      </c>
      <c r="B402" t="s">
        <v>201</v>
      </c>
      <c r="C402">
        <v>310</v>
      </c>
    </row>
    <row r="403" spans="1:3" x14ac:dyDescent="0.25">
      <c r="A403" t="s">
        <v>65</v>
      </c>
      <c r="B403" t="s">
        <v>76</v>
      </c>
      <c r="C403">
        <v>110</v>
      </c>
    </row>
    <row r="404" spans="1:3" x14ac:dyDescent="0.25">
      <c r="A404" t="s">
        <v>65</v>
      </c>
      <c r="B404" t="s">
        <v>166</v>
      </c>
      <c r="C404">
        <v>0</v>
      </c>
    </row>
    <row r="405" spans="1:3" x14ac:dyDescent="0.25">
      <c r="A405" t="s">
        <v>65</v>
      </c>
      <c r="B405" t="s">
        <v>161</v>
      </c>
      <c r="C405">
        <v>0</v>
      </c>
    </row>
    <row r="406" spans="1:3" x14ac:dyDescent="0.25">
      <c r="A406" t="s">
        <v>65</v>
      </c>
      <c r="B406" t="s">
        <v>78</v>
      </c>
      <c r="C406">
        <v>0</v>
      </c>
    </row>
    <row r="407" spans="1:3" x14ac:dyDescent="0.25">
      <c r="A407" t="s">
        <v>65</v>
      </c>
      <c r="B407" t="s">
        <v>162</v>
      </c>
      <c r="C407">
        <v>141</v>
      </c>
    </row>
    <row r="408" spans="1:3" x14ac:dyDescent="0.25">
      <c r="A408" t="s">
        <v>65</v>
      </c>
      <c r="B408" t="s">
        <v>156</v>
      </c>
      <c r="C408">
        <v>689</v>
      </c>
    </row>
    <row r="409" spans="1:3" x14ac:dyDescent="0.25">
      <c r="A409" t="s">
        <v>65</v>
      </c>
      <c r="B409" t="s">
        <v>163</v>
      </c>
      <c r="C409">
        <v>18</v>
      </c>
    </row>
    <row r="410" spans="1:3" x14ac:dyDescent="0.25">
      <c r="A410" t="s">
        <v>65</v>
      </c>
      <c r="B410" t="s">
        <v>164</v>
      </c>
      <c r="C410">
        <v>966</v>
      </c>
    </row>
    <row r="411" spans="1:3" x14ac:dyDescent="0.25">
      <c r="A411" t="s">
        <v>65</v>
      </c>
      <c r="B411" t="s">
        <v>165</v>
      </c>
      <c r="C411">
        <v>27</v>
      </c>
    </row>
    <row r="412" spans="1:3" x14ac:dyDescent="0.25">
      <c r="A412" t="s">
        <v>65</v>
      </c>
      <c r="B412" t="s">
        <v>150</v>
      </c>
      <c r="C412">
        <v>515</v>
      </c>
    </row>
    <row r="413" spans="1:3" x14ac:dyDescent="0.25">
      <c r="A413" t="s">
        <v>65</v>
      </c>
      <c r="B413" t="s">
        <v>79</v>
      </c>
      <c r="C413">
        <v>15</v>
      </c>
    </row>
    <row r="414" spans="1:3" x14ac:dyDescent="0.25">
      <c r="A414" t="s">
        <v>65</v>
      </c>
      <c r="B414" t="s">
        <v>167</v>
      </c>
      <c r="C414">
        <v>276</v>
      </c>
    </row>
    <row r="415" spans="1:3" x14ac:dyDescent="0.25">
      <c r="A415" t="s">
        <v>65</v>
      </c>
      <c r="B415" t="s">
        <v>149</v>
      </c>
      <c r="C415">
        <v>244</v>
      </c>
    </row>
    <row r="416" spans="1:3" x14ac:dyDescent="0.25">
      <c r="A416" t="s">
        <v>65</v>
      </c>
      <c r="B416" t="s">
        <v>168</v>
      </c>
      <c r="C416">
        <v>6</v>
      </c>
    </row>
    <row r="417" spans="1:3" x14ac:dyDescent="0.25">
      <c r="A417" t="s">
        <v>65</v>
      </c>
      <c r="B417" t="s">
        <v>169</v>
      </c>
      <c r="C417">
        <v>0</v>
      </c>
    </row>
    <row r="418" spans="1:3" x14ac:dyDescent="0.25">
      <c r="A418" t="s">
        <v>65</v>
      </c>
      <c r="B418" t="s">
        <v>170</v>
      </c>
      <c r="C418">
        <v>0</v>
      </c>
    </row>
    <row r="419" spans="1:3" x14ac:dyDescent="0.25">
      <c r="A419" t="s">
        <v>65</v>
      </c>
      <c r="B419" t="s">
        <v>171</v>
      </c>
      <c r="C419">
        <v>981</v>
      </c>
    </row>
    <row r="420" spans="1:3" x14ac:dyDescent="0.25">
      <c r="A420" t="s">
        <v>65</v>
      </c>
      <c r="B420" t="s">
        <v>172</v>
      </c>
      <c r="C420">
        <v>665</v>
      </c>
    </row>
    <row r="421" spans="1:3" x14ac:dyDescent="0.25">
      <c r="A421" t="s">
        <v>65</v>
      </c>
      <c r="B421" t="s">
        <v>173</v>
      </c>
      <c r="C421">
        <v>435</v>
      </c>
    </row>
    <row r="422" spans="1:3" x14ac:dyDescent="0.25">
      <c r="A422" t="s">
        <v>65</v>
      </c>
      <c r="B422" t="s">
        <v>174</v>
      </c>
      <c r="C422">
        <v>0</v>
      </c>
    </row>
    <row r="423" spans="1:3" x14ac:dyDescent="0.25">
      <c r="A423" t="s">
        <v>65</v>
      </c>
      <c r="B423" t="s">
        <v>175</v>
      </c>
      <c r="C423">
        <v>3</v>
      </c>
    </row>
    <row r="424" spans="1:3" x14ac:dyDescent="0.25">
      <c r="A424" t="s">
        <v>65</v>
      </c>
      <c r="B424" t="s">
        <v>176</v>
      </c>
      <c r="C424">
        <v>0</v>
      </c>
    </row>
    <row r="425" spans="1:3" x14ac:dyDescent="0.25">
      <c r="A425" t="s">
        <v>65</v>
      </c>
      <c r="B425" t="s">
        <v>177</v>
      </c>
      <c r="C425">
        <v>0</v>
      </c>
    </row>
    <row r="426" spans="1:3" x14ac:dyDescent="0.25">
      <c r="A426" t="s">
        <v>65</v>
      </c>
      <c r="B426" t="s">
        <v>178</v>
      </c>
      <c r="C426">
        <v>0</v>
      </c>
    </row>
    <row r="427" spans="1:3" x14ac:dyDescent="0.25">
      <c r="A427" t="s">
        <v>57</v>
      </c>
      <c r="B427" t="s">
        <v>159</v>
      </c>
      <c r="C427">
        <v>185</v>
      </c>
    </row>
    <row r="428" spans="1:3" x14ac:dyDescent="0.25">
      <c r="A428" t="s">
        <v>57</v>
      </c>
      <c r="B428" t="s">
        <v>149</v>
      </c>
      <c r="C428">
        <v>767</v>
      </c>
    </row>
    <row r="429" spans="1:3" x14ac:dyDescent="0.25">
      <c r="A429" t="s">
        <v>57</v>
      </c>
      <c r="B429" t="s">
        <v>84</v>
      </c>
      <c r="C429">
        <v>3403</v>
      </c>
    </row>
    <row r="430" spans="1:3" x14ac:dyDescent="0.25">
      <c r="A430" t="s">
        <v>57</v>
      </c>
      <c r="B430" t="s">
        <v>83</v>
      </c>
      <c r="C430">
        <v>4590</v>
      </c>
    </row>
    <row r="431" spans="1:3" x14ac:dyDescent="0.25">
      <c r="A431" t="s">
        <v>57</v>
      </c>
      <c r="B431" t="s">
        <v>151</v>
      </c>
      <c r="C431">
        <v>1601</v>
      </c>
    </row>
    <row r="432" spans="1:3" x14ac:dyDescent="0.25">
      <c r="A432" t="s">
        <v>57</v>
      </c>
      <c r="B432" t="s">
        <v>82</v>
      </c>
      <c r="C432">
        <v>5995</v>
      </c>
    </row>
    <row r="433" spans="1:3" x14ac:dyDescent="0.25">
      <c r="A433" t="s">
        <v>57</v>
      </c>
      <c r="B433" t="s">
        <v>152</v>
      </c>
      <c r="C433">
        <v>7303</v>
      </c>
    </row>
    <row r="434" spans="1:3" x14ac:dyDescent="0.25">
      <c r="A434" t="s">
        <v>57</v>
      </c>
      <c r="B434" t="s">
        <v>153</v>
      </c>
      <c r="C434">
        <v>841</v>
      </c>
    </row>
    <row r="435" spans="1:3" x14ac:dyDescent="0.25">
      <c r="A435" t="s">
        <v>57</v>
      </c>
      <c r="B435" t="s">
        <v>81</v>
      </c>
      <c r="C435">
        <v>304</v>
      </c>
    </row>
    <row r="436" spans="1:3" x14ac:dyDescent="0.25">
      <c r="A436" t="s">
        <v>57</v>
      </c>
      <c r="B436" t="s">
        <v>77</v>
      </c>
      <c r="C436">
        <v>849</v>
      </c>
    </row>
    <row r="437" spans="1:3" x14ac:dyDescent="0.25">
      <c r="A437" t="s">
        <v>57</v>
      </c>
      <c r="B437" t="s">
        <v>154</v>
      </c>
      <c r="C437">
        <v>694</v>
      </c>
    </row>
    <row r="438" spans="1:3" x14ac:dyDescent="0.25">
      <c r="A438" t="s">
        <v>57</v>
      </c>
      <c r="B438" t="s">
        <v>155</v>
      </c>
      <c r="C438">
        <v>4805</v>
      </c>
    </row>
    <row r="439" spans="1:3" x14ac:dyDescent="0.25">
      <c r="A439" t="s">
        <v>57</v>
      </c>
      <c r="B439" t="s">
        <v>157</v>
      </c>
      <c r="C439">
        <v>11750</v>
      </c>
    </row>
    <row r="440" spans="1:3" x14ac:dyDescent="0.25">
      <c r="A440" t="s">
        <v>57</v>
      </c>
      <c r="B440" t="s">
        <v>80</v>
      </c>
      <c r="C440">
        <v>2374</v>
      </c>
    </row>
    <row r="441" spans="1:3" x14ac:dyDescent="0.25">
      <c r="A441" t="s">
        <v>57</v>
      </c>
      <c r="B441" t="s">
        <v>202</v>
      </c>
      <c r="C441">
        <v>20</v>
      </c>
    </row>
    <row r="442" spans="1:3" x14ac:dyDescent="0.25">
      <c r="A442" t="s">
        <v>57</v>
      </c>
      <c r="B442" t="s">
        <v>203</v>
      </c>
      <c r="C442">
        <v>548</v>
      </c>
    </row>
    <row r="443" spans="1:3" x14ac:dyDescent="0.25">
      <c r="A443" t="s">
        <v>57</v>
      </c>
      <c r="B443" t="s">
        <v>156</v>
      </c>
      <c r="C443">
        <v>2609</v>
      </c>
    </row>
    <row r="444" spans="1:3" x14ac:dyDescent="0.25">
      <c r="A444" t="s">
        <v>57</v>
      </c>
      <c r="B444" t="s">
        <v>161</v>
      </c>
      <c r="C444">
        <v>8</v>
      </c>
    </row>
    <row r="445" spans="1:3" x14ac:dyDescent="0.25">
      <c r="A445" t="s">
        <v>57</v>
      </c>
      <c r="B445" t="s">
        <v>78</v>
      </c>
      <c r="C445">
        <v>0</v>
      </c>
    </row>
    <row r="446" spans="1:3" x14ac:dyDescent="0.25">
      <c r="A446" t="s">
        <v>57</v>
      </c>
      <c r="B446" t="s">
        <v>162</v>
      </c>
      <c r="C446">
        <v>126</v>
      </c>
    </row>
    <row r="447" spans="1:3" x14ac:dyDescent="0.25">
      <c r="A447" t="s">
        <v>57</v>
      </c>
      <c r="B447" t="s">
        <v>163</v>
      </c>
      <c r="C447">
        <v>95</v>
      </c>
    </row>
    <row r="448" spans="1:3" x14ac:dyDescent="0.25">
      <c r="A448" t="s">
        <v>57</v>
      </c>
      <c r="B448" t="s">
        <v>164</v>
      </c>
      <c r="C448">
        <v>122</v>
      </c>
    </row>
    <row r="449" spans="1:3" x14ac:dyDescent="0.25">
      <c r="A449" t="s">
        <v>57</v>
      </c>
      <c r="B449" t="s">
        <v>79</v>
      </c>
      <c r="C449">
        <v>0</v>
      </c>
    </row>
    <row r="450" spans="1:3" x14ac:dyDescent="0.25">
      <c r="A450" t="s">
        <v>57</v>
      </c>
      <c r="B450" t="s">
        <v>165</v>
      </c>
      <c r="C450">
        <v>81</v>
      </c>
    </row>
    <row r="451" spans="1:3" x14ac:dyDescent="0.25">
      <c r="A451" t="s">
        <v>57</v>
      </c>
      <c r="B451" t="s">
        <v>150</v>
      </c>
      <c r="C451">
        <v>700</v>
      </c>
    </row>
    <row r="452" spans="1:3" x14ac:dyDescent="0.25">
      <c r="A452" t="s">
        <v>57</v>
      </c>
      <c r="B452" t="s">
        <v>76</v>
      </c>
      <c r="C452">
        <v>0</v>
      </c>
    </row>
    <row r="453" spans="1:3" x14ac:dyDescent="0.25">
      <c r="A453" t="s">
        <v>57</v>
      </c>
      <c r="B453" t="s">
        <v>168</v>
      </c>
      <c r="C453">
        <v>4</v>
      </c>
    </row>
    <row r="454" spans="1:3" x14ac:dyDescent="0.25">
      <c r="A454" t="s">
        <v>57</v>
      </c>
      <c r="B454" t="s">
        <v>167</v>
      </c>
      <c r="C454">
        <v>316</v>
      </c>
    </row>
    <row r="455" spans="1:3" x14ac:dyDescent="0.25">
      <c r="A455" t="s">
        <v>57</v>
      </c>
      <c r="B455" t="s">
        <v>166</v>
      </c>
      <c r="C455">
        <v>168</v>
      </c>
    </row>
    <row r="456" spans="1:3" x14ac:dyDescent="0.25">
      <c r="A456" t="s">
        <v>57</v>
      </c>
      <c r="B456" t="s">
        <v>169</v>
      </c>
      <c r="C456">
        <v>563</v>
      </c>
    </row>
    <row r="457" spans="1:3" x14ac:dyDescent="0.25">
      <c r="A457" t="s">
        <v>57</v>
      </c>
      <c r="B457" t="s">
        <v>171</v>
      </c>
      <c r="C457">
        <v>468</v>
      </c>
    </row>
    <row r="458" spans="1:3" x14ac:dyDescent="0.25">
      <c r="A458" t="s">
        <v>57</v>
      </c>
      <c r="B458" t="s">
        <v>172</v>
      </c>
      <c r="C458">
        <v>288</v>
      </c>
    </row>
    <row r="459" spans="1:3" x14ac:dyDescent="0.25">
      <c r="A459" t="s">
        <v>57</v>
      </c>
      <c r="B459" t="s">
        <v>173</v>
      </c>
      <c r="C459">
        <v>228</v>
      </c>
    </row>
    <row r="460" spans="1:3" x14ac:dyDescent="0.25">
      <c r="A460" t="s">
        <v>57</v>
      </c>
      <c r="B460" t="s">
        <v>174</v>
      </c>
      <c r="C460">
        <v>22</v>
      </c>
    </row>
    <row r="461" spans="1:3" x14ac:dyDescent="0.25">
      <c r="A461" t="s">
        <v>57</v>
      </c>
      <c r="B461" t="s">
        <v>175</v>
      </c>
      <c r="C461">
        <v>0</v>
      </c>
    </row>
    <row r="462" spans="1:3" x14ac:dyDescent="0.25">
      <c r="A462" t="s">
        <v>57</v>
      </c>
      <c r="B462" t="s">
        <v>176</v>
      </c>
      <c r="C462">
        <v>0</v>
      </c>
    </row>
    <row r="463" spans="1:3" x14ac:dyDescent="0.25">
      <c r="A463" t="s">
        <v>57</v>
      </c>
      <c r="B463" t="s">
        <v>177</v>
      </c>
      <c r="C463">
        <v>0</v>
      </c>
    </row>
    <row r="464" spans="1:3" x14ac:dyDescent="0.25">
      <c r="A464" t="s">
        <v>57</v>
      </c>
      <c r="B464" t="s">
        <v>178</v>
      </c>
      <c r="C464">
        <v>199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1F73B-0220-41A5-8129-6A8F31140C1F}">
  <sheetPr codeName="Лист5">
    <tabColor rgb="FF92D050"/>
  </sheetPr>
  <dimension ref="A1:H121"/>
  <sheetViews>
    <sheetView workbookViewId="0">
      <selection activeCell="G1" sqref="G1"/>
    </sheetView>
  </sheetViews>
  <sheetFormatPr defaultColWidth="8.85546875" defaultRowHeight="15" x14ac:dyDescent="0.25"/>
  <cols>
    <col min="1" max="1" width="30.140625" customWidth="1"/>
    <col min="2" max="2" width="29.42578125" bestFit="1" customWidth="1"/>
    <col min="3" max="3" width="45.42578125" customWidth="1"/>
    <col min="4" max="4" width="11.140625" bestFit="1" customWidth="1"/>
    <col min="5" max="5" width="10.140625" bestFit="1" customWidth="1"/>
    <col min="6" max="6" width="14.42578125" bestFit="1" customWidth="1"/>
  </cols>
  <sheetData>
    <row r="1" spans="1:8" x14ac:dyDescent="0.25">
      <c r="A1" s="8" t="s">
        <v>69</v>
      </c>
      <c r="B1" s="8" t="s">
        <v>70</v>
      </c>
      <c r="C1" s="8" t="s">
        <v>204</v>
      </c>
      <c r="F1" s="8" t="s">
        <v>205</v>
      </c>
    </row>
    <row r="2" spans="1:8" x14ac:dyDescent="0.25">
      <c r="A2" s="8" t="s">
        <v>68</v>
      </c>
      <c r="B2" s="8" t="s">
        <v>6</v>
      </c>
      <c r="C2" s="8">
        <v>61.45</v>
      </c>
    </row>
    <row r="3" spans="1:8" x14ac:dyDescent="0.25">
      <c r="A3" s="8" t="s">
        <v>68</v>
      </c>
      <c r="B3" s="8" t="s">
        <v>8</v>
      </c>
      <c r="C3" s="8">
        <v>74.489999999999995</v>
      </c>
      <c r="D3" s="2"/>
      <c r="E3" s="2"/>
      <c r="F3" s="2"/>
      <c r="G3" s="2"/>
    </row>
    <row r="4" spans="1:8" x14ac:dyDescent="0.25">
      <c r="A4" s="8" t="s">
        <v>68</v>
      </c>
      <c r="B4" s="8" t="s">
        <v>10</v>
      </c>
      <c r="C4" s="8">
        <v>35.44</v>
      </c>
      <c r="D4" s="3"/>
      <c r="E4" s="3"/>
      <c r="F4" s="3"/>
    </row>
    <row r="5" spans="1:8" x14ac:dyDescent="0.25">
      <c r="A5" s="8" t="s">
        <v>68</v>
      </c>
      <c r="B5" s="8" t="s">
        <v>99</v>
      </c>
      <c r="C5" s="8">
        <v>162.69</v>
      </c>
      <c r="D5" s="3"/>
      <c r="E5" s="3"/>
      <c r="F5" s="3"/>
    </row>
    <row r="6" spans="1:8" x14ac:dyDescent="0.25">
      <c r="A6" s="8" t="s">
        <v>68</v>
      </c>
      <c r="B6" s="8" t="s">
        <v>11</v>
      </c>
      <c r="C6" s="8">
        <v>27.55</v>
      </c>
      <c r="D6" s="3"/>
      <c r="E6" s="3"/>
      <c r="F6" s="3"/>
    </row>
    <row r="7" spans="1:8" x14ac:dyDescent="0.25">
      <c r="A7" s="8" t="s">
        <v>68</v>
      </c>
      <c r="B7" s="8" t="s">
        <v>102</v>
      </c>
      <c r="C7" s="8">
        <v>20.63</v>
      </c>
      <c r="D7" s="3"/>
      <c r="E7" s="3"/>
      <c r="F7" s="3"/>
    </row>
    <row r="8" spans="1:8" x14ac:dyDescent="0.25">
      <c r="A8" s="8" t="s">
        <v>68</v>
      </c>
      <c r="B8" s="8" t="s">
        <v>105</v>
      </c>
      <c r="C8" s="8">
        <v>138.32</v>
      </c>
      <c r="D8" s="3"/>
      <c r="E8" s="3"/>
      <c r="F8" s="3"/>
    </row>
    <row r="9" spans="1:8" x14ac:dyDescent="0.25">
      <c r="A9" s="8" t="s">
        <v>68</v>
      </c>
      <c r="B9" s="8" t="s">
        <v>9</v>
      </c>
      <c r="C9" s="8">
        <v>37.33</v>
      </c>
      <c r="D9" s="3"/>
      <c r="E9" s="3"/>
      <c r="F9" s="3"/>
      <c r="G9" s="3"/>
      <c r="H9" s="3"/>
    </row>
    <row r="10" spans="1:8" x14ac:dyDescent="0.25">
      <c r="A10" s="8" t="s">
        <v>67</v>
      </c>
      <c r="B10" s="8" t="s">
        <v>206</v>
      </c>
      <c r="C10" s="8">
        <v>27.78</v>
      </c>
      <c r="D10" s="2"/>
      <c r="E10" s="2"/>
      <c r="F10" s="2"/>
      <c r="G10" s="3"/>
      <c r="H10" s="3"/>
    </row>
    <row r="11" spans="1:8" x14ac:dyDescent="0.25">
      <c r="A11" s="8" t="s">
        <v>67</v>
      </c>
      <c r="B11" s="8" t="s">
        <v>207</v>
      </c>
      <c r="C11" s="8">
        <v>37.04</v>
      </c>
      <c r="D11" s="3"/>
      <c r="E11" s="3"/>
      <c r="F11" s="3"/>
    </row>
    <row r="12" spans="1:8" x14ac:dyDescent="0.25">
      <c r="A12" s="8" t="s">
        <v>67</v>
      </c>
      <c r="B12" s="8" t="s">
        <v>208</v>
      </c>
      <c r="C12" s="8">
        <v>88.38</v>
      </c>
      <c r="D12" s="3"/>
      <c r="E12" s="3"/>
      <c r="F12" s="3"/>
    </row>
    <row r="13" spans="1:8" x14ac:dyDescent="0.25">
      <c r="A13" s="8" t="s">
        <v>67</v>
      </c>
      <c r="B13" s="8" t="s">
        <v>209</v>
      </c>
      <c r="C13" s="8">
        <v>60.53</v>
      </c>
      <c r="D13" s="2"/>
      <c r="E13" s="3"/>
      <c r="F13" s="3"/>
    </row>
    <row r="14" spans="1:8" x14ac:dyDescent="0.25">
      <c r="A14" s="8" t="s">
        <v>67</v>
      </c>
      <c r="B14" s="8" t="s">
        <v>210</v>
      </c>
      <c r="C14" s="8">
        <v>20.03</v>
      </c>
      <c r="D14" s="3"/>
      <c r="E14" s="3"/>
      <c r="F14" s="3"/>
    </row>
    <row r="15" spans="1:8" x14ac:dyDescent="0.25">
      <c r="A15" s="8" t="s">
        <v>67</v>
      </c>
      <c r="B15" s="8" t="s">
        <v>211</v>
      </c>
      <c r="C15" s="8"/>
      <c r="D15" s="3"/>
      <c r="E15" s="3"/>
      <c r="F15" s="3"/>
    </row>
    <row r="16" spans="1:8" x14ac:dyDescent="0.25">
      <c r="A16" s="8" t="s">
        <v>67</v>
      </c>
      <c r="B16" s="8" t="s">
        <v>212</v>
      </c>
      <c r="C16" s="8"/>
      <c r="D16" s="3"/>
      <c r="E16" s="3"/>
      <c r="F16" s="3"/>
      <c r="G16" s="3"/>
      <c r="H16" s="3"/>
    </row>
    <row r="17" spans="1:8" x14ac:dyDescent="0.25">
      <c r="A17" s="8" t="s">
        <v>67</v>
      </c>
      <c r="B17" s="8" t="s">
        <v>9</v>
      </c>
      <c r="C17" s="8">
        <v>18.8</v>
      </c>
      <c r="D17" s="2"/>
      <c r="E17" s="2"/>
      <c r="F17" s="2"/>
      <c r="G17" s="2"/>
      <c r="H17" s="3"/>
    </row>
    <row r="18" spans="1:8" x14ac:dyDescent="0.25">
      <c r="A18" s="8" t="s">
        <v>66</v>
      </c>
      <c r="B18" s="8" t="s">
        <v>206</v>
      </c>
      <c r="C18" s="8">
        <v>26.75</v>
      </c>
      <c r="D18" s="2"/>
      <c r="E18" s="2"/>
      <c r="F18" s="3"/>
    </row>
    <row r="19" spans="1:8" x14ac:dyDescent="0.25">
      <c r="A19" s="8" t="s">
        <v>66</v>
      </c>
      <c r="B19" s="8" t="s">
        <v>207</v>
      </c>
      <c r="C19" s="8">
        <v>22.08</v>
      </c>
      <c r="D19" s="2"/>
      <c r="E19" s="2"/>
      <c r="F19" s="3"/>
    </row>
    <row r="20" spans="1:8" x14ac:dyDescent="0.25">
      <c r="A20" s="8" t="s">
        <v>66</v>
      </c>
      <c r="B20" s="8" t="s">
        <v>208</v>
      </c>
      <c r="C20" s="8">
        <v>87.74</v>
      </c>
      <c r="D20" s="3"/>
      <c r="E20" s="3"/>
      <c r="F20" s="3"/>
    </row>
    <row r="21" spans="1:8" x14ac:dyDescent="0.25">
      <c r="A21" s="8" t="s">
        <v>66</v>
      </c>
      <c r="B21" s="8" t="s">
        <v>209</v>
      </c>
      <c r="C21" s="8">
        <v>57.83</v>
      </c>
      <c r="D21" s="2"/>
      <c r="E21" s="2"/>
      <c r="F21" s="3"/>
    </row>
    <row r="22" spans="1:8" x14ac:dyDescent="0.25">
      <c r="A22" s="8" t="s">
        <v>66</v>
      </c>
      <c r="B22" s="8" t="s">
        <v>210</v>
      </c>
      <c r="C22" s="8">
        <v>15.48</v>
      </c>
      <c r="D22" s="3"/>
      <c r="E22" s="3"/>
      <c r="F22" s="3"/>
    </row>
    <row r="23" spans="1:8" x14ac:dyDescent="0.25">
      <c r="A23" s="8" t="s">
        <v>66</v>
      </c>
      <c r="B23" s="8" t="s">
        <v>211</v>
      </c>
      <c r="C23" s="8">
        <v>15.86</v>
      </c>
      <c r="D23" s="3"/>
      <c r="E23" s="3"/>
      <c r="F23" s="3"/>
      <c r="G23" s="3"/>
      <c r="H23" s="3"/>
    </row>
    <row r="24" spans="1:8" x14ac:dyDescent="0.25">
      <c r="A24" s="8" t="s">
        <v>66</v>
      </c>
      <c r="B24" s="8" t="s">
        <v>212</v>
      </c>
      <c r="C24" s="8">
        <v>76.239999999999995</v>
      </c>
      <c r="D24" s="2"/>
      <c r="E24" s="2"/>
      <c r="F24" s="2"/>
      <c r="G24" s="3"/>
      <c r="H24" s="3"/>
    </row>
    <row r="25" spans="1:8" x14ac:dyDescent="0.25">
      <c r="A25" s="8" t="s">
        <v>66</v>
      </c>
      <c r="B25" s="8" t="s">
        <v>9</v>
      </c>
      <c r="C25" s="8"/>
      <c r="D25" s="2"/>
      <c r="E25" s="3"/>
      <c r="F25" s="3"/>
    </row>
    <row r="26" spans="1:8" x14ac:dyDescent="0.25">
      <c r="A26" s="8" t="s">
        <v>65</v>
      </c>
      <c r="B26" s="8" t="s">
        <v>206</v>
      </c>
      <c r="C26" s="8">
        <v>21.54</v>
      </c>
      <c r="D26" s="2"/>
      <c r="E26" s="3"/>
      <c r="F26" s="3"/>
    </row>
    <row r="27" spans="1:8" x14ac:dyDescent="0.25">
      <c r="A27" s="8" t="s">
        <v>65</v>
      </c>
      <c r="B27" s="8" t="s">
        <v>207</v>
      </c>
      <c r="C27" s="8">
        <v>24.34</v>
      </c>
      <c r="D27" s="2"/>
      <c r="E27" s="3"/>
      <c r="F27" s="3"/>
    </row>
    <row r="28" spans="1:8" x14ac:dyDescent="0.25">
      <c r="A28" s="8" t="s">
        <v>65</v>
      </c>
      <c r="B28" s="8" t="s">
        <v>208</v>
      </c>
      <c r="C28" s="8">
        <v>20.21</v>
      </c>
      <c r="D28" s="2"/>
      <c r="E28" s="3"/>
      <c r="F28" s="3"/>
    </row>
    <row r="29" spans="1:8" x14ac:dyDescent="0.25">
      <c r="A29" s="8" t="s">
        <v>65</v>
      </c>
      <c r="B29" s="8" t="s">
        <v>209</v>
      </c>
      <c r="C29" s="8">
        <v>25</v>
      </c>
      <c r="D29" s="3"/>
      <c r="E29" s="3"/>
      <c r="F29" s="3"/>
    </row>
    <row r="30" spans="1:8" ht="14.25" customHeight="1" x14ac:dyDescent="0.25">
      <c r="A30" s="8" t="s">
        <v>65</v>
      </c>
      <c r="B30" s="8" t="s">
        <v>210</v>
      </c>
      <c r="C30" s="8">
        <v>19.170000000000002</v>
      </c>
      <c r="D30" s="3"/>
      <c r="E30" s="3"/>
      <c r="F30" s="3"/>
      <c r="G30" s="3"/>
      <c r="H30" s="3"/>
    </row>
    <row r="31" spans="1:8" x14ac:dyDescent="0.25">
      <c r="A31" s="8" t="s">
        <v>65</v>
      </c>
      <c r="B31" s="8" t="s">
        <v>211</v>
      </c>
      <c r="C31" s="8"/>
      <c r="D31" s="3"/>
      <c r="E31" s="3"/>
      <c r="F31" s="3"/>
      <c r="G31" s="3"/>
      <c r="H31" s="3"/>
    </row>
    <row r="32" spans="1:8" x14ac:dyDescent="0.25">
      <c r="A32" s="8" t="s">
        <v>65</v>
      </c>
      <c r="B32" s="8" t="s">
        <v>212</v>
      </c>
      <c r="C32" s="8"/>
      <c r="D32" s="3"/>
      <c r="E32" s="3"/>
      <c r="F32" s="3"/>
    </row>
    <row r="33" spans="1:8" x14ac:dyDescent="0.25">
      <c r="A33" s="8" t="s">
        <v>65</v>
      </c>
      <c r="B33" s="8" t="s">
        <v>9</v>
      </c>
      <c r="C33" s="8">
        <v>18.46</v>
      </c>
      <c r="D33" s="3"/>
      <c r="E33" s="3"/>
      <c r="F33" s="3"/>
    </row>
    <row r="34" spans="1:8" x14ac:dyDescent="0.25">
      <c r="A34" s="8" t="s">
        <v>64</v>
      </c>
      <c r="B34" s="8" t="s">
        <v>206</v>
      </c>
      <c r="C34" s="8"/>
      <c r="D34" s="3"/>
      <c r="E34" s="3"/>
      <c r="F34" s="3"/>
    </row>
    <row r="35" spans="1:8" x14ac:dyDescent="0.25">
      <c r="A35" s="8" t="s">
        <v>64</v>
      </c>
      <c r="B35" s="8" t="s">
        <v>207</v>
      </c>
      <c r="C35" s="8"/>
      <c r="D35" s="3"/>
      <c r="E35" s="3"/>
      <c r="F35" s="3"/>
    </row>
    <row r="36" spans="1:8" x14ac:dyDescent="0.25">
      <c r="A36" s="8" t="s">
        <v>64</v>
      </c>
      <c r="B36" s="8" t="s">
        <v>208</v>
      </c>
      <c r="C36" s="8"/>
      <c r="D36" s="3"/>
      <c r="E36" s="3"/>
      <c r="F36" s="3"/>
    </row>
    <row r="37" spans="1:8" x14ac:dyDescent="0.25">
      <c r="A37" s="8" t="s">
        <v>64</v>
      </c>
      <c r="B37" s="8" t="s">
        <v>209</v>
      </c>
      <c r="C37" s="8"/>
      <c r="D37" s="3"/>
      <c r="E37" s="3"/>
      <c r="F37" s="3"/>
      <c r="G37" s="3"/>
      <c r="H37" s="3"/>
    </row>
    <row r="38" spans="1:8" x14ac:dyDescent="0.25">
      <c r="A38" s="8" t="s">
        <v>64</v>
      </c>
      <c r="B38" s="8" t="s">
        <v>210</v>
      </c>
      <c r="C38" s="8"/>
      <c r="D38" s="2"/>
      <c r="E38" s="2"/>
      <c r="F38" s="2"/>
      <c r="G38" s="2"/>
      <c r="H38" s="3"/>
    </row>
    <row r="39" spans="1:8" x14ac:dyDescent="0.25">
      <c r="A39" s="8" t="s">
        <v>64</v>
      </c>
      <c r="B39" s="8" t="s">
        <v>211</v>
      </c>
      <c r="C39" s="8"/>
      <c r="D39" s="3"/>
      <c r="E39" s="3"/>
      <c r="F39" s="3"/>
    </row>
    <row r="40" spans="1:8" x14ac:dyDescent="0.25">
      <c r="A40" s="8" t="s">
        <v>64</v>
      </c>
      <c r="B40" s="8" t="s">
        <v>212</v>
      </c>
      <c r="C40" s="8"/>
      <c r="D40" s="3"/>
      <c r="E40" s="3"/>
      <c r="F40" s="3"/>
    </row>
    <row r="41" spans="1:8" x14ac:dyDescent="0.25">
      <c r="A41" s="8" t="s">
        <v>64</v>
      </c>
      <c r="B41" s="8" t="s">
        <v>9</v>
      </c>
      <c r="C41" s="8"/>
      <c r="D41" s="3"/>
      <c r="E41" s="3"/>
      <c r="F41" s="3"/>
    </row>
    <row r="42" spans="1:8" x14ac:dyDescent="0.25">
      <c r="A42" s="8" t="s">
        <v>63</v>
      </c>
      <c r="B42" s="8" t="s">
        <v>206</v>
      </c>
      <c r="C42" s="8">
        <v>41.48</v>
      </c>
      <c r="D42" s="3"/>
      <c r="E42" s="3"/>
      <c r="F42" s="3"/>
    </row>
    <row r="43" spans="1:8" x14ac:dyDescent="0.25">
      <c r="A43" s="8" t="s">
        <v>63</v>
      </c>
      <c r="B43" s="8" t="s">
        <v>207</v>
      </c>
      <c r="C43" s="8">
        <v>45.62</v>
      </c>
      <c r="D43" s="3"/>
      <c r="E43" s="3"/>
      <c r="F43" s="3"/>
    </row>
    <row r="44" spans="1:8" x14ac:dyDescent="0.25">
      <c r="A44" s="8" t="s">
        <v>63</v>
      </c>
      <c r="B44" s="8" t="s">
        <v>208</v>
      </c>
      <c r="C44" s="8">
        <v>82.87</v>
      </c>
      <c r="D44" s="3"/>
      <c r="E44" s="3"/>
      <c r="F44" s="3"/>
      <c r="G44" s="3"/>
      <c r="H44" s="3"/>
    </row>
    <row r="45" spans="1:8" x14ac:dyDescent="0.25">
      <c r="A45" s="8" t="s">
        <v>63</v>
      </c>
      <c r="B45" s="8" t="s">
        <v>209</v>
      </c>
      <c r="C45" s="8">
        <v>76.37</v>
      </c>
      <c r="D45" s="2"/>
      <c r="E45" s="2"/>
      <c r="F45" s="2"/>
      <c r="G45" s="2"/>
      <c r="H45" s="2"/>
    </row>
    <row r="46" spans="1:8" x14ac:dyDescent="0.25">
      <c r="A46" s="8" t="s">
        <v>63</v>
      </c>
      <c r="B46" s="8" t="s">
        <v>210</v>
      </c>
      <c r="C46" s="8">
        <v>18.86</v>
      </c>
      <c r="D46" s="3"/>
      <c r="E46" s="3"/>
      <c r="F46" s="3"/>
    </row>
    <row r="47" spans="1:8" x14ac:dyDescent="0.25">
      <c r="A47" s="8" t="s">
        <v>63</v>
      </c>
      <c r="B47" s="8" t="s">
        <v>211</v>
      </c>
      <c r="C47" s="8">
        <v>23.15</v>
      </c>
      <c r="D47" s="3"/>
      <c r="E47" s="3"/>
      <c r="F47" s="3"/>
    </row>
    <row r="48" spans="1:8" x14ac:dyDescent="0.25">
      <c r="A48" s="8" t="s">
        <v>63</v>
      </c>
      <c r="B48" s="8" t="s">
        <v>212</v>
      </c>
      <c r="C48" s="8"/>
      <c r="D48" s="3"/>
      <c r="E48" s="3"/>
      <c r="F48" s="3"/>
    </row>
    <row r="49" spans="1:8" x14ac:dyDescent="0.25">
      <c r="A49" s="8" t="s">
        <v>63</v>
      </c>
      <c r="B49" s="8" t="s">
        <v>9</v>
      </c>
      <c r="C49" s="8">
        <v>18.98</v>
      </c>
      <c r="D49" s="3"/>
      <c r="E49" s="3"/>
      <c r="F49" s="3"/>
    </row>
    <row r="50" spans="1:8" x14ac:dyDescent="0.25">
      <c r="A50" s="8" t="s">
        <v>62</v>
      </c>
      <c r="B50" s="8" t="s">
        <v>206</v>
      </c>
      <c r="C50" s="8">
        <v>44.71</v>
      </c>
      <c r="D50" s="3"/>
      <c r="E50" s="3"/>
      <c r="F50" s="3"/>
    </row>
    <row r="51" spans="1:8" x14ac:dyDescent="0.25">
      <c r="A51" s="8" t="s">
        <v>62</v>
      </c>
      <c r="B51" s="8" t="s">
        <v>207</v>
      </c>
      <c r="C51" s="8">
        <v>42.42</v>
      </c>
      <c r="D51" s="3"/>
      <c r="E51" s="3"/>
      <c r="F51" s="3"/>
      <c r="G51" s="3"/>
      <c r="H51" s="3"/>
    </row>
    <row r="52" spans="1:8" x14ac:dyDescent="0.25">
      <c r="A52" s="8" t="s">
        <v>62</v>
      </c>
      <c r="B52" s="8" t="s">
        <v>208</v>
      </c>
      <c r="C52" s="8">
        <v>112.11</v>
      </c>
      <c r="D52" s="2"/>
      <c r="E52" s="2"/>
      <c r="F52" s="2"/>
      <c r="G52" s="2"/>
      <c r="H52" s="2"/>
    </row>
    <row r="53" spans="1:8" x14ac:dyDescent="0.25">
      <c r="A53" s="8" t="s">
        <v>62</v>
      </c>
      <c r="B53" s="8" t="s">
        <v>209</v>
      </c>
      <c r="C53" s="8">
        <v>85.63</v>
      </c>
      <c r="D53" s="3"/>
      <c r="E53" s="3"/>
      <c r="F53" s="3"/>
    </row>
    <row r="54" spans="1:8" x14ac:dyDescent="0.25">
      <c r="A54" s="8" t="s">
        <v>62</v>
      </c>
      <c r="B54" s="8" t="s">
        <v>210</v>
      </c>
      <c r="C54" s="8">
        <v>21.5</v>
      </c>
      <c r="D54" s="3"/>
      <c r="E54" s="3"/>
      <c r="F54" s="3"/>
    </row>
    <row r="55" spans="1:8" x14ac:dyDescent="0.25">
      <c r="A55" s="8" t="s">
        <v>62</v>
      </c>
      <c r="B55" s="8" t="s">
        <v>211</v>
      </c>
      <c r="C55" s="8">
        <v>16.37</v>
      </c>
      <c r="D55" s="3"/>
      <c r="E55" s="3"/>
      <c r="F55" s="3"/>
    </row>
    <row r="56" spans="1:8" x14ac:dyDescent="0.25">
      <c r="A56" s="8" t="s">
        <v>62</v>
      </c>
      <c r="B56" s="8" t="s">
        <v>212</v>
      </c>
      <c r="C56" s="8"/>
      <c r="D56" s="3"/>
      <c r="E56" s="3"/>
      <c r="F56" s="3"/>
    </row>
    <row r="57" spans="1:8" x14ac:dyDescent="0.25">
      <c r="A57" s="8" t="s">
        <v>62</v>
      </c>
      <c r="B57" s="8" t="s">
        <v>9</v>
      </c>
      <c r="C57" s="8">
        <v>24.32</v>
      </c>
      <c r="D57" s="3"/>
      <c r="E57" s="3"/>
      <c r="F57" s="3"/>
    </row>
    <row r="58" spans="1:8" x14ac:dyDescent="0.25">
      <c r="A58" s="8" t="s">
        <v>61</v>
      </c>
      <c r="B58" s="8" t="s">
        <v>206</v>
      </c>
      <c r="C58" s="8">
        <v>27.05</v>
      </c>
      <c r="D58" s="3"/>
      <c r="E58" s="3"/>
      <c r="F58" s="3"/>
      <c r="G58" s="3"/>
      <c r="H58" s="3"/>
    </row>
    <row r="59" spans="1:8" x14ac:dyDescent="0.25">
      <c r="A59" s="8" t="s">
        <v>61</v>
      </c>
      <c r="B59" s="8" t="s">
        <v>207</v>
      </c>
      <c r="C59" s="8">
        <v>35.08</v>
      </c>
      <c r="D59" s="2"/>
      <c r="E59" s="2"/>
      <c r="F59" s="2"/>
      <c r="G59" s="2"/>
      <c r="H59" s="2"/>
    </row>
    <row r="60" spans="1:8" x14ac:dyDescent="0.25">
      <c r="A60" s="8" t="s">
        <v>61</v>
      </c>
      <c r="B60" s="8" t="s">
        <v>208</v>
      </c>
      <c r="C60" s="8">
        <v>88.22</v>
      </c>
      <c r="D60" s="3"/>
      <c r="E60" s="3"/>
      <c r="F60" s="3"/>
    </row>
    <row r="61" spans="1:8" x14ac:dyDescent="0.25">
      <c r="A61" s="8" t="s">
        <v>61</v>
      </c>
      <c r="B61" s="8" t="s">
        <v>209</v>
      </c>
      <c r="C61" s="8">
        <v>62.86</v>
      </c>
      <c r="D61" s="3"/>
      <c r="E61" s="3"/>
      <c r="F61" s="3"/>
    </row>
    <row r="62" spans="1:8" x14ac:dyDescent="0.25">
      <c r="A62" s="8" t="s">
        <v>61</v>
      </c>
      <c r="B62" s="8" t="s">
        <v>210</v>
      </c>
      <c r="C62" s="8">
        <v>18.97</v>
      </c>
      <c r="D62" s="3"/>
      <c r="E62" s="3"/>
      <c r="F62" s="3"/>
    </row>
    <row r="63" spans="1:8" x14ac:dyDescent="0.25">
      <c r="A63" s="8" t="s">
        <v>61</v>
      </c>
      <c r="B63" s="8" t="s">
        <v>211</v>
      </c>
      <c r="C63" s="8"/>
      <c r="D63" s="3"/>
      <c r="E63" s="3"/>
      <c r="F63" s="3"/>
    </row>
    <row r="64" spans="1:8" x14ac:dyDescent="0.25">
      <c r="A64" s="8" t="s">
        <v>61</v>
      </c>
      <c r="B64" s="8" t="s">
        <v>212</v>
      </c>
      <c r="C64" s="8"/>
      <c r="D64" s="3"/>
      <c r="E64" s="3"/>
      <c r="F64" s="3"/>
    </row>
    <row r="65" spans="1:8" x14ac:dyDescent="0.25">
      <c r="A65" s="8" t="s">
        <v>61</v>
      </c>
      <c r="B65" s="8" t="s">
        <v>9</v>
      </c>
      <c r="C65" s="8">
        <v>12.25</v>
      </c>
      <c r="D65" s="3"/>
      <c r="E65" s="3"/>
      <c r="F65" s="3"/>
      <c r="G65" s="3"/>
      <c r="H65" s="3"/>
    </row>
    <row r="66" spans="1:8" x14ac:dyDescent="0.25">
      <c r="A66" s="8" t="s">
        <v>60</v>
      </c>
      <c r="B66" s="8" t="s">
        <v>206</v>
      </c>
      <c r="C66" s="8">
        <v>24.48</v>
      </c>
      <c r="D66" s="2"/>
      <c r="E66" s="2"/>
      <c r="F66" s="2"/>
      <c r="G66" s="2"/>
      <c r="H66" s="2"/>
    </row>
    <row r="67" spans="1:8" x14ac:dyDescent="0.25">
      <c r="A67" s="8" t="s">
        <v>60</v>
      </c>
      <c r="B67" s="8" t="s">
        <v>207</v>
      </c>
      <c r="C67" s="8">
        <v>24.93</v>
      </c>
      <c r="D67" s="3"/>
      <c r="E67" s="3"/>
      <c r="F67" s="3"/>
    </row>
    <row r="68" spans="1:8" x14ac:dyDescent="0.25">
      <c r="A68" s="8" t="s">
        <v>60</v>
      </c>
      <c r="B68" s="8" t="s">
        <v>208</v>
      </c>
      <c r="C68" s="8">
        <v>73.290000000000006</v>
      </c>
      <c r="D68" s="3"/>
      <c r="E68" s="3"/>
      <c r="F68" s="3"/>
    </row>
    <row r="69" spans="1:8" x14ac:dyDescent="0.25">
      <c r="A69" s="8" t="s">
        <v>60</v>
      </c>
      <c r="B69" s="8" t="s">
        <v>209</v>
      </c>
      <c r="C69" s="8">
        <v>31.2</v>
      </c>
      <c r="D69" s="3"/>
      <c r="E69" s="3"/>
      <c r="F69" s="3"/>
    </row>
    <row r="70" spans="1:8" x14ac:dyDescent="0.25">
      <c r="A70" s="8" t="s">
        <v>60</v>
      </c>
      <c r="B70" s="8" t="s">
        <v>210</v>
      </c>
      <c r="C70" s="8">
        <v>20.79</v>
      </c>
      <c r="D70" s="3"/>
      <c r="E70" s="3"/>
      <c r="F70" s="3"/>
    </row>
    <row r="71" spans="1:8" x14ac:dyDescent="0.25">
      <c r="A71" s="8" t="s">
        <v>60</v>
      </c>
      <c r="B71" s="8" t="s">
        <v>211</v>
      </c>
      <c r="C71" s="8">
        <v>27.22</v>
      </c>
      <c r="D71" s="3"/>
      <c r="E71" s="3"/>
      <c r="F71" s="3"/>
    </row>
    <row r="72" spans="1:8" x14ac:dyDescent="0.25">
      <c r="A72" s="8" t="s">
        <v>60</v>
      </c>
      <c r="B72" s="8" t="s">
        <v>212</v>
      </c>
      <c r="C72" s="8">
        <v>37.71</v>
      </c>
      <c r="D72" s="3"/>
      <c r="E72" s="3"/>
      <c r="F72" s="3"/>
      <c r="G72" s="3"/>
      <c r="H72" s="3"/>
    </row>
    <row r="73" spans="1:8" x14ac:dyDescent="0.25">
      <c r="A73" s="8" t="s">
        <v>60</v>
      </c>
      <c r="B73" s="8" t="s">
        <v>9</v>
      </c>
      <c r="C73" s="8">
        <v>12.25</v>
      </c>
      <c r="D73" s="2"/>
      <c r="E73" s="2"/>
      <c r="F73" s="2"/>
      <c r="G73" s="2"/>
      <c r="H73" s="2"/>
    </row>
    <row r="74" spans="1:8" x14ac:dyDescent="0.25">
      <c r="A74" s="8" t="s">
        <v>59</v>
      </c>
      <c r="B74" s="8" t="s">
        <v>206</v>
      </c>
      <c r="C74" s="8">
        <v>28.74</v>
      </c>
      <c r="D74" s="3"/>
      <c r="E74" s="3"/>
      <c r="F74" s="3"/>
    </row>
    <row r="75" spans="1:8" x14ac:dyDescent="0.25">
      <c r="A75" s="8" t="s">
        <v>59</v>
      </c>
      <c r="B75" s="8" t="s">
        <v>207</v>
      </c>
      <c r="C75" s="8">
        <v>27.51</v>
      </c>
      <c r="D75" s="3"/>
      <c r="E75" s="3"/>
      <c r="F75" s="3"/>
    </row>
    <row r="76" spans="1:8" x14ac:dyDescent="0.25">
      <c r="A76" s="8" t="s">
        <v>59</v>
      </c>
      <c r="B76" s="8" t="s">
        <v>208</v>
      </c>
      <c r="C76" s="8">
        <v>64.41</v>
      </c>
      <c r="D76" s="3"/>
      <c r="E76" s="3"/>
      <c r="F76" s="3"/>
    </row>
    <row r="77" spans="1:8" x14ac:dyDescent="0.25">
      <c r="A77" s="8" t="s">
        <v>59</v>
      </c>
      <c r="B77" s="8" t="s">
        <v>209</v>
      </c>
      <c r="C77" s="8"/>
      <c r="D77" s="3"/>
      <c r="E77" s="3"/>
      <c r="F77" s="3"/>
    </row>
    <row r="78" spans="1:8" x14ac:dyDescent="0.25">
      <c r="A78" s="8" t="s">
        <v>59</v>
      </c>
      <c r="B78" s="8" t="s">
        <v>210</v>
      </c>
      <c r="C78" s="8">
        <v>12.28</v>
      </c>
      <c r="D78" s="3"/>
      <c r="E78" s="3"/>
      <c r="F78" s="3"/>
    </row>
    <row r="79" spans="1:8" x14ac:dyDescent="0.25">
      <c r="A79" s="8" t="s">
        <v>59</v>
      </c>
      <c r="B79" s="8" t="s">
        <v>211</v>
      </c>
      <c r="C79" s="8"/>
      <c r="D79" s="3"/>
      <c r="E79" s="3"/>
      <c r="F79" s="3"/>
      <c r="G79" s="3"/>
      <c r="H79" s="3"/>
    </row>
    <row r="80" spans="1:8" x14ac:dyDescent="0.25">
      <c r="A80" s="8" t="s">
        <v>59</v>
      </c>
      <c r="B80" s="8" t="s">
        <v>212</v>
      </c>
      <c r="C80" s="8"/>
      <c r="D80" s="2"/>
      <c r="E80" s="2"/>
      <c r="F80" s="2"/>
      <c r="G80" s="2"/>
      <c r="H80" s="2"/>
    </row>
    <row r="81" spans="1:8" x14ac:dyDescent="0.25">
      <c r="A81" s="8" t="s">
        <v>59</v>
      </c>
      <c r="B81" s="8" t="s">
        <v>9</v>
      </c>
      <c r="C81" s="8"/>
      <c r="D81" s="3"/>
      <c r="E81" s="3"/>
      <c r="F81" s="3"/>
    </row>
    <row r="82" spans="1:8" x14ac:dyDescent="0.25">
      <c r="A82" s="8" t="s">
        <v>58</v>
      </c>
      <c r="B82" s="8" t="s">
        <v>206</v>
      </c>
      <c r="C82" s="8">
        <v>32.79</v>
      </c>
      <c r="D82" s="3"/>
      <c r="E82" s="3"/>
      <c r="F82" s="3"/>
    </row>
    <row r="83" spans="1:8" x14ac:dyDescent="0.25">
      <c r="A83" s="8" t="s">
        <v>58</v>
      </c>
      <c r="B83" s="8" t="s">
        <v>207</v>
      </c>
      <c r="C83" s="8">
        <v>37.04</v>
      </c>
      <c r="D83" s="3"/>
      <c r="E83" s="3"/>
      <c r="F83" s="3"/>
    </row>
    <row r="84" spans="1:8" x14ac:dyDescent="0.25">
      <c r="A84" s="8" t="s">
        <v>58</v>
      </c>
      <c r="B84" s="8" t="s">
        <v>208</v>
      </c>
      <c r="C84" s="8">
        <v>66.2</v>
      </c>
      <c r="D84" s="3"/>
      <c r="E84" s="3"/>
      <c r="F84" s="3"/>
    </row>
    <row r="85" spans="1:8" x14ac:dyDescent="0.25">
      <c r="A85" s="8" t="s">
        <v>58</v>
      </c>
      <c r="B85" s="8" t="s">
        <v>209</v>
      </c>
      <c r="C85" s="8">
        <v>55.01</v>
      </c>
      <c r="D85" s="3"/>
      <c r="E85" s="3"/>
      <c r="F85" s="3"/>
    </row>
    <row r="86" spans="1:8" x14ac:dyDescent="0.25">
      <c r="A86" s="8" t="s">
        <v>58</v>
      </c>
      <c r="B86" s="8" t="s">
        <v>210</v>
      </c>
      <c r="C86" s="8">
        <v>23.23</v>
      </c>
      <c r="D86" s="3"/>
      <c r="E86" s="3"/>
      <c r="F86" s="3"/>
      <c r="G86" s="3"/>
      <c r="H86" s="3"/>
    </row>
    <row r="87" spans="1:8" x14ac:dyDescent="0.25">
      <c r="A87" s="8" t="s">
        <v>58</v>
      </c>
      <c r="B87" s="8" t="s">
        <v>211</v>
      </c>
      <c r="C87" s="8">
        <v>11.73</v>
      </c>
      <c r="D87" s="3"/>
      <c r="E87" s="3"/>
      <c r="F87" s="3"/>
      <c r="G87" s="3"/>
      <c r="H87" s="3"/>
    </row>
    <row r="88" spans="1:8" x14ac:dyDescent="0.25">
      <c r="A88" s="8" t="s">
        <v>58</v>
      </c>
      <c r="B88" s="8" t="s">
        <v>212</v>
      </c>
      <c r="C88" s="8"/>
      <c r="D88" s="3"/>
      <c r="E88" s="3"/>
      <c r="F88" s="3"/>
    </row>
    <row r="89" spans="1:8" x14ac:dyDescent="0.25">
      <c r="A89" s="8" t="s">
        <v>58</v>
      </c>
      <c r="B89" s="8" t="s">
        <v>9</v>
      </c>
      <c r="C89" s="8">
        <v>24.82</v>
      </c>
      <c r="D89" s="3"/>
      <c r="E89" s="3"/>
      <c r="F89" s="3"/>
    </row>
    <row r="90" spans="1:8" x14ac:dyDescent="0.25">
      <c r="A90" s="8" t="s">
        <v>57</v>
      </c>
      <c r="B90" s="8" t="s">
        <v>206</v>
      </c>
      <c r="C90" s="8">
        <v>27.95</v>
      </c>
      <c r="D90" s="3"/>
      <c r="E90" s="3"/>
      <c r="F90" s="3"/>
    </row>
    <row r="91" spans="1:8" x14ac:dyDescent="0.25">
      <c r="A91" s="8" t="s">
        <v>57</v>
      </c>
      <c r="B91" s="8" t="s">
        <v>207</v>
      </c>
      <c r="C91" s="8">
        <v>34.270000000000003</v>
      </c>
      <c r="D91" s="3"/>
      <c r="E91" s="3"/>
      <c r="F91" s="3"/>
    </row>
    <row r="92" spans="1:8" x14ac:dyDescent="0.25">
      <c r="A92" s="8" t="s">
        <v>57</v>
      </c>
      <c r="B92" s="8" t="s">
        <v>208</v>
      </c>
      <c r="C92" s="8">
        <v>53.93</v>
      </c>
      <c r="D92" s="3"/>
      <c r="E92" s="3"/>
      <c r="F92" s="3"/>
    </row>
    <row r="93" spans="1:8" x14ac:dyDescent="0.25">
      <c r="A93" s="8" t="s">
        <v>57</v>
      </c>
      <c r="B93" s="8" t="s">
        <v>209</v>
      </c>
      <c r="C93" s="8">
        <v>27.56</v>
      </c>
      <c r="D93" s="3"/>
      <c r="E93" s="3"/>
      <c r="F93" s="3"/>
      <c r="G93" s="3"/>
      <c r="H93" s="3"/>
    </row>
    <row r="94" spans="1:8" x14ac:dyDescent="0.25">
      <c r="A94" s="8" t="s">
        <v>57</v>
      </c>
      <c r="B94" s="8" t="s">
        <v>210</v>
      </c>
      <c r="C94" s="8">
        <v>19.420000000000002</v>
      </c>
      <c r="D94" s="2"/>
      <c r="E94" s="2"/>
      <c r="F94" s="2"/>
      <c r="G94" s="2"/>
      <c r="H94" s="2"/>
    </row>
    <row r="95" spans="1:8" x14ac:dyDescent="0.25">
      <c r="A95" s="8" t="s">
        <v>57</v>
      </c>
      <c r="B95" s="8" t="s">
        <v>211</v>
      </c>
      <c r="C95" s="8"/>
      <c r="D95" s="3"/>
      <c r="E95" s="3"/>
      <c r="F95" s="3"/>
    </row>
    <row r="96" spans="1:8" x14ac:dyDescent="0.25">
      <c r="A96" s="8" t="s">
        <v>57</v>
      </c>
      <c r="B96" s="8" t="s">
        <v>212</v>
      </c>
      <c r="C96" s="8"/>
      <c r="D96" s="3"/>
      <c r="E96" s="3"/>
      <c r="F96" s="3"/>
    </row>
    <row r="97" spans="1:8" x14ac:dyDescent="0.25">
      <c r="A97" s="8" t="s">
        <v>57</v>
      </c>
      <c r="B97" s="8" t="s">
        <v>9</v>
      </c>
      <c r="C97" s="8">
        <v>13.24</v>
      </c>
      <c r="D97" s="3"/>
      <c r="E97" s="3"/>
      <c r="F97" s="3"/>
    </row>
    <row r="98" spans="1:8" x14ac:dyDescent="0.25">
      <c r="A98" s="8" t="s">
        <v>56</v>
      </c>
      <c r="B98" s="8" t="s">
        <v>206</v>
      </c>
      <c r="C98" s="8"/>
      <c r="D98" s="3"/>
      <c r="E98" s="3"/>
      <c r="F98" s="3"/>
    </row>
    <row r="99" spans="1:8" x14ac:dyDescent="0.25">
      <c r="A99" s="8" t="s">
        <v>56</v>
      </c>
      <c r="B99" s="8" t="s">
        <v>207</v>
      </c>
      <c r="C99" s="8"/>
      <c r="D99" s="3"/>
      <c r="E99" s="3"/>
      <c r="F99" s="3"/>
    </row>
    <row r="100" spans="1:8" x14ac:dyDescent="0.25">
      <c r="A100" s="8" t="s">
        <v>56</v>
      </c>
      <c r="B100" s="8" t="s">
        <v>208</v>
      </c>
      <c r="C100" s="8"/>
      <c r="D100" s="3"/>
      <c r="E100" s="3"/>
      <c r="F100" s="3"/>
      <c r="G100" s="3"/>
      <c r="H100" s="3"/>
    </row>
    <row r="101" spans="1:8" x14ac:dyDescent="0.25">
      <c r="A101" s="8" t="s">
        <v>56</v>
      </c>
      <c r="B101" s="8" t="s">
        <v>209</v>
      </c>
      <c r="C101" s="8"/>
      <c r="D101" s="2"/>
      <c r="E101" s="2"/>
      <c r="F101" s="2"/>
      <c r="G101" s="2"/>
      <c r="H101" s="2"/>
    </row>
    <row r="102" spans="1:8" x14ac:dyDescent="0.25">
      <c r="A102" s="8" t="s">
        <v>56</v>
      </c>
      <c r="B102" s="8" t="s">
        <v>210</v>
      </c>
      <c r="C102" s="8"/>
    </row>
    <row r="103" spans="1:8" x14ac:dyDescent="0.25">
      <c r="A103" s="8" t="s">
        <v>56</v>
      </c>
      <c r="B103" s="8" t="s">
        <v>211</v>
      </c>
      <c r="C103" s="8"/>
    </row>
    <row r="104" spans="1:8" x14ac:dyDescent="0.25">
      <c r="A104" s="8" t="s">
        <v>56</v>
      </c>
      <c r="B104" s="8" t="s">
        <v>212</v>
      </c>
      <c r="C104" s="8"/>
    </row>
    <row r="105" spans="1:8" x14ac:dyDescent="0.25">
      <c r="A105" s="8" t="s">
        <v>56</v>
      </c>
      <c r="B105" s="8" t="s">
        <v>9</v>
      </c>
      <c r="C105" s="8"/>
    </row>
    <row r="106" spans="1:8" x14ac:dyDescent="0.25">
      <c r="A106" s="8" t="s">
        <v>55</v>
      </c>
      <c r="B106" s="8" t="s">
        <v>206</v>
      </c>
      <c r="C106" s="8">
        <v>34.24</v>
      </c>
    </row>
    <row r="107" spans="1:8" x14ac:dyDescent="0.25">
      <c r="A107" s="8" t="s">
        <v>55</v>
      </c>
      <c r="B107" s="8" t="s">
        <v>207</v>
      </c>
      <c r="C107" s="8">
        <v>50.34</v>
      </c>
    </row>
    <row r="108" spans="1:8" x14ac:dyDescent="0.25">
      <c r="A108" s="8" t="s">
        <v>55</v>
      </c>
      <c r="B108" s="8" t="s">
        <v>208</v>
      </c>
      <c r="C108" s="8">
        <v>82.54</v>
      </c>
    </row>
    <row r="109" spans="1:8" x14ac:dyDescent="0.25">
      <c r="A109" s="8" t="s">
        <v>55</v>
      </c>
      <c r="B109" s="8" t="s">
        <v>209</v>
      </c>
      <c r="C109" s="8">
        <v>84.32</v>
      </c>
    </row>
    <row r="110" spans="1:8" x14ac:dyDescent="0.25">
      <c r="A110" s="8" t="s">
        <v>55</v>
      </c>
      <c r="B110" s="8" t="s">
        <v>210</v>
      </c>
      <c r="C110" s="8">
        <v>24.31</v>
      </c>
    </row>
    <row r="111" spans="1:8" x14ac:dyDescent="0.25">
      <c r="A111" s="8" t="s">
        <v>55</v>
      </c>
      <c r="B111" s="8" t="s">
        <v>211</v>
      </c>
      <c r="C111" s="8">
        <v>18.7</v>
      </c>
    </row>
    <row r="112" spans="1:8" x14ac:dyDescent="0.25">
      <c r="A112" s="8" t="s">
        <v>55</v>
      </c>
      <c r="B112" s="8" t="s">
        <v>212</v>
      </c>
      <c r="C112" s="8"/>
    </row>
    <row r="113" spans="1:3" x14ac:dyDescent="0.25">
      <c r="A113" s="8" t="s">
        <v>55</v>
      </c>
      <c r="B113" s="8" t="s">
        <v>9</v>
      </c>
      <c r="C113" s="8"/>
    </row>
    <row r="114" spans="1:3" x14ac:dyDescent="0.25">
      <c r="A114" s="8" t="s">
        <v>0</v>
      </c>
      <c r="B114" s="8" t="s">
        <v>206</v>
      </c>
      <c r="C114" s="8">
        <v>37.369999999999997</v>
      </c>
    </row>
    <row r="115" spans="1:3" x14ac:dyDescent="0.25">
      <c r="A115" s="8" t="s">
        <v>0</v>
      </c>
      <c r="B115" s="8" t="s">
        <v>207</v>
      </c>
      <c r="C115" s="8">
        <v>52.53</v>
      </c>
    </row>
    <row r="116" spans="1:3" x14ac:dyDescent="0.25">
      <c r="A116" s="8" t="s">
        <v>0</v>
      </c>
      <c r="B116" s="8" t="s">
        <v>208</v>
      </c>
      <c r="C116" s="8">
        <v>95.42</v>
      </c>
    </row>
    <row r="117" spans="1:3" x14ac:dyDescent="0.25">
      <c r="A117" s="8" t="s">
        <v>0</v>
      </c>
      <c r="B117" s="8" t="s">
        <v>209</v>
      </c>
      <c r="C117" s="8">
        <v>46.5</v>
      </c>
    </row>
    <row r="118" spans="1:3" x14ac:dyDescent="0.25">
      <c r="A118" s="8" t="s">
        <v>0</v>
      </c>
      <c r="B118" s="8" t="s">
        <v>210</v>
      </c>
      <c r="C118" s="8">
        <v>18.760000000000002</v>
      </c>
    </row>
    <row r="119" spans="1:3" x14ac:dyDescent="0.25">
      <c r="A119" s="8" t="s">
        <v>0</v>
      </c>
      <c r="B119" s="8" t="s">
        <v>211</v>
      </c>
      <c r="C119" s="8"/>
    </row>
    <row r="120" spans="1:3" x14ac:dyDescent="0.25">
      <c r="A120" s="8" t="s">
        <v>0</v>
      </c>
      <c r="B120" s="8" t="s">
        <v>212</v>
      </c>
      <c r="C120" s="8"/>
    </row>
    <row r="121" spans="1:3" x14ac:dyDescent="0.25">
      <c r="A121" s="8" t="s">
        <v>0</v>
      </c>
      <c r="B121" s="8" t="s">
        <v>9</v>
      </c>
      <c r="C121" s="8">
        <v>16.32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715BF-B283-4E16-98F1-EE527C0791D1}">
  <sheetPr codeName="Лист12">
    <tabColor rgb="FF92D050"/>
  </sheetPr>
  <dimension ref="A1:G19"/>
  <sheetViews>
    <sheetView workbookViewId="0">
      <selection activeCell="G1" sqref="G1"/>
    </sheetView>
  </sheetViews>
  <sheetFormatPr defaultColWidth="8.85546875" defaultRowHeight="15" x14ac:dyDescent="0.25"/>
  <cols>
    <col min="1" max="1" width="26.140625" customWidth="1"/>
    <col min="2" max="2" width="42.42578125" customWidth="1"/>
    <col min="3" max="3" width="41.140625" customWidth="1"/>
    <col min="4" max="4" width="22.42578125" customWidth="1"/>
    <col min="5" max="5" width="42.42578125" customWidth="1"/>
    <col min="6" max="6" width="37.140625" customWidth="1"/>
  </cols>
  <sheetData>
    <row r="1" spans="1:7" x14ac:dyDescent="0.25">
      <c r="A1" t="s">
        <v>69</v>
      </c>
      <c r="B1" t="s">
        <v>213</v>
      </c>
      <c r="C1" t="s">
        <v>214</v>
      </c>
      <c r="D1" s="34" t="s">
        <v>18</v>
      </c>
      <c r="E1" s="34" t="s">
        <v>215</v>
      </c>
      <c r="F1" s="34" t="s">
        <v>70</v>
      </c>
      <c r="G1" s="34" t="s">
        <v>95</v>
      </c>
    </row>
    <row r="2" spans="1:7" x14ac:dyDescent="0.25">
      <c r="A2" t="s">
        <v>68</v>
      </c>
      <c r="B2" s="37">
        <v>8000000</v>
      </c>
      <c r="C2" s="37">
        <f>IFERROR(B2*0.76,"")</f>
        <v>6080000</v>
      </c>
      <c r="D2">
        <v>13</v>
      </c>
      <c r="E2" s="38">
        <f>C2/D2</f>
        <v>467692.30769230769</v>
      </c>
      <c r="F2" t="s">
        <v>19</v>
      </c>
      <c r="G2">
        <v>0.1</v>
      </c>
    </row>
    <row r="3" spans="1:7" x14ac:dyDescent="0.25">
      <c r="A3" t="s">
        <v>67</v>
      </c>
      <c r="B3" s="37">
        <v>2000000</v>
      </c>
      <c r="C3" s="37">
        <f t="shared" ref="C3:C16" si="0">IFERROR(B3*0.76,"")</f>
        <v>1520000</v>
      </c>
      <c r="D3">
        <v>5</v>
      </c>
      <c r="E3" s="38">
        <f t="shared" ref="E3:E12" si="1">C3/D3</f>
        <v>304000</v>
      </c>
      <c r="F3" t="s">
        <v>20</v>
      </c>
      <c r="G3">
        <v>0.4</v>
      </c>
    </row>
    <row r="4" spans="1:7" x14ac:dyDescent="0.25">
      <c r="A4" t="s">
        <v>66</v>
      </c>
      <c r="B4" s="37">
        <v>150000</v>
      </c>
      <c r="C4" s="37">
        <f t="shared" si="0"/>
        <v>114000</v>
      </c>
      <c r="D4">
        <v>1</v>
      </c>
      <c r="E4" s="38">
        <f t="shared" si="1"/>
        <v>114000</v>
      </c>
      <c r="F4" t="s">
        <v>21</v>
      </c>
      <c r="G4">
        <v>0.03</v>
      </c>
    </row>
    <row r="5" spans="1:7" x14ac:dyDescent="0.25">
      <c r="A5" t="s">
        <v>65</v>
      </c>
      <c r="B5" s="37"/>
      <c r="C5" s="37">
        <f t="shared" si="0"/>
        <v>0</v>
      </c>
      <c r="E5" s="38"/>
      <c r="F5" t="s">
        <v>22</v>
      </c>
      <c r="G5">
        <v>0.4</v>
      </c>
    </row>
    <row r="6" spans="1:7" x14ac:dyDescent="0.25">
      <c r="A6" t="s">
        <v>64</v>
      </c>
      <c r="B6" s="37"/>
      <c r="C6" s="37">
        <f t="shared" si="0"/>
        <v>0</v>
      </c>
      <c r="E6" s="38"/>
      <c r="F6" t="s">
        <v>23</v>
      </c>
      <c r="G6">
        <v>0.4</v>
      </c>
    </row>
    <row r="7" spans="1:7" x14ac:dyDescent="0.25">
      <c r="A7" t="s">
        <v>63</v>
      </c>
      <c r="B7" s="37">
        <v>130000</v>
      </c>
      <c r="C7" s="37">
        <f t="shared" si="0"/>
        <v>98800</v>
      </c>
      <c r="D7">
        <v>1</v>
      </c>
      <c r="E7" s="38">
        <f t="shared" si="1"/>
        <v>98800</v>
      </c>
    </row>
    <row r="8" spans="1:7" x14ac:dyDescent="0.25">
      <c r="A8" t="s">
        <v>62</v>
      </c>
      <c r="B8" s="37">
        <v>231000</v>
      </c>
      <c r="C8" s="37">
        <f t="shared" si="0"/>
        <v>175560</v>
      </c>
      <c r="D8">
        <v>2</v>
      </c>
      <c r="E8" s="38">
        <f t="shared" si="1"/>
        <v>87780</v>
      </c>
    </row>
    <row r="9" spans="1:7" x14ac:dyDescent="0.25">
      <c r="A9" t="s">
        <v>61</v>
      </c>
      <c r="B9" s="37"/>
      <c r="C9" s="37">
        <f t="shared" si="0"/>
        <v>0</v>
      </c>
      <c r="E9" s="38"/>
    </row>
    <row r="10" spans="1:7" x14ac:dyDescent="0.25">
      <c r="A10" t="s">
        <v>60</v>
      </c>
      <c r="B10" s="37"/>
      <c r="C10" s="37">
        <f t="shared" si="0"/>
        <v>0</v>
      </c>
      <c r="E10" s="38"/>
    </row>
    <row r="11" spans="1:7" x14ac:dyDescent="0.25">
      <c r="A11" t="s">
        <v>59</v>
      </c>
      <c r="B11" s="37"/>
      <c r="C11" s="37">
        <f t="shared" si="0"/>
        <v>0</v>
      </c>
      <c r="E11" s="38"/>
    </row>
    <row r="12" spans="1:7" x14ac:dyDescent="0.25">
      <c r="A12" t="s">
        <v>58</v>
      </c>
      <c r="B12" s="37">
        <v>83000</v>
      </c>
      <c r="C12" s="37">
        <f t="shared" si="0"/>
        <v>63080</v>
      </c>
      <c r="D12">
        <v>2</v>
      </c>
      <c r="E12" s="38">
        <f t="shared" si="1"/>
        <v>31540</v>
      </c>
    </row>
    <row r="13" spans="1:7" x14ac:dyDescent="0.25">
      <c r="A13" t="s">
        <v>57</v>
      </c>
      <c r="B13" s="37"/>
      <c r="C13" s="37">
        <f t="shared" si="0"/>
        <v>0</v>
      </c>
      <c r="E13" s="38"/>
    </row>
    <row r="14" spans="1:7" x14ac:dyDescent="0.25">
      <c r="A14" t="s">
        <v>56</v>
      </c>
      <c r="B14" s="37"/>
      <c r="C14" s="37">
        <f t="shared" si="0"/>
        <v>0</v>
      </c>
      <c r="E14" s="38"/>
    </row>
    <row r="15" spans="1:7" x14ac:dyDescent="0.25">
      <c r="A15" t="s">
        <v>55</v>
      </c>
      <c r="B15" s="37"/>
      <c r="C15" s="37">
        <f t="shared" si="0"/>
        <v>0</v>
      </c>
      <c r="E15" s="38"/>
    </row>
    <row r="16" spans="1:7" x14ac:dyDescent="0.25">
      <c r="A16" t="s">
        <v>0</v>
      </c>
      <c r="B16" s="37"/>
      <c r="C16" s="37">
        <f t="shared" si="0"/>
        <v>0</v>
      </c>
      <c r="E16" s="38"/>
    </row>
    <row r="19" spans="1:1" x14ac:dyDescent="0.25">
      <c r="A19" t="s">
        <v>146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F2812-542D-41EF-A914-32A8866351D4}">
  <sheetPr codeName="Лист13">
    <tabColor rgb="FF92D050"/>
  </sheetPr>
  <dimension ref="A1:G639"/>
  <sheetViews>
    <sheetView workbookViewId="0">
      <selection activeCell="G1" sqref="G1"/>
    </sheetView>
  </sheetViews>
  <sheetFormatPr defaultColWidth="8.85546875" defaultRowHeight="15" x14ac:dyDescent="0.25"/>
  <cols>
    <col min="1" max="1" width="14.42578125" customWidth="1"/>
    <col min="2" max="2" width="20.85546875" customWidth="1"/>
  </cols>
  <sheetData>
    <row r="1" spans="1:7" x14ac:dyDescent="0.25">
      <c r="A1" t="s">
        <v>69</v>
      </c>
      <c r="B1" t="s">
        <v>216</v>
      </c>
      <c r="C1" t="s">
        <v>74</v>
      </c>
      <c r="G1" t="s">
        <v>75</v>
      </c>
    </row>
    <row r="2" spans="1:7" x14ac:dyDescent="0.25">
      <c r="A2" t="s">
        <v>68</v>
      </c>
      <c r="B2" t="s">
        <v>94</v>
      </c>
      <c r="C2">
        <v>213.84285714285716</v>
      </c>
    </row>
    <row r="3" spans="1:7" x14ac:dyDescent="0.25">
      <c r="A3" t="s">
        <v>68</v>
      </c>
      <c r="B3" t="s">
        <v>88</v>
      </c>
      <c r="C3">
        <v>221.9</v>
      </c>
    </row>
    <row r="4" spans="1:7" x14ac:dyDescent="0.25">
      <c r="A4" t="s">
        <v>68</v>
      </c>
      <c r="B4" t="s">
        <v>217</v>
      </c>
      <c r="C4">
        <v>131.65714285714287</v>
      </c>
    </row>
    <row r="5" spans="1:7" x14ac:dyDescent="0.25">
      <c r="A5" t="s">
        <v>68</v>
      </c>
      <c r="B5" t="s">
        <v>87</v>
      </c>
      <c r="C5">
        <v>137.32857142857142</v>
      </c>
    </row>
    <row r="6" spans="1:7" x14ac:dyDescent="0.25">
      <c r="A6" t="s">
        <v>68</v>
      </c>
      <c r="B6" t="s">
        <v>218</v>
      </c>
      <c r="C6">
        <v>169.47142857142856</v>
      </c>
    </row>
    <row r="7" spans="1:7" x14ac:dyDescent="0.25">
      <c r="A7" t="s">
        <v>68</v>
      </c>
      <c r="B7" t="s">
        <v>219</v>
      </c>
      <c r="C7">
        <v>166.70000000000002</v>
      </c>
    </row>
    <row r="8" spans="1:7" x14ac:dyDescent="0.25">
      <c r="A8" t="s">
        <v>68</v>
      </c>
      <c r="B8" t="s">
        <v>90</v>
      </c>
      <c r="C8">
        <v>222.78571428571428</v>
      </c>
    </row>
    <row r="9" spans="1:7" x14ac:dyDescent="0.25">
      <c r="A9" t="s">
        <v>68</v>
      </c>
      <c r="B9" t="s">
        <v>220</v>
      </c>
      <c r="C9">
        <v>156.01428571428571</v>
      </c>
    </row>
    <row r="10" spans="1:7" x14ac:dyDescent="0.25">
      <c r="A10" t="s">
        <v>68</v>
      </c>
      <c r="B10" t="s">
        <v>221</v>
      </c>
      <c r="C10">
        <v>0</v>
      </c>
    </row>
    <row r="11" spans="1:7" x14ac:dyDescent="0.25">
      <c r="A11" t="s">
        <v>68</v>
      </c>
      <c r="B11" t="s">
        <v>92</v>
      </c>
      <c r="C11">
        <v>54.74285714285714</v>
      </c>
    </row>
    <row r="12" spans="1:7" x14ac:dyDescent="0.25">
      <c r="A12" t="s">
        <v>68</v>
      </c>
      <c r="B12" t="s">
        <v>86</v>
      </c>
      <c r="C12">
        <v>397.21428571428572</v>
      </c>
    </row>
    <row r="13" spans="1:7" x14ac:dyDescent="0.25">
      <c r="A13" t="s">
        <v>68</v>
      </c>
      <c r="B13" t="s">
        <v>222</v>
      </c>
      <c r="C13">
        <v>0</v>
      </c>
    </row>
    <row r="14" spans="1:7" x14ac:dyDescent="0.25">
      <c r="A14" t="s">
        <v>68</v>
      </c>
      <c r="B14" t="s">
        <v>223</v>
      </c>
      <c r="C14">
        <v>274.08571428571429</v>
      </c>
    </row>
    <row r="15" spans="1:7" x14ac:dyDescent="0.25">
      <c r="A15" t="s">
        <v>68</v>
      </c>
      <c r="B15" t="s">
        <v>224</v>
      </c>
      <c r="C15">
        <v>69.028571428571425</v>
      </c>
    </row>
    <row r="16" spans="1:7" x14ac:dyDescent="0.25">
      <c r="A16" t="s">
        <v>68</v>
      </c>
      <c r="B16" t="s">
        <v>225</v>
      </c>
      <c r="C16">
        <v>124.17142857142858</v>
      </c>
    </row>
    <row r="17" spans="1:3" x14ac:dyDescent="0.25">
      <c r="A17" t="s">
        <v>68</v>
      </c>
      <c r="B17" t="s">
        <v>226</v>
      </c>
      <c r="C17">
        <v>131.78571428571428</v>
      </c>
    </row>
    <row r="18" spans="1:3" x14ac:dyDescent="0.25">
      <c r="A18" t="s">
        <v>68</v>
      </c>
      <c r="B18" t="s">
        <v>227</v>
      </c>
      <c r="C18">
        <v>332.5</v>
      </c>
    </row>
    <row r="19" spans="1:3" x14ac:dyDescent="0.25">
      <c r="A19" t="s">
        <v>68</v>
      </c>
      <c r="B19" t="s">
        <v>228</v>
      </c>
      <c r="C19">
        <v>0</v>
      </c>
    </row>
    <row r="20" spans="1:3" x14ac:dyDescent="0.25">
      <c r="A20" t="s">
        <v>68</v>
      </c>
      <c r="B20" t="s">
        <v>229</v>
      </c>
      <c r="C20">
        <v>496.42857142857144</v>
      </c>
    </row>
    <row r="21" spans="1:3" x14ac:dyDescent="0.25">
      <c r="A21" t="s">
        <v>68</v>
      </c>
      <c r="B21" t="s">
        <v>93</v>
      </c>
      <c r="C21">
        <v>316.98571428571432</v>
      </c>
    </row>
    <row r="22" spans="1:3" x14ac:dyDescent="0.25">
      <c r="A22" t="s">
        <v>68</v>
      </c>
      <c r="B22" t="s">
        <v>230</v>
      </c>
      <c r="C22">
        <v>0</v>
      </c>
    </row>
    <row r="23" spans="1:3" x14ac:dyDescent="0.25">
      <c r="A23" t="s">
        <v>68</v>
      </c>
      <c r="B23" t="s">
        <v>231</v>
      </c>
      <c r="C23">
        <v>130.47142857142856</v>
      </c>
    </row>
    <row r="24" spans="1:3" x14ac:dyDescent="0.25">
      <c r="A24" t="s">
        <v>68</v>
      </c>
      <c r="B24" t="s">
        <v>232</v>
      </c>
      <c r="C24">
        <v>195.32857142857142</v>
      </c>
    </row>
    <row r="25" spans="1:3" x14ac:dyDescent="0.25">
      <c r="A25" t="s">
        <v>68</v>
      </c>
      <c r="B25" t="s">
        <v>233</v>
      </c>
      <c r="C25">
        <v>119.94285714285715</v>
      </c>
    </row>
    <row r="26" spans="1:3" x14ac:dyDescent="0.25">
      <c r="A26" t="s">
        <v>68</v>
      </c>
      <c r="B26" t="s">
        <v>234</v>
      </c>
      <c r="C26">
        <v>228.28571428571428</v>
      </c>
    </row>
    <row r="27" spans="1:3" x14ac:dyDescent="0.25">
      <c r="A27" t="s">
        <v>68</v>
      </c>
      <c r="B27" t="s">
        <v>235</v>
      </c>
      <c r="C27">
        <v>100.58571428571429</v>
      </c>
    </row>
    <row r="28" spans="1:3" x14ac:dyDescent="0.25">
      <c r="A28" t="s">
        <v>68</v>
      </c>
      <c r="B28" t="s">
        <v>236</v>
      </c>
      <c r="C28">
        <v>91.01428571428572</v>
      </c>
    </row>
    <row r="29" spans="1:3" x14ac:dyDescent="0.25">
      <c r="A29" t="s">
        <v>68</v>
      </c>
      <c r="B29" t="s">
        <v>237</v>
      </c>
      <c r="C29">
        <v>0</v>
      </c>
    </row>
    <row r="30" spans="1:3" x14ac:dyDescent="0.25">
      <c r="A30" t="s">
        <v>68</v>
      </c>
      <c r="B30" t="s">
        <v>238</v>
      </c>
      <c r="C30">
        <v>0</v>
      </c>
    </row>
    <row r="31" spans="1:3" x14ac:dyDescent="0.25">
      <c r="A31" t="s">
        <v>68</v>
      </c>
      <c r="B31" t="s">
        <v>239</v>
      </c>
      <c r="C31">
        <v>211.98571428571429</v>
      </c>
    </row>
    <row r="32" spans="1:3" x14ac:dyDescent="0.25">
      <c r="A32" t="s">
        <v>68</v>
      </c>
      <c r="B32" t="s">
        <v>91</v>
      </c>
      <c r="C32">
        <v>246.85714285714286</v>
      </c>
    </row>
    <row r="33" spans="1:3" x14ac:dyDescent="0.25">
      <c r="A33" t="s">
        <v>68</v>
      </c>
      <c r="B33" t="s">
        <v>240</v>
      </c>
      <c r="C33">
        <v>124.42857142857143</v>
      </c>
    </row>
    <row r="34" spans="1:3" x14ac:dyDescent="0.25">
      <c r="A34" t="s">
        <v>68</v>
      </c>
      <c r="B34" t="s">
        <v>241</v>
      </c>
      <c r="C34">
        <v>0</v>
      </c>
    </row>
    <row r="35" spans="1:3" x14ac:dyDescent="0.25">
      <c r="A35" t="s">
        <v>68</v>
      </c>
      <c r="B35" t="s">
        <v>242</v>
      </c>
      <c r="C35">
        <v>77.05714285714285</v>
      </c>
    </row>
    <row r="36" spans="1:3" x14ac:dyDescent="0.25">
      <c r="A36" t="s">
        <v>68</v>
      </c>
      <c r="B36" t="s">
        <v>243</v>
      </c>
      <c r="C36">
        <v>0</v>
      </c>
    </row>
    <row r="37" spans="1:3" x14ac:dyDescent="0.25">
      <c r="A37" t="s">
        <v>68</v>
      </c>
      <c r="B37" t="s">
        <v>244</v>
      </c>
      <c r="C37">
        <v>264.52857142857141</v>
      </c>
    </row>
    <row r="38" spans="1:3" x14ac:dyDescent="0.25">
      <c r="A38" t="s">
        <v>68</v>
      </c>
      <c r="B38" t="s">
        <v>245</v>
      </c>
      <c r="C38">
        <v>179.65714285714284</v>
      </c>
    </row>
    <row r="39" spans="1:3" x14ac:dyDescent="0.25">
      <c r="A39" t="s">
        <v>68</v>
      </c>
      <c r="B39" t="s">
        <v>246</v>
      </c>
      <c r="C39">
        <v>158.05714285714288</v>
      </c>
    </row>
    <row r="40" spans="1:3" x14ac:dyDescent="0.25">
      <c r="A40" t="s">
        <v>68</v>
      </c>
      <c r="B40" t="s">
        <v>247</v>
      </c>
      <c r="C40">
        <v>140.85714285714286</v>
      </c>
    </row>
    <row r="41" spans="1:3" x14ac:dyDescent="0.25">
      <c r="A41" t="s">
        <v>68</v>
      </c>
      <c r="B41" t="s">
        <v>248</v>
      </c>
      <c r="C41">
        <v>99.885714285714286</v>
      </c>
    </row>
    <row r="42" spans="1:3" x14ac:dyDescent="0.25">
      <c r="A42" t="s">
        <v>68</v>
      </c>
      <c r="B42" t="s">
        <v>249</v>
      </c>
      <c r="C42">
        <v>265.54285714285714</v>
      </c>
    </row>
    <row r="43" spans="1:3" x14ac:dyDescent="0.25">
      <c r="A43" t="s">
        <v>68</v>
      </c>
      <c r="B43" t="s">
        <v>250</v>
      </c>
      <c r="C43">
        <v>0</v>
      </c>
    </row>
    <row r="44" spans="1:3" x14ac:dyDescent="0.25">
      <c r="A44" t="s">
        <v>68</v>
      </c>
      <c r="B44" t="s">
        <v>251</v>
      </c>
      <c r="C44">
        <v>0</v>
      </c>
    </row>
    <row r="45" spans="1:3" x14ac:dyDescent="0.25">
      <c r="A45" t="s">
        <v>68</v>
      </c>
      <c r="B45" t="s">
        <v>252</v>
      </c>
      <c r="C45">
        <v>0</v>
      </c>
    </row>
    <row r="46" spans="1:3" x14ac:dyDescent="0.25">
      <c r="A46" t="s">
        <v>68</v>
      </c>
      <c r="B46" t="s">
        <v>253</v>
      </c>
      <c r="C46">
        <v>124.95714285714287</v>
      </c>
    </row>
    <row r="47" spans="1:3" x14ac:dyDescent="0.25">
      <c r="A47" t="s">
        <v>68</v>
      </c>
      <c r="B47" t="s">
        <v>254</v>
      </c>
      <c r="C47">
        <v>122.58571428571429</v>
      </c>
    </row>
    <row r="48" spans="1:3" x14ac:dyDescent="0.25">
      <c r="A48" t="s">
        <v>68</v>
      </c>
      <c r="B48" t="s">
        <v>255</v>
      </c>
      <c r="C48">
        <v>0</v>
      </c>
    </row>
    <row r="49" spans="1:3" x14ac:dyDescent="0.25">
      <c r="A49" t="s">
        <v>68</v>
      </c>
      <c r="B49" t="s">
        <v>256</v>
      </c>
      <c r="C49">
        <v>0</v>
      </c>
    </row>
    <row r="50" spans="1:3" x14ac:dyDescent="0.25">
      <c r="A50" t="s">
        <v>68</v>
      </c>
      <c r="B50" t="s">
        <v>257</v>
      </c>
      <c r="C50">
        <v>269.47142857142859</v>
      </c>
    </row>
    <row r="51" spans="1:3" x14ac:dyDescent="0.25">
      <c r="A51" t="s">
        <v>68</v>
      </c>
      <c r="B51" t="s">
        <v>258</v>
      </c>
      <c r="C51">
        <v>147.68571428571428</v>
      </c>
    </row>
    <row r="52" spans="1:3" x14ac:dyDescent="0.25">
      <c r="A52" t="s">
        <v>68</v>
      </c>
      <c r="B52" t="s">
        <v>259</v>
      </c>
      <c r="C52">
        <v>0</v>
      </c>
    </row>
    <row r="53" spans="1:3" x14ac:dyDescent="0.25">
      <c r="A53" t="s">
        <v>68</v>
      </c>
      <c r="B53" t="s">
        <v>260</v>
      </c>
      <c r="C53">
        <v>0</v>
      </c>
    </row>
    <row r="54" spans="1:3" x14ac:dyDescent="0.25">
      <c r="A54" t="s">
        <v>68</v>
      </c>
      <c r="B54" t="s">
        <v>261</v>
      </c>
      <c r="C54">
        <v>350.67142857142852</v>
      </c>
    </row>
    <row r="55" spans="1:3" x14ac:dyDescent="0.25">
      <c r="A55" t="s">
        <v>68</v>
      </c>
      <c r="B55" t="s">
        <v>262</v>
      </c>
      <c r="C55">
        <v>326.54285714285714</v>
      </c>
    </row>
    <row r="56" spans="1:3" x14ac:dyDescent="0.25">
      <c r="A56" t="s">
        <v>68</v>
      </c>
      <c r="B56" t="s">
        <v>263</v>
      </c>
      <c r="C56">
        <v>96.685714285714283</v>
      </c>
    </row>
    <row r="57" spans="1:3" x14ac:dyDescent="0.25">
      <c r="A57" t="s">
        <v>68</v>
      </c>
      <c r="B57" t="s">
        <v>264</v>
      </c>
      <c r="C57">
        <v>212.64285714285714</v>
      </c>
    </row>
    <row r="58" spans="1:3" x14ac:dyDescent="0.25">
      <c r="A58" t="s">
        <v>68</v>
      </c>
      <c r="B58" t="s">
        <v>265</v>
      </c>
      <c r="C58">
        <v>0</v>
      </c>
    </row>
    <row r="59" spans="1:3" x14ac:dyDescent="0.25">
      <c r="A59" t="s">
        <v>68</v>
      </c>
      <c r="B59" t="s">
        <v>89</v>
      </c>
      <c r="C59">
        <v>232.98571428571429</v>
      </c>
    </row>
    <row r="60" spans="1:3" x14ac:dyDescent="0.25">
      <c r="A60" t="s">
        <v>67</v>
      </c>
      <c r="B60" t="s">
        <v>94</v>
      </c>
      <c r="C60">
        <v>75.285714285714292</v>
      </c>
    </row>
    <row r="61" spans="1:3" x14ac:dyDescent="0.25">
      <c r="A61" t="s">
        <v>67</v>
      </c>
      <c r="B61" t="s">
        <v>88</v>
      </c>
      <c r="C61">
        <v>75.114285714285714</v>
      </c>
    </row>
    <row r="62" spans="1:3" x14ac:dyDescent="0.25">
      <c r="A62" t="s">
        <v>67</v>
      </c>
      <c r="B62" t="s">
        <v>217</v>
      </c>
      <c r="C62">
        <v>64.614285714285714</v>
      </c>
    </row>
    <row r="63" spans="1:3" x14ac:dyDescent="0.25">
      <c r="A63" t="s">
        <v>67</v>
      </c>
      <c r="B63" t="s">
        <v>87</v>
      </c>
      <c r="C63">
        <v>27.214285714285715</v>
      </c>
    </row>
    <row r="64" spans="1:3" x14ac:dyDescent="0.25">
      <c r="A64" t="s">
        <v>67</v>
      </c>
      <c r="B64" t="s">
        <v>218</v>
      </c>
      <c r="C64">
        <v>94.01428571428572</v>
      </c>
    </row>
    <row r="65" spans="1:3" x14ac:dyDescent="0.25">
      <c r="A65" t="s">
        <v>67</v>
      </c>
      <c r="B65" t="s">
        <v>219</v>
      </c>
      <c r="C65">
        <v>75.54285714285713</v>
      </c>
    </row>
    <row r="66" spans="1:3" x14ac:dyDescent="0.25">
      <c r="A66" t="s">
        <v>67</v>
      </c>
      <c r="B66" t="s">
        <v>90</v>
      </c>
      <c r="C66">
        <v>0</v>
      </c>
    </row>
    <row r="67" spans="1:3" x14ac:dyDescent="0.25">
      <c r="A67" t="s">
        <v>67</v>
      </c>
      <c r="B67" t="s">
        <v>220</v>
      </c>
      <c r="C67">
        <v>53.75714285714286</v>
      </c>
    </row>
    <row r="68" spans="1:3" x14ac:dyDescent="0.25">
      <c r="A68" t="s">
        <v>67</v>
      </c>
      <c r="B68" t="s">
        <v>221</v>
      </c>
      <c r="C68">
        <v>23.099999999999998</v>
      </c>
    </row>
    <row r="69" spans="1:3" x14ac:dyDescent="0.25">
      <c r="A69" t="s">
        <v>67</v>
      </c>
      <c r="B69" t="s">
        <v>92</v>
      </c>
      <c r="C69">
        <v>26.185714285714287</v>
      </c>
    </row>
    <row r="70" spans="1:3" x14ac:dyDescent="0.25">
      <c r="A70" t="s">
        <v>67</v>
      </c>
      <c r="B70" t="s">
        <v>86</v>
      </c>
      <c r="C70">
        <v>170.21428571428572</v>
      </c>
    </row>
    <row r="71" spans="1:3" x14ac:dyDescent="0.25">
      <c r="A71" t="s">
        <v>67</v>
      </c>
      <c r="B71" t="s">
        <v>222</v>
      </c>
      <c r="C71">
        <v>0</v>
      </c>
    </row>
    <row r="72" spans="1:3" x14ac:dyDescent="0.25">
      <c r="A72" t="s">
        <v>67</v>
      </c>
      <c r="B72" t="s">
        <v>223</v>
      </c>
      <c r="C72">
        <v>110.5</v>
      </c>
    </row>
    <row r="73" spans="1:3" x14ac:dyDescent="0.25">
      <c r="A73" t="s">
        <v>67</v>
      </c>
      <c r="B73" t="s">
        <v>224</v>
      </c>
      <c r="C73">
        <v>0</v>
      </c>
    </row>
    <row r="74" spans="1:3" x14ac:dyDescent="0.25">
      <c r="A74" t="s">
        <v>67</v>
      </c>
      <c r="B74" t="s">
        <v>225</v>
      </c>
      <c r="C74">
        <v>0</v>
      </c>
    </row>
    <row r="75" spans="1:3" x14ac:dyDescent="0.25">
      <c r="A75" t="s">
        <v>67</v>
      </c>
      <c r="B75" t="s">
        <v>226</v>
      </c>
      <c r="C75">
        <v>48.542857142857144</v>
      </c>
    </row>
    <row r="76" spans="1:3" x14ac:dyDescent="0.25">
      <c r="A76" t="s">
        <v>67</v>
      </c>
      <c r="B76" t="s">
        <v>227</v>
      </c>
      <c r="C76">
        <v>232.94285714285712</v>
      </c>
    </row>
    <row r="77" spans="1:3" x14ac:dyDescent="0.25">
      <c r="A77" t="s">
        <v>67</v>
      </c>
      <c r="B77" t="s">
        <v>228</v>
      </c>
      <c r="C77">
        <v>0</v>
      </c>
    </row>
    <row r="78" spans="1:3" x14ac:dyDescent="0.25">
      <c r="A78" t="s">
        <v>67</v>
      </c>
      <c r="B78" t="s">
        <v>229</v>
      </c>
      <c r="C78">
        <v>115.10000000000001</v>
      </c>
    </row>
    <row r="79" spans="1:3" x14ac:dyDescent="0.25">
      <c r="A79" t="s">
        <v>67</v>
      </c>
      <c r="B79" t="s">
        <v>93</v>
      </c>
      <c r="C79">
        <v>181.92857142857142</v>
      </c>
    </row>
    <row r="80" spans="1:3" x14ac:dyDescent="0.25">
      <c r="A80" t="s">
        <v>67</v>
      </c>
      <c r="B80" t="s">
        <v>230</v>
      </c>
      <c r="C80">
        <v>0</v>
      </c>
    </row>
    <row r="81" spans="1:3" x14ac:dyDescent="0.25">
      <c r="A81" t="s">
        <v>67</v>
      </c>
      <c r="B81" t="s">
        <v>231</v>
      </c>
      <c r="C81">
        <v>0</v>
      </c>
    </row>
    <row r="82" spans="1:3" x14ac:dyDescent="0.25">
      <c r="A82" t="s">
        <v>67</v>
      </c>
      <c r="B82" t="s">
        <v>232</v>
      </c>
      <c r="C82">
        <v>86.071428571428569</v>
      </c>
    </row>
    <row r="83" spans="1:3" x14ac:dyDescent="0.25">
      <c r="A83" t="s">
        <v>67</v>
      </c>
      <c r="B83" t="s">
        <v>233</v>
      </c>
      <c r="C83">
        <v>0</v>
      </c>
    </row>
    <row r="84" spans="1:3" x14ac:dyDescent="0.25">
      <c r="A84" t="s">
        <v>67</v>
      </c>
      <c r="B84" t="s">
        <v>234</v>
      </c>
      <c r="C84">
        <v>110.07142857142857</v>
      </c>
    </row>
    <row r="85" spans="1:3" x14ac:dyDescent="0.25">
      <c r="A85" t="s">
        <v>67</v>
      </c>
      <c r="B85" t="s">
        <v>235</v>
      </c>
      <c r="C85">
        <v>51.98571428571428</v>
      </c>
    </row>
    <row r="86" spans="1:3" x14ac:dyDescent="0.25">
      <c r="A86" t="s">
        <v>67</v>
      </c>
      <c r="B86" t="s">
        <v>236</v>
      </c>
      <c r="C86">
        <v>0</v>
      </c>
    </row>
    <row r="87" spans="1:3" x14ac:dyDescent="0.25">
      <c r="A87" t="s">
        <v>67</v>
      </c>
      <c r="B87" t="s">
        <v>237</v>
      </c>
      <c r="C87">
        <v>138.34285714285713</v>
      </c>
    </row>
    <row r="88" spans="1:3" x14ac:dyDescent="0.25">
      <c r="A88" t="s">
        <v>67</v>
      </c>
      <c r="B88" t="s">
        <v>238</v>
      </c>
      <c r="C88">
        <v>0</v>
      </c>
    </row>
    <row r="89" spans="1:3" x14ac:dyDescent="0.25">
      <c r="A89" t="s">
        <v>67</v>
      </c>
      <c r="B89" t="s">
        <v>239</v>
      </c>
      <c r="C89">
        <v>0</v>
      </c>
    </row>
    <row r="90" spans="1:3" x14ac:dyDescent="0.25">
      <c r="A90" t="s">
        <v>67</v>
      </c>
      <c r="B90" t="s">
        <v>91</v>
      </c>
      <c r="C90">
        <v>78.914285714285711</v>
      </c>
    </row>
    <row r="91" spans="1:3" x14ac:dyDescent="0.25">
      <c r="A91" t="s">
        <v>67</v>
      </c>
      <c r="B91" t="s">
        <v>240</v>
      </c>
      <c r="C91">
        <v>0</v>
      </c>
    </row>
    <row r="92" spans="1:3" x14ac:dyDescent="0.25">
      <c r="A92" t="s">
        <v>67</v>
      </c>
      <c r="B92" t="s">
        <v>241</v>
      </c>
      <c r="C92">
        <v>31.228571428571428</v>
      </c>
    </row>
    <row r="93" spans="1:3" x14ac:dyDescent="0.25">
      <c r="A93" t="s">
        <v>67</v>
      </c>
      <c r="B93" t="s">
        <v>242</v>
      </c>
      <c r="C93">
        <v>40.31428571428571</v>
      </c>
    </row>
    <row r="94" spans="1:3" x14ac:dyDescent="0.25">
      <c r="A94" t="s">
        <v>67</v>
      </c>
      <c r="B94" t="s">
        <v>243</v>
      </c>
      <c r="C94">
        <v>100.94285714285715</v>
      </c>
    </row>
    <row r="95" spans="1:3" x14ac:dyDescent="0.25">
      <c r="A95" t="s">
        <v>67</v>
      </c>
      <c r="B95" t="s">
        <v>244</v>
      </c>
      <c r="C95">
        <v>111.21428571428571</v>
      </c>
    </row>
    <row r="96" spans="1:3" x14ac:dyDescent="0.25">
      <c r="A96" t="s">
        <v>67</v>
      </c>
      <c r="B96" t="s">
        <v>245</v>
      </c>
      <c r="C96">
        <v>0</v>
      </c>
    </row>
    <row r="97" spans="1:3" x14ac:dyDescent="0.25">
      <c r="A97" t="s">
        <v>67</v>
      </c>
      <c r="B97" t="s">
        <v>246</v>
      </c>
      <c r="C97">
        <v>38.842857142857142</v>
      </c>
    </row>
    <row r="98" spans="1:3" x14ac:dyDescent="0.25">
      <c r="A98" t="s">
        <v>67</v>
      </c>
      <c r="B98" t="s">
        <v>247</v>
      </c>
      <c r="C98">
        <v>39.971428571428575</v>
      </c>
    </row>
    <row r="99" spans="1:3" x14ac:dyDescent="0.25">
      <c r="A99" t="s">
        <v>67</v>
      </c>
      <c r="B99" t="s">
        <v>248</v>
      </c>
      <c r="C99">
        <v>0</v>
      </c>
    </row>
    <row r="100" spans="1:3" x14ac:dyDescent="0.25">
      <c r="A100" t="s">
        <v>67</v>
      </c>
      <c r="B100" t="s">
        <v>249</v>
      </c>
      <c r="C100">
        <v>95.214285714285708</v>
      </c>
    </row>
    <row r="101" spans="1:3" x14ac:dyDescent="0.25">
      <c r="A101" t="s">
        <v>67</v>
      </c>
      <c r="B101" t="s">
        <v>250</v>
      </c>
      <c r="C101">
        <v>66.414285714285711</v>
      </c>
    </row>
    <row r="102" spans="1:3" x14ac:dyDescent="0.25">
      <c r="A102" t="s">
        <v>67</v>
      </c>
      <c r="B102" t="s">
        <v>251</v>
      </c>
      <c r="C102">
        <v>0</v>
      </c>
    </row>
    <row r="103" spans="1:3" x14ac:dyDescent="0.25">
      <c r="A103" t="s">
        <v>67</v>
      </c>
      <c r="B103" t="s">
        <v>252</v>
      </c>
      <c r="C103">
        <v>102.17142857142858</v>
      </c>
    </row>
    <row r="104" spans="1:3" x14ac:dyDescent="0.25">
      <c r="A104" t="s">
        <v>67</v>
      </c>
      <c r="B104" t="s">
        <v>253</v>
      </c>
      <c r="C104">
        <v>78.714285714285708</v>
      </c>
    </row>
    <row r="105" spans="1:3" x14ac:dyDescent="0.25">
      <c r="A105" t="s">
        <v>67</v>
      </c>
      <c r="B105" t="s">
        <v>254</v>
      </c>
      <c r="C105">
        <v>0</v>
      </c>
    </row>
    <row r="106" spans="1:3" x14ac:dyDescent="0.25">
      <c r="A106" t="s">
        <v>67</v>
      </c>
      <c r="B106" t="s">
        <v>255</v>
      </c>
      <c r="C106">
        <v>0</v>
      </c>
    </row>
    <row r="107" spans="1:3" x14ac:dyDescent="0.25">
      <c r="A107" t="s">
        <v>67</v>
      </c>
      <c r="B107" t="s">
        <v>256</v>
      </c>
      <c r="C107">
        <v>0</v>
      </c>
    </row>
    <row r="108" spans="1:3" x14ac:dyDescent="0.25">
      <c r="A108" t="s">
        <v>67</v>
      </c>
      <c r="B108" t="s">
        <v>257</v>
      </c>
      <c r="C108">
        <v>102.05714285714285</v>
      </c>
    </row>
    <row r="109" spans="1:3" x14ac:dyDescent="0.25">
      <c r="A109" t="s">
        <v>67</v>
      </c>
      <c r="B109" t="s">
        <v>258</v>
      </c>
      <c r="C109">
        <v>0</v>
      </c>
    </row>
    <row r="110" spans="1:3" x14ac:dyDescent="0.25">
      <c r="A110" t="s">
        <v>67</v>
      </c>
      <c r="B110" t="s">
        <v>259</v>
      </c>
      <c r="C110">
        <v>95.314285714285717</v>
      </c>
    </row>
    <row r="111" spans="1:3" x14ac:dyDescent="0.25">
      <c r="A111" t="s">
        <v>67</v>
      </c>
      <c r="B111" t="s">
        <v>260</v>
      </c>
      <c r="C111">
        <v>0</v>
      </c>
    </row>
    <row r="112" spans="1:3" x14ac:dyDescent="0.25">
      <c r="A112" t="s">
        <v>67</v>
      </c>
      <c r="B112" t="s">
        <v>261</v>
      </c>
      <c r="C112">
        <v>156.95714285714286</v>
      </c>
    </row>
    <row r="113" spans="1:3" x14ac:dyDescent="0.25">
      <c r="A113" t="s">
        <v>67</v>
      </c>
      <c r="B113" t="s">
        <v>262</v>
      </c>
      <c r="C113">
        <v>128.67142857142858</v>
      </c>
    </row>
    <row r="114" spans="1:3" x14ac:dyDescent="0.25">
      <c r="A114" t="s">
        <v>67</v>
      </c>
      <c r="B114" t="s">
        <v>263</v>
      </c>
      <c r="C114">
        <v>0</v>
      </c>
    </row>
    <row r="115" spans="1:3" x14ac:dyDescent="0.25">
      <c r="A115" t="s">
        <v>67</v>
      </c>
      <c r="B115" t="s">
        <v>264</v>
      </c>
      <c r="C115">
        <v>58.31428571428571</v>
      </c>
    </row>
    <row r="116" spans="1:3" x14ac:dyDescent="0.25">
      <c r="A116" t="s">
        <v>67</v>
      </c>
      <c r="B116" t="s">
        <v>265</v>
      </c>
      <c r="C116">
        <v>124.78571428571429</v>
      </c>
    </row>
    <row r="117" spans="1:3" x14ac:dyDescent="0.25">
      <c r="A117" t="s">
        <v>67</v>
      </c>
      <c r="B117" t="s">
        <v>89</v>
      </c>
      <c r="C117">
        <v>91.98571428571428</v>
      </c>
    </row>
    <row r="118" spans="1:3" x14ac:dyDescent="0.25">
      <c r="A118" t="s">
        <v>66</v>
      </c>
      <c r="B118" t="s">
        <v>94</v>
      </c>
      <c r="C118">
        <v>23.857142857142858</v>
      </c>
    </row>
    <row r="119" spans="1:3" x14ac:dyDescent="0.25">
      <c r="A119" t="s">
        <v>66</v>
      </c>
      <c r="B119" t="s">
        <v>88</v>
      </c>
      <c r="C119">
        <v>26.457142857142856</v>
      </c>
    </row>
    <row r="120" spans="1:3" x14ac:dyDescent="0.25">
      <c r="A120" t="s">
        <v>66</v>
      </c>
      <c r="B120" t="s">
        <v>217</v>
      </c>
      <c r="C120">
        <v>0</v>
      </c>
    </row>
    <row r="121" spans="1:3" x14ac:dyDescent="0.25">
      <c r="A121" t="s">
        <v>66</v>
      </c>
      <c r="B121" t="s">
        <v>87</v>
      </c>
      <c r="C121">
        <v>0</v>
      </c>
    </row>
    <row r="122" spans="1:3" x14ac:dyDescent="0.25">
      <c r="A122" t="s">
        <v>66</v>
      </c>
      <c r="B122" t="s">
        <v>218</v>
      </c>
      <c r="C122">
        <v>0</v>
      </c>
    </row>
    <row r="123" spans="1:3" x14ac:dyDescent="0.25">
      <c r="A123" t="s">
        <v>66</v>
      </c>
      <c r="B123" t="s">
        <v>219</v>
      </c>
      <c r="C123">
        <v>0</v>
      </c>
    </row>
    <row r="124" spans="1:3" x14ac:dyDescent="0.25">
      <c r="A124" t="s">
        <v>66</v>
      </c>
      <c r="B124" t="s">
        <v>90</v>
      </c>
      <c r="C124">
        <v>0</v>
      </c>
    </row>
    <row r="125" spans="1:3" x14ac:dyDescent="0.25">
      <c r="A125" t="s">
        <v>66</v>
      </c>
      <c r="B125" t="s">
        <v>220</v>
      </c>
      <c r="C125">
        <v>0</v>
      </c>
    </row>
    <row r="126" spans="1:3" x14ac:dyDescent="0.25">
      <c r="A126" t="s">
        <v>66</v>
      </c>
      <c r="B126" t="s">
        <v>221</v>
      </c>
      <c r="C126">
        <v>0</v>
      </c>
    </row>
    <row r="127" spans="1:3" x14ac:dyDescent="0.25">
      <c r="A127" t="s">
        <v>66</v>
      </c>
      <c r="B127" t="s">
        <v>92</v>
      </c>
      <c r="C127">
        <v>9.1285714285714281</v>
      </c>
    </row>
    <row r="128" spans="1:3" x14ac:dyDescent="0.25">
      <c r="A128" t="s">
        <v>66</v>
      </c>
      <c r="B128" t="s">
        <v>86</v>
      </c>
      <c r="C128">
        <v>49.414285714285711</v>
      </c>
    </row>
    <row r="129" spans="1:3" x14ac:dyDescent="0.25">
      <c r="A129" t="s">
        <v>66</v>
      </c>
      <c r="B129" t="s">
        <v>222</v>
      </c>
      <c r="C129">
        <v>0</v>
      </c>
    </row>
    <row r="130" spans="1:3" x14ac:dyDescent="0.25">
      <c r="A130" t="s">
        <v>66</v>
      </c>
      <c r="B130" t="s">
        <v>223</v>
      </c>
      <c r="C130">
        <v>0</v>
      </c>
    </row>
    <row r="131" spans="1:3" x14ac:dyDescent="0.25">
      <c r="A131" t="s">
        <v>66</v>
      </c>
      <c r="B131" t="s">
        <v>224</v>
      </c>
      <c r="C131">
        <v>0</v>
      </c>
    </row>
    <row r="132" spans="1:3" x14ac:dyDescent="0.25">
      <c r="A132" t="s">
        <v>66</v>
      </c>
      <c r="B132" t="s">
        <v>225</v>
      </c>
      <c r="C132">
        <v>0</v>
      </c>
    </row>
    <row r="133" spans="1:3" x14ac:dyDescent="0.25">
      <c r="A133" t="s">
        <v>66</v>
      </c>
      <c r="B133" t="s">
        <v>226</v>
      </c>
      <c r="C133">
        <v>18.271428571428572</v>
      </c>
    </row>
    <row r="134" spans="1:3" x14ac:dyDescent="0.25">
      <c r="A134" t="s">
        <v>66</v>
      </c>
      <c r="B134" t="s">
        <v>227</v>
      </c>
      <c r="C134">
        <v>43.4</v>
      </c>
    </row>
    <row r="135" spans="1:3" x14ac:dyDescent="0.25">
      <c r="A135" t="s">
        <v>66</v>
      </c>
      <c r="B135" t="s">
        <v>228</v>
      </c>
      <c r="C135">
        <v>31.285714285714285</v>
      </c>
    </row>
    <row r="136" spans="1:3" x14ac:dyDescent="0.25">
      <c r="A136" t="s">
        <v>66</v>
      </c>
      <c r="B136" t="s">
        <v>229</v>
      </c>
      <c r="C136">
        <v>88.242857142857147</v>
      </c>
    </row>
    <row r="137" spans="1:3" x14ac:dyDescent="0.25">
      <c r="A137" t="s">
        <v>66</v>
      </c>
      <c r="B137" t="s">
        <v>93</v>
      </c>
      <c r="C137">
        <v>52.01428571428572</v>
      </c>
    </row>
    <row r="138" spans="1:3" x14ac:dyDescent="0.25">
      <c r="A138" t="s">
        <v>66</v>
      </c>
      <c r="B138" t="s">
        <v>230</v>
      </c>
      <c r="C138">
        <v>0</v>
      </c>
    </row>
    <row r="139" spans="1:3" x14ac:dyDescent="0.25">
      <c r="A139" t="s">
        <v>66</v>
      </c>
      <c r="B139" t="s">
        <v>231</v>
      </c>
      <c r="C139">
        <v>0</v>
      </c>
    </row>
    <row r="140" spans="1:3" x14ac:dyDescent="0.25">
      <c r="A140" t="s">
        <v>66</v>
      </c>
      <c r="B140" t="s">
        <v>232</v>
      </c>
      <c r="C140">
        <v>0</v>
      </c>
    </row>
    <row r="141" spans="1:3" x14ac:dyDescent="0.25">
      <c r="A141" t="s">
        <v>66</v>
      </c>
      <c r="B141" t="s">
        <v>233</v>
      </c>
      <c r="C141">
        <v>0</v>
      </c>
    </row>
    <row r="142" spans="1:3" x14ac:dyDescent="0.25">
      <c r="A142" t="s">
        <v>66</v>
      </c>
      <c r="B142" t="s">
        <v>234</v>
      </c>
      <c r="C142">
        <v>0</v>
      </c>
    </row>
    <row r="143" spans="1:3" x14ac:dyDescent="0.25">
      <c r="A143" t="s">
        <v>66</v>
      </c>
      <c r="B143" t="s">
        <v>235</v>
      </c>
      <c r="C143">
        <v>19.514285714285712</v>
      </c>
    </row>
    <row r="144" spans="1:3" x14ac:dyDescent="0.25">
      <c r="A144" t="s">
        <v>66</v>
      </c>
      <c r="B144" t="s">
        <v>236</v>
      </c>
      <c r="C144">
        <v>0</v>
      </c>
    </row>
    <row r="145" spans="1:3" x14ac:dyDescent="0.25">
      <c r="A145" t="s">
        <v>66</v>
      </c>
      <c r="B145" t="s">
        <v>237</v>
      </c>
      <c r="C145">
        <v>0</v>
      </c>
    </row>
    <row r="146" spans="1:3" x14ac:dyDescent="0.25">
      <c r="A146" t="s">
        <v>66</v>
      </c>
      <c r="B146" t="s">
        <v>238</v>
      </c>
      <c r="C146">
        <v>0</v>
      </c>
    </row>
    <row r="147" spans="1:3" x14ac:dyDescent="0.25">
      <c r="A147" t="s">
        <v>66</v>
      </c>
      <c r="B147" t="s">
        <v>239</v>
      </c>
      <c r="C147">
        <v>0</v>
      </c>
    </row>
    <row r="148" spans="1:3" x14ac:dyDescent="0.25">
      <c r="A148" t="s">
        <v>66</v>
      </c>
      <c r="B148" t="s">
        <v>91</v>
      </c>
      <c r="C148">
        <v>25.057142857142857</v>
      </c>
    </row>
    <row r="149" spans="1:3" x14ac:dyDescent="0.25">
      <c r="A149" t="s">
        <v>66</v>
      </c>
      <c r="B149" t="s">
        <v>240</v>
      </c>
      <c r="C149">
        <v>0</v>
      </c>
    </row>
    <row r="150" spans="1:3" x14ac:dyDescent="0.25">
      <c r="A150" t="s">
        <v>66</v>
      </c>
      <c r="B150" t="s">
        <v>241</v>
      </c>
      <c r="C150">
        <v>0</v>
      </c>
    </row>
    <row r="151" spans="1:3" x14ac:dyDescent="0.25">
      <c r="A151" t="s">
        <v>66</v>
      </c>
      <c r="B151" t="s">
        <v>242</v>
      </c>
      <c r="C151">
        <v>0</v>
      </c>
    </row>
    <row r="152" spans="1:3" x14ac:dyDescent="0.25">
      <c r="A152" t="s">
        <v>66</v>
      </c>
      <c r="B152" t="s">
        <v>243</v>
      </c>
      <c r="C152">
        <v>0</v>
      </c>
    </row>
    <row r="153" spans="1:3" x14ac:dyDescent="0.25">
      <c r="A153" t="s">
        <v>66</v>
      </c>
      <c r="B153" t="s">
        <v>244</v>
      </c>
      <c r="C153">
        <v>42.671428571428571</v>
      </c>
    </row>
    <row r="154" spans="1:3" x14ac:dyDescent="0.25">
      <c r="A154" t="s">
        <v>66</v>
      </c>
      <c r="B154" t="s">
        <v>245</v>
      </c>
      <c r="C154">
        <v>0</v>
      </c>
    </row>
    <row r="155" spans="1:3" x14ac:dyDescent="0.25">
      <c r="A155" t="s">
        <v>66</v>
      </c>
      <c r="B155" t="s">
        <v>246</v>
      </c>
      <c r="C155">
        <v>15.342857142857143</v>
      </c>
    </row>
    <row r="156" spans="1:3" x14ac:dyDescent="0.25">
      <c r="A156" t="s">
        <v>66</v>
      </c>
      <c r="B156" t="s">
        <v>247</v>
      </c>
      <c r="C156">
        <v>15.985714285714286</v>
      </c>
    </row>
    <row r="157" spans="1:3" x14ac:dyDescent="0.25">
      <c r="A157" t="s">
        <v>66</v>
      </c>
      <c r="B157" t="s">
        <v>248</v>
      </c>
      <c r="C157">
        <v>0</v>
      </c>
    </row>
    <row r="158" spans="1:3" x14ac:dyDescent="0.25">
      <c r="A158" t="s">
        <v>66</v>
      </c>
      <c r="B158" t="s">
        <v>249</v>
      </c>
      <c r="C158">
        <v>25.814285714285713</v>
      </c>
    </row>
    <row r="159" spans="1:3" x14ac:dyDescent="0.25">
      <c r="A159" t="s">
        <v>66</v>
      </c>
      <c r="B159" t="s">
        <v>250</v>
      </c>
      <c r="C159">
        <v>0</v>
      </c>
    </row>
    <row r="160" spans="1:3" x14ac:dyDescent="0.25">
      <c r="A160" t="s">
        <v>66</v>
      </c>
      <c r="B160" t="s">
        <v>251</v>
      </c>
      <c r="C160">
        <v>39.914285714285711</v>
      </c>
    </row>
    <row r="161" spans="1:3" x14ac:dyDescent="0.25">
      <c r="A161" t="s">
        <v>66</v>
      </c>
      <c r="B161" t="s">
        <v>252</v>
      </c>
      <c r="C161">
        <v>21.842857142857145</v>
      </c>
    </row>
    <row r="162" spans="1:3" x14ac:dyDescent="0.25">
      <c r="A162" t="s">
        <v>66</v>
      </c>
      <c r="B162" t="s">
        <v>253</v>
      </c>
      <c r="C162">
        <v>0</v>
      </c>
    </row>
    <row r="163" spans="1:3" x14ac:dyDescent="0.25">
      <c r="A163" t="s">
        <v>66</v>
      </c>
      <c r="B163" t="s">
        <v>254</v>
      </c>
      <c r="C163">
        <v>0</v>
      </c>
    </row>
    <row r="164" spans="1:3" x14ac:dyDescent="0.25">
      <c r="A164" t="s">
        <v>66</v>
      </c>
      <c r="B164" t="s">
        <v>255</v>
      </c>
      <c r="C164">
        <v>43.828571428571429</v>
      </c>
    </row>
    <row r="165" spans="1:3" x14ac:dyDescent="0.25">
      <c r="A165" t="s">
        <v>66</v>
      </c>
      <c r="B165" t="s">
        <v>256</v>
      </c>
      <c r="C165">
        <v>0</v>
      </c>
    </row>
    <row r="166" spans="1:3" x14ac:dyDescent="0.25">
      <c r="A166" t="s">
        <v>66</v>
      </c>
      <c r="B166" t="s">
        <v>257</v>
      </c>
      <c r="C166">
        <v>36.24285714285714</v>
      </c>
    </row>
    <row r="167" spans="1:3" x14ac:dyDescent="0.25">
      <c r="A167" t="s">
        <v>66</v>
      </c>
      <c r="B167" t="s">
        <v>258</v>
      </c>
      <c r="C167">
        <v>0</v>
      </c>
    </row>
    <row r="168" spans="1:3" x14ac:dyDescent="0.25">
      <c r="A168" t="s">
        <v>66</v>
      </c>
      <c r="B168" t="s">
        <v>259</v>
      </c>
      <c r="C168">
        <v>0</v>
      </c>
    </row>
    <row r="169" spans="1:3" x14ac:dyDescent="0.25">
      <c r="A169" t="s">
        <v>66</v>
      </c>
      <c r="B169" t="s">
        <v>260</v>
      </c>
      <c r="C169">
        <v>0</v>
      </c>
    </row>
    <row r="170" spans="1:3" x14ac:dyDescent="0.25">
      <c r="A170" t="s">
        <v>66</v>
      </c>
      <c r="B170" t="s">
        <v>261</v>
      </c>
      <c r="C170">
        <v>44.914285714285711</v>
      </c>
    </row>
    <row r="171" spans="1:3" x14ac:dyDescent="0.25">
      <c r="A171" t="s">
        <v>66</v>
      </c>
      <c r="B171" t="s">
        <v>262</v>
      </c>
      <c r="C171">
        <v>42.9</v>
      </c>
    </row>
    <row r="172" spans="1:3" x14ac:dyDescent="0.25">
      <c r="A172" t="s">
        <v>66</v>
      </c>
      <c r="B172" t="s">
        <v>263</v>
      </c>
      <c r="C172">
        <v>0</v>
      </c>
    </row>
    <row r="173" spans="1:3" x14ac:dyDescent="0.25">
      <c r="A173" t="s">
        <v>66</v>
      </c>
      <c r="B173" t="s">
        <v>264</v>
      </c>
      <c r="C173">
        <v>28.171428571428571</v>
      </c>
    </row>
    <row r="174" spans="1:3" x14ac:dyDescent="0.25">
      <c r="A174" t="s">
        <v>66</v>
      </c>
      <c r="B174" t="s">
        <v>265</v>
      </c>
      <c r="C174">
        <v>0</v>
      </c>
    </row>
    <row r="175" spans="1:3" x14ac:dyDescent="0.25">
      <c r="A175" t="s">
        <v>66</v>
      </c>
      <c r="B175" t="s">
        <v>89</v>
      </c>
      <c r="C175">
        <v>40.157142857142858</v>
      </c>
    </row>
    <row r="176" spans="1:3" x14ac:dyDescent="0.25">
      <c r="A176" t="s">
        <v>63</v>
      </c>
      <c r="B176" t="s">
        <v>94</v>
      </c>
      <c r="C176">
        <v>14.571428571428571</v>
      </c>
    </row>
    <row r="177" spans="1:3" x14ac:dyDescent="0.25">
      <c r="A177" t="s">
        <v>63</v>
      </c>
      <c r="B177" t="s">
        <v>88</v>
      </c>
      <c r="C177">
        <v>0</v>
      </c>
    </row>
    <row r="178" spans="1:3" x14ac:dyDescent="0.25">
      <c r="A178" t="s">
        <v>63</v>
      </c>
      <c r="B178" t="s">
        <v>217</v>
      </c>
      <c r="C178">
        <v>26.471428571428572</v>
      </c>
    </row>
    <row r="179" spans="1:3" x14ac:dyDescent="0.25">
      <c r="A179" t="s">
        <v>63</v>
      </c>
      <c r="B179" t="s">
        <v>87</v>
      </c>
      <c r="C179">
        <v>0</v>
      </c>
    </row>
    <row r="180" spans="1:3" x14ac:dyDescent="0.25">
      <c r="A180" t="s">
        <v>63</v>
      </c>
      <c r="B180" t="s">
        <v>218</v>
      </c>
      <c r="C180">
        <v>0</v>
      </c>
    </row>
    <row r="181" spans="1:3" x14ac:dyDescent="0.25">
      <c r="A181" t="s">
        <v>63</v>
      </c>
      <c r="B181" t="s">
        <v>219</v>
      </c>
      <c r="C181">
        <v>0</v>
      </c>
    </row>
    <row r="182" spans="1:3" x14ac:dyDescent="0.25">
      <c r="A182" t="s">
        <v>63</v>
      </c>
      <c r="B182" t="s">
        <v>90</v>
      </c>
      <c r="C182">
        <v>27.585714285714285</v>
      </c>
    </row>
    <row r="183" spans="1:3" x14ac:dyDescent="0.25">
      <c r="A183" t="s">
        <v>63</v>
      </c>
      <c r="B183" t="s">
        <v>220</v>
      </c>
      <c r="C183">
        <v>0</v>
      </c>
    </row>
    <row r="184" spans="1:3" x14ac:dyDescent="0.25">
      <c r="A184" t="s">
        <v>63</v>
      </c>
      <c r="B184" t="s">
        <v>221</v>
      </c>
      <c r="C184">
        <v>0</v>
      </c>
    </row>
    <row r="185" spans="1:3" x14ac:dyDescent="0.25">
      <c r="A185" t="s">
        <v>63</v>
      </c>
      <c r="B185" t="s">
        <v>92</v>
      </c>
      <c r="C185">
        <v>8.4857142857142858</v>
      </c>
    </row>
    <row r="186" spans="1:3" x14ac:dyDescent="0.25">
      <c r="A186" t="s">
        <v>63</v>
      </c>
      <c r="B186" t="s">
        <v>86</v>
      </c>
      <c r="C186">
        <v>45.214285714285715</v>
      </c>
    </row>
    <row r="187" spans="1:3" x14ac:dyDescent="0.25">
      <c r="A187" t="s">
        <v>63</v>
      </c>
      <c r="B187" t="s">
        <v>222</v>
      </c>
      <c r="C187">
        <v>42.414285714285711</v>
      </c>
    </row>
    <row r="188" spans="1:3" x14ac:dyDescent="0.25">
      <c r="A188" t="s">
        <v>63</v>
      </c>
      <c r="B188" t="s">
        <v>223</v>
      </c>
      <c r="C188">
        <v>0</v>
      </c>
    </row>
    <row r="189" spans="1:3" x14ac:dyDescent="0.25">
      <c r="A189" t="s">
        <v>63</v>
      </c>
      <c r="B189" t="s">
        <v>224</v>
      </c>
      <c r="C189">
        <v>0</v>
      </c>
    </row>
    <row r="190" spans="1:3" x14ac:dyDescent="0.25">
      <c r="A190" t="s">
        <v>63</v>
      </c>
      <c r="B190" t="s">
        <v>225</v>
      </c>
      <c r="C190">
        <v>0</v>
      </c>
    </row>
    <row r="191" spans="1:3" x14ac:dyDescent="0.25">
      <c r="A191" t="s">
        <v>63</v>
      </c>
      <c r="B191" t="s">
        <v>226</v>
      </c>
      <c r="C191">
        <v>13.985714285714286</v>
      </c>
    </row>
    <row r="192" spans="1:3" x14ac:dyDescent="0.25">
      <c r="A192" t="s">
        <v>63</v>
      </c>
      <c r="B192" t="s">
        <v>227</v>
      </c>
      <c r="C192">
        <v>39.98571428571428</v>
      </c>
    </row>
    <row r="193" spans="1:3" x14ac:dyDescent="0.25">
      <c r="A193" t="s">
        <v>63</v>
      </c>
      <c r="B193" t="s">
        <v>228</v>
      </c>
      <c r="C193">
        <v>0</v>
      </c>
    </row>
    <row r="194" spans="1:3" x14ac:dyDescent="0.25">
      <c r="A194" t="s">
        <v>63</v>
      </c>
      <c r="B194" t="s">
        <v>229</v>
      </c>
      <c r="C194">
        <v>85.142857142857139</v>
      </c>
    </row>
    <row r="195" spans="1:3" x14ac:dyDescent="0.25">
      <c r="A195" t="s">
        <v>63</v>
      </c>
      <c r="B195" t="s">
        <v>93</v>
      </c>
      <c r="C195">
        <v>46.285714285714285</v>
      </c>
    </row>
    <row r="196" spans="1:3" x14ac:dyDescent="0.25">
      <c r="A196" t="s">
        <v>63</v>
      </c>
      <c r="B196" t="s">
        <v>230</v>
      </c>
      <c r="C196">
        <v>0</v>
      </c>
    </row>
    <row r="197" spans="1:3" x14ac:dyDescent="0.25">
      <c r="A197" t="s">
        <v>63</v>
      </c>
      <c r="B197" t="s">
        <v>231</v>
      </c>
      <c r="C197">
        <v>0</v>
      </c>
    </row>
    <row r="198" spans="1:3" x14ac:dyDescent="0.25">
      <c r="A198" t="s">
        <v>63</v>
      </c>
      <c r="B198" t="s">
        <v>232</v>
      </c>
      <c r="C198">
        <v>0</v>
      </c>
    </row>
    <row r="199" spans="1:3" x14ac:dyDescent="0.25">
      <c r="A199" t="s">
        <v>63</v>
      </c>
      <c r="B199" t="s">
        <v>233</v>
      </c>
      <c r="C199">
        <v>0</v>
      </c>
    </row>
    <row r="200" spans="1:3" x14ac:dyDescent="0.25">
      <c r="A200" t="s">
        <v>63</v>
      </c>
      <c r="B200" t="s">
        <v>234</v>
      </c>
      <c r="C200">
        <v>0</v>
      </c>
    </row>
    <row r="201" spans="1:3" x14ac:dyDescent="0.25">
      <c r="A201" t="s">
        <v>63</v>
      </c>
      <c r="B201" t="s">
        <v>235</v>
      </c>
      <c r="C201">
        <v>17.328571428571429</v>
      </c>
    </row>
    <row r="202" spans="1:3" x14ac:dyDescent="0.25">
      <c r="A202" t="s">
        <v>63</v>
      </c>
      <c r="B202" t="s">
        <v>236</v>
      </c>
      <c r="C202">
        <v>0</v>
      </c>
    </row>
    <row r="203" spans="1:3" x14ac:dyDescent="0.25">
      <c r="A203" t="s">
        <v>63</v>
      </c>
      <c r="B203" t="s">
        <v>237</v>
      </c>
      <c r="C203">
        <v>0</v>
      </c>
    </row>
    <row r="204" spans="1:3" x14ac:dyDescent="0.25">
      <c r="A204" t="s">
        <v>63</v>
      </c>
      <c r="B204" t="s">
        <v>238</v>
      </c>
      <c r="C204">
        <v>0</v>
      </c>
    </row>
    <row r="205" spans="1:3" x14ac:dyDescent="0.25">
      <c r="A205" t="s">
        <v>63</v>
      </c>
      <c r="B205" t="s">
        <v>239</v>
      </c>
      <c r="C205">
        <v>0</v>
      </c>
    </row>
    <row r="206" spans="1:3" x14ac:dyDescent="0.25">
      <c r="A206" t="s">
        <v>63</v>
      </c>
      <c r="B206" t="s">
        <v>91</v>
      </c>
      <c r="C206">
        <v>31.057142857142857</v>
      </c>
    </row>
    <row r="207" spans="1:3" x14ac:dyDescent="0.25">
      <c r="A207" t="s">
        <v>63</v>
      </c>
      <c r="B207" t="s">
        <v>240</v>
      </c>
      <c r="C207">
        <v>0</v>
      </c>
    </row>
    <row r="208" spans="1:3" x14ac:dyDescent="0.25">
      <c r="A208" t="s">
        <v>63</v>
      </c>
      <c r="B208" t="s">
        <v>241</v>
      </c>
      <c r="C208">
        <v>0</v>
      </c>
    </row>
    <row r="209" spans="1:3" x14ac:dyDescent="0.25">
      <c r="A209" t="s">
        <v>63</v>
      </c>
      <c r="B209" t="s">
        <v>242</v>
      </c>
      <c r="C209">
        <v>0</v>
      </c>
    </row>
    <row r="210" spans="1:3" x14ac:dyDescent="0.25">
      <c r="A210" t="s">
        <v>63</v>
      </c>
      <c r="B210" t="s">
        <v>243</v>
      </c>
      <c r="C210">
        <v>0</v>
      </c>
    </row>
    <row r="211" spans="1:3" x14ac:dyDescent="0.25">
      <c r="A211" t="s">
        <v>63</v>
      </c>
      <c r="B211" t="s">
        <v>244</v>
      </c>
      <c r="C211">
        <v>34.6</v>
      </c>
    </row>
    <row r="212" spans="1:3" x14ac:dyDescent="0.25">
      <c r="A212" t="s">
        <v>63</v>
      </c>
      <c r="B212" t="s">
        <v>245</v>
      </c>
      <c r="C212">
        <v>0</v>
      </c>
    </row>
    <row r="213" spans="1:3" x14ac:dyDescent="0.25">
      <c r="A213" t="s">
        <v>63</v>
      </c>
      <c r="B213" t="s">
        <v>246</v>
      </c>
      <c r="C213">
        <v>0</v>
      </c>
    </row>
    <row r="214" spans="1:3" x14ac:dyDescent="0.25">
      <c r="A214" t="s">
        <v>63</v>
      </c>
      <c r="B214" t="s">
        <v>247</v>
      </c>
      <c r="C214">
        <v>12.671428571428573</v>
      </c>
    </row>
    <row r="215" spans="1:3" x14ac:dyDescent="0.25">
      <c r="A215" t="s">
        <v>63</v>
      </c>
      <c r="B215" t="s">
        <v>248</v>
      </c>
      <c r="C215">
        <v>0</v>
      </c>
    </row>
    <row r="216" spans="1:3" x14ac:dyDescent="0.25">
      <c r="A216" t="s">
        <v>63</v>
      </c>
      <c r="B216" t="s">
        <v>249</v>
      </c>
      <c r="C216">
        <v>19.185714285714287</v>
      </c>
    </row>
    <row r="217" spans="1:3" x14ac:dyDescent="0.25">
      <c r="A217" t="s">
        <v>63</v>
      </c>
      <c r="B217" t="s">
        <v>250</v>
      </c>
      <c r="C217">
        <v>0</v>
      </c>
    </row>
    <row r="218" spans="1:3" x14ac:dyDescent="0.25">
      <c r="A218" t="s">
        <v>63</v>
      </c>
      <c r="B218" t="s">
        <v>251</v>
      </c>
      <c r="C218">
        <v>0</v>
      </c>
    </row>
    <row r="219" spans="1:3" x14ac:dyDescent="0.25">
      <c r="A219" t="s">
        <v>63</v>
      </c>
      <c r="B219" t="s">
        <v>252</v>
      </c>
      <c r="C219">
        <v>25.171428571428571</v>
      </c>
    </row>
    <row r="220" spans="1:3" x14ac:dyDescent="0.25">
      <c r="A220" t="s">
        <v>63</v>
      </c>
      <c r="B220" t="s">
        <v>253</v>
      </c>
      <c r="C220">
        <v>0</v>
      </c>
    </row>
    <row r="221" spans="1:3" x14ac:dyDescent="0.25">
      <c r="A221" t="s">
        <v>63</v>
      </c>
      <c r="B221" t="s">
        <v>254</v>
      </c>
      <c r="C221">
        <v>0</v>
      </c>
    </row>
    <row r="222" spans="1:3" x14ac:dyDescent="0.25">
      <c r="A222" t="s">
        <v>63</v>
      </c>
      <c r="B222" t="s">
        <v>255</v>
      </c>
      <c r="C222">
        <v>0</v>
      </c>
    </row>
    <row r="223" spans="1:3" x14ac:dyDescent="0.25">
      <c r="A223" t="s">
        <v>63</v>
      </c>
      <c r="B223" t="s">
        <v>256</v>
      </c>
      <c r="C223">
        <v>0</v>
      </c>
    </row>
    <row r="224" spans="1:3" x14ac:dyDescent="0.25">
      <c r="A224" t="s">
        <v>63</v>
      </c>
      <c r="B224" t="s">
        <v>257</v>
      </c>
      <c r="C224">
        <v>30.62857142857143</v>
      </c>
    </row>
    <row r="225" spans="1:3" x14ac:dyDescent="0.25">
      <c r="A225" t="s">
        <v>63</v>
      </c>
      <c r="B225" t="s">
        <v>258</v>
      </c>
      <c r="C225">
        <v>0</v>
      </c>
    </row>
    <row r="226" spans="1:3" x14ac:dyDescent="0.25">
      <c r="A226" t="s">
        <v>63</v>
      </c>
      <c r="B226" t="s">
        <v>259</v>
      </c>
      <c r="C226">
        <v>0</v>
      </c>
    </row>
    <row r="227" spans="1:3" x14ac:dyDescent="0.25">
      <c r="A227" t="s">
        <v>63</v>
      </c>
      <c r="B227" t="s">
        <v>260</v>
      </c>
      <c r="C227">
        <v>0</v>
      </c>
    </row>
    <row r="228" spans="1:3" x14ac:dyDescent="0.25">
      <c r="A228" t="s">
        <v>63</v>
      </c>
      <c r="B228" t="s">
        <v>261</v>
      </c>
      <c r="C228">
        <v>42.142857142857146</v>
      </c>
    </row>
    <row r="229" spans="1:3" x14ac:dyDescent="0.25">
      <c r="A229" t="s">
        <v>63</v>
      </c>
      <c r="B229" t="s">
        <v>262</v>
      </c>
      <c r="C229">
        <v>36.842857142857142</v>
      </c>
    </row>
    <row r="230" spans="1:3" x14ac:dyDescent="0.25">
      <c r="A230" t="s">
        <v>63</v>
      </c>
      <c r="B230" t="s">
        <v>263</v>
      </c>
      <c r="C230">
        <v>0</v>
      </c>
    </row>
    <row r="231" spans="1:3" x14ac:dyDescent="0.25">
      <c r="A231" t="s">
        <v>63</v>
      </c>
      <c r="B231" t="s">
        <v>264</v>
      </c>
      <c r="C231">
        <v>0</v>
      </c>
    </row>
    <row r="232" spans="1:3" x14ac:dyDescent="0.25">
      <c r="A232" t="s">
        <v>63</v>
      </c>
      <c r="B232" t="s">
        <v>265</v>
      </c>
      <c r="C232">
        <v>0</v>
      </c>
    </row>
    <row r="233" spans="1:3" x14ac:dyDescent="0.25">
      <c r="A233" t="s">
        <v>63</v>
      </c>
      <c r="B233" t="s">
        <v>89</v>
      </c>
      <c r="C233">
        <v>29.542857142857144</v>
      </c>
    </row>
    <row r="234" spans="1:3" x14ac:dyDescent="0.25">
      <c r="A234" t="s">
        <v>62</v>
      </c>
      <c r="B234" t="s">
        <v>94</v>
      </c>
      <c r="C234">
        <v>18.814285714285713</v>
      </c>
    </row>
    <row r="235" spans="1:3" x14ac:dyDescent="0.25">
      <c r="A235" t="s">
        <v>62</v>
      </c>
      <c r="B235" t="s">
        <v>88</v>
      </c>
      <c r="C235">
        <v>30.457142857142856</v>
      </c>
    </row>
    <row r="236" spans="1:3" x14ac:dyDescent="0.25">
      <c r="A236" t="s">
        <v>62</v>
      </c>
      <c r="B236" t="s">
        <v>217</v>
      </c>
      <c r="C236">
        <v>20.828571428571429</v>
      </c>
    </row>
    <row r="237" spans="1:3" x14ac:dyDescent="0.25">
      <c r="A237" t="s">
        <v>62</v>
      </c>
      <c r="B237" t="s">
        <v>87</v>
      </c>
      <c r="C237">
        <v>7.8428571428571425</v>
      </c>
    </row>
    <row r="238" spans="1:3" x14ac:dyDescent="0.25">
      <c r="A238" t="s">
        <v>62</v>
      </c>
      <c r="B238" t="s">
        <v>218</v>
      </c>
      <c r="C238">
        <v>18.357142857142858</v>
      </c>
    </row>
    <row r="239" spans="1:3" x14ac:dyDescent="0.25">
      <c r="A239" t="s">
        <v>62</v>
      </c>
      <c r="B239" t="s">
        <v>219</v>
      </c>
      <c r="C239">
        <v>0</v>
      </c>
    </row>
    <row r="240" spans="1:3" x14ac:dyDescent="0.25">
      <c r="A240" t="s">
        <v>62</v>
      </c>
      <c r="B240" t="s">
        <v>90</v>
      </c>
      <c r="C240">
        <v>12.62857142857143</v>
      </c>
    </row>
    <row r="241" spans="1:3" x14ac:dyDescent="0.25">
      <c r="A241" t="s">
        <v>62</v>
      </c>
      <c r="B241" t="s">
        <v>220</v>
      </c>
      <c r="C241">
        <v>0</v>
      </c>
    </row>
    <row r="242" spans="1:3" x14ac:dyDescent="0.25">
      <c r="A242" t="s">
        <v>62</v>
      </c>
      <c r="B242" t="s">
        <v>221</v>
      </c>
      <c r="C242">
        <v>0</v>
      </c>
    </row>
    <row r="243" spans="1:3" x14ac:dyDescent="0.25">
      <c r="A243" t="s">
        <v>62</v>
      </c>
      <c r="B243" t="s">
        <v>92</v>
      </c>
      <c r="C243">
        <v>0</v>
      </c>
    </row>
    <row r="244" spans="1:3" x14ac:dyDescent="0.25">
      <c r="A244" t="s">
        <v>62</v>
      </c>
      <c r="B244" t="s">
        <v>86</v>
      </c>
      <c r="C244">
        <v>61.199999999999996</v>
      </c>
    </row>
    <row r="245" spans="1:3" x14ac:dyDescent="0.25">
      <c r="A245" t="s">
        <v>62</v>
      </c>
      <c r="B245" t="s">
        <v>222</v>
      </c>
      <c r="C245">
        <v>0</v>
      </c>
    </row>
    <row r="246" spans="1:3" x14ac:dyDescent="0.25">
      <c r="A246" t="s">
        <v>62</v>
      </c>
      <c r="B246" t="s">
        <v>223</v>
      </c>
      <c r="C246">
        <v>0</v>
      </c>
    </row>
    <row r="247" spans="1:3" x14ac:dyDescent="0.25">
      <c r="A247" t="s">
        <v>62</v>
      </c>
      <c r="B247" t="s">
        <v>224</v>
      </c>
      <c r="C247">
        <v>0</v>
      </c>
    </row>
    <row r="248" spans="1:3" x14ac:dyDescent="0.25">
      <c r="A248" t="s">
        <v>62</v>
      </c>
      <c r="B248" t="s">
        <v>225</v>
      </c>
      <c r="C248">
        <v>0</v>
      </c>
    </row>
    <row r="249" spans="1:3" x14ac:dyDescent="0.25">
      <c r="A249" t="s">
        <v>62</v>
      </c>
      <c r="B249" t="s">
        <v>226</v>
      </c>
      <c r="C249">
        <v>16.071428571428573</v>
      </c>
    </row>
    <row r="250" spans="1:3" x14ac:dyDescent="0.25">
      <c r="A250" t="s">
        <v>62</v>
      </c>
      <c r="B250" t="s">
        <v>227</v>
      </c>
      <c r="C250">
        <v>49.528571428571425</v>
      </c>
    </row>
    <row r="251" spans="1:3" x14ac:dyDescent="0.25">
      <c r="A251" t="s">
        <v>62</v>
      </c>
      <c r="B251" t="s">
        <v>228</v>
      </c>
      <c r="C251">
        <v>0</v>
      </c>
    </row>
    <row r="252" spans="1:3" x14ac:dyDescent="0.25">
      <c r="A252" t="s">
        <v>62</v>
      </c>
      <c r="B252" t="s">
        <v>229</v>
      </c>
      <c r="C252">
        <v>103.18571428571428</v>
      </c>
    </row>
    <row r="253" spans="1:3" x14ac:dyDescent="0.25">
      <c r="A253" t="s">
        <v>62</v>
      </c>
      <c r="B253" t="s">
        <v>93</v>
      </c>
      <c r="C253">
        <v>47.699999999999996</v>
      </c>
    </row>
    <row r="254" spans="1:3" x14ac:dyDescent="0.25">
      <c r="A254" t="s">
        <v>62</v>
      </c>
      <c r="B254" t="s">
        <v>230</v>
      </c>
      <c r="C254">
        <v>0</v>
      </c>
    </row>
    <row r="255" spans="1:3" x14ac:dyDescent="0.25">
      <c r="A255" t="s">
        <v>62</v>
      </c>
      <c r="B255" t="s">
        <v>231</v>
      </c>
      <c r="C255">
        <v>0</v>
      </c>
    </row>
    <row r="256" spans="1:3" x14ac:dyDescent="0.25">
      <c r="A256" t="s">
        <v>62</v>
      </c>
      <c r="B256" t="s">
        <v>232</v>
      </c>
      <c r="C256">
        <v>0</v>
      </c>
    </row>
    <row r="257" spans="1:3" x14ac:dyDescent="0.25">
      <c r="A257" t="s">
        <v>62</v>
      </c>
      <c r="B257" t="s">
        <v>233</v>
      </c>
      <c r="C257">
        <v>0</v>
      </c>
    </row>
    <row r="258" spans="1:3" x14ac:dyDescent="0.25">
      <c r="A258" t="s">
        <v>62</v>
      </c>
      <c r="B258" t="s">
        <v>234</v>
      </c>
      <c r="C258">
        <v>0</v>
      </c>
    </row>
    <row r="259" spans="1:3" x14ac:dyDescent="0.25">
      <c r="A259" t="s">
        <v>62</v>
      </c>
      <c r="B259" t="s">
        <v>235</v>
      </c>
      <c r="C259">
        <v>18.485714285714288</v>
      </c>
    </row>
    <row r="260" spans="1:3" x14ac:dyDescent="0.25">
      <c r="A260" t="s">
        <v>62</v>
      </c>
      <c r="B260" t="s">
        <v>236</v>
      </c>
      <c r="C260">
        <v>0</v>
      </c>
    </row>
    <row r="261" spans="1:3" x14ac:dyDescent="0.25">
      <c r="A261" t="s">
        <v>62</v>
      </c>
      <c r="B261" t="s">
        <v>237</v>
      </c>
      <c r="C261">
        <v>0</v>
      </c>
    </row>
    <row r="262" spans="1:3" x14ac:dyDescent="0.25">
      <c r="A262" t="s">
        <v>62</v>
      </c>
      <c r="B262" t="s">
        <v>238</v>
      </c>
      <c r="C262">
        <v>0</v>
      </c>
    </row>
    <row r="263" spans="1:3" x14ac:dyDescent="0.25">
      <c r="A263" t="s">
        <v>62</v>
      </c>
      <c r="B263" t="s">
        <v>239</v>
      </c>
      <c r="C263">
        <v>23.400000000000002</v>
      </c>
    </row>
    <row r="264" spans="1:3" x14ac:dyDescent="0.25">
      <c r="A264" t="s">
        <v>62</v>
      </c>
      <c r="B264" t="s">
        <v>91</v>
      </c>
      <c r="C264">
        <v>30.914285714285715</v>
      </c>
    </row>
    <row r="265" spans="1:3" x14ac:dyDescent="0.25">
      <c r="A265" t="s">
        <v>62</v>
      </c>
      <c r="B265" t="s">
        <v>240</v>
      </c>
      <c r="C265">
        <v>0</v>
      </c>
    </row>
    <row r="266" spans="1:3" x14ac:dyDescent="0.25">
      <c r="A266" t="s">
        <v>62</v>
      </c>
      <c r="B266" t="s">
        <v>241</v>
      </c>
      <c r="C266">
        <v>0</v>
      </c>
    </row>
    <row r="267" spans="1:3" x14ac:dyDescent="0.25">
      <c r="A267" t="s">
        <v>62</v>
      </c>
      <c r="B267" t="s">
        <v>242</v>
      </c>
      <c r="C267">
        <v>0</v>
      </c>
    </row>
    <row r="268" spans="1:3" x14ac:dyDescent="0.25">
      <c r="A268" t="s">
        <v>62</v>
      </c>
      <c r="B268" t="s">
        <v>243</v>
      </c>
      <c r="C268">
        <v>0</v>
      </c>
    </row>
    <row r="269" spans="1:3" x14ac:dyDescent="0.25">
      <c r="A269" t="s">
        <v>62</v>
      </c>
      <c r="B269" t="s">
        <v>244</v>
      </c>
      <c r="C269">
        <v>52.557142857142857</v>
      </c>
    </row>
    <row r="270" spans="1:3" x14ac:dyDescent="0.25">
      <c r="A270" t="s">
        <v>62</v>
      </c>
      <c r="B270" t="s">
        <v>245</v>
      </c>
      <c r="C270">
        <v>0</v>
      </c>
    </row>
    <row r="271" spans="1:3" x14ac:dyDescent="0.25">
      <c r="A271" t="s">
        <v>62</v>
      </c>
      <c r="B271" t="s">
        <v>246</v>
      </c>
      <c r="C271">
        <v>0</v>
      </c>
    </row>
    <row r="272" spans="1:3" x14ac:dyDescent="0.25">
      <c r="A272" t="s">
        <v>62</v>
      </c>
      <c r="B272" t="s">
        <v>247</v>
      </c>
      <c r="C272">
        <v>15.342857142857143</v>
      </c>
    </row>
    <row r="273" spans="1:3" x14ac:dyDescent="0.25">
      <c r="A273" t="s">
        <v>62</v>
      </c>
      <c r="B273" t="s">
        <v>248</v>
      </c>
      <c r="C273">
        <v>0</v>
      </c>
    </row>
    <row r="274" spans="1:3" x14ac:dyDescent="0.25">
      <c r="A274" t="s">
        <v>62</v>
      </c>
      <c r="B274" t="s">
        <v>249</v>
      </c>
      <c r="C274">
        <v>0</v>
      </c>
    </row>
    <row r="275" spans="1:3" x14ac:dyDescent="0.25">
      <c r="A275" t="s">
        <v>62</v>
      </c>
      <c r="B275" t="s">
        <v>250</v>
      </c>
      <c r="C275">
        <v>0</v>
      </c>
    </row>
    <row r="276" spans="1:3" x14ac:dyDescent="0.25">
      <c r="A276" t="s">
        <v>62</v>
      </c>
      <c r="B276" t="s">
        <v>251</v>
      </c>
      <c r="C276">
        <v>0</v>
      </c>
    </row>
    <row r="277" spans="1:3" x14ac:dyDescent="0.25">
      <c r="A277" t="s">
        <v>62</v>
      </c>
      <c r="B277" t="s">
        <v>252</v>
      </c>
      <c r="C277">
        <v>0</v>
      </c>
    </row>
    <row r="278" spans="1:3" x14ac:dyDescent="0.25">
      <c r="A278" t="s">
        <v>62</v>
      </c>
      <c r="B278" t="s">
        <v>253</v>
      </c>
      <c r="C278">
        <v>0</v>
      </c>
    </row>
    <row r="279" spans="1:3" x14ac:dyDescent="0.25">
      <c r="A279" t="s">
        <v>62</v>
      </c>
      <c r="B279" t="s">
        <v>254</v>
      </c>
      <c r="C279">
        <v>0</v>
      </c>
    </row>
    <row r="280" spans="1:3" x14ac:dyDescent="0.25">
      <c r="A280" t="s">
        <v>62</v>
      </c>
      <c r="B280" t="s">
        <v>255</v>
      </c>
      <c r="C280">
        <v>0</v>
      </c>
    </row>
    <row r="281" spans="1:3" x14ac:dyDescent="0.25">
      <c r="A281" t="s">
        <v>62</v>
      </c>
      <c r="B281" t="s">
        <v>256</v>
      </c>
      <c r="C281">
        <v>0</v>
      </c>
    </row>
    <row r="282" spans="1:3" x14ac:dyDescent="0.25">
      <c r="A282" t="s">
        <v>62</v>
      </c>
      <c r="B282" t="s">
        <v>257</v>
      </c>
      <c r="C282">
        <v>0</v>
      </c>
    </row>
    <row r="283" spans="1:3" x14ac:dyDescent="0.25">
      <c r="A283" t="s">
        <v>62</v>
      </c>
      <c r="B283" t="s">
        <v>258</v>
      </c>
      <c r="C283">
        <v>0</v>
      </c>
    </row>
    <row r="284" spans="1:3" x14ac:dyDescent="0.25">
      <c r="A284" t="s">
        <v>62</v>
      </c>
      <c r="B284" t="s">
        <v>259</v>
      </c>
      <c r="C284">
        <v>0</v>
      </c>
    </row>
    <row r="285" spans="1:3" x14ac:dyDescent="0.25">
      <c r="A285" t="s">
        <v>62</v>
      </c>
      <c r="B285" t="s">
        <v>260</v>
      </c>
      <c r="C285">
        <v>33.357142857142854</v>
      </c>
    </row>
    <row r="286" spans="1:3" x14ac:dyDescent="0.25">
      <c r="A286" t="s">
        <v>62</v>
      </c>
      <c r="B286" t="s">
        <v>261</v>
      </c>
      <c r="C286">
        <v>47.157142857142858</v>
      </c>
    </row>
    <row r="287" spans="1:3" x14ac:dyDescent="0.25">
      <c r="A287" t="s">
        <v>62</v>
      </c>
      <c r="B287" t="s">
        <v>262</v>
      </c>
      <c r="C287">
        <v>40.614285714285714</v>
      </c>
    </row>
    <row r="288" spans="1:3" x14ac:dyDescent="0.25">
      <c r="A288" t="s">
        <v>62</v>
      </c>
      <c r="B288" t="s">
        <v>263</v>
      </c>
      <c r="C288">
        <v>0</v>
      </c>
    </row>
    <row r="289" spans="1:3" x14ac:dyDescent="0.25">
      <c r="A289" t="s">
        <v>62</v>
      </c>
      <c r="B289" t="s">
        <v>264</v>
      </c>
      <c r="C289">
        <v>23.37142857142857</v>
      </c>
    </row>
    <row r="290" spans="1:3" x14ac:dyDescent="0.25">
      <c r="A290" t="s">
        <v>62</v>
      </c>
      <c r="B290" t="s">
        <v>265</v>
      </c>
      <c r="C290">
        <v>0</v>
      </c>
    </row>
    <row r="291" spans="1:3" x14ac:dyDescent="0.25">
      <c r="A291" t="s">
        <v>62</v>
      </c>
      <c r="B291" t="s">
        <v>89</v>
      </c>
      <c r="C291">
        <v>40.028571428571425</v>
      </c>
    </row>
    <row r="292" spans="1:3" x14ac:dyDescent="0.25">
      <c r="A292" t="s">
        <v>61</v>
      </c>
      <c r="B292" t="s">
        <v>94</v>
      </c>
      <c r="C292">
        <v>0</v>
      </c>
    </row>
    <row r="293" spans="1:3" x14ac:dyDescent="0.25">
      <c r="A293" t="s">
        <v>61</v>
      </c>
      <c r="B293" t="s">
        <v>88</v>
      </c>
      <c r="C293">
        <v>0</v>
      </c>
    </row>
    <row r="294" spans="1:3" x14ac:dyDescent="0.25">
      <c r="A294" t="s">
        <v>61</v>
      </c>
      <c r="B294" t="s">
        <v>217</v>
      </c>
      <c r="C294">
        <v>20.24285714285714</v>
      </c>
    </row>
    <row r="295" spans="1:3" x14ac:dyDescent="0.25">
      <c r="A295" t="s">
        <v>61</v>
      </c>
      <c r="B295" t="s">
        <v>87</v>
      </c>
      <c r="C295">
        <v>0</v>
      </c>
    </row>
    <row r="296" spans="1:3" x14ac:dyDescent="0.25">
      <c r="A296" t="s">
        <v>61</v>
      </c>
      <c r="B296" t="s">
        <v>218</v>
      </c>
      <c r="C296">
        <v>0</v>
      </c>
    </row>
    <row r="297" spans="1:3" x14ac:dyDescent="0.25">
      <c r="A297" t="s">
        <v>61</v>
      </c>
      <c r="B297" t="s">
        <v>219</v>
      </c>
      <c r="C297">
        <v>0</v>
      </c>
    </row>
    <row r="298" spans="1:3" x14ac:dyDescent="0.25">
      <c r="A298" t="s">
        <v>61</v>
      </c>
      <c r="B298" t="s">
        <v>90</v>
      </c>
      <c r="C298">
        <v>0</v>
      </c>
    </row>
    <row r="299" spans="1:3" x14ac:dyDescent="0.25">
      <c r="A299" t="s">
        <v>61</v>
      </c>
      <c r="B299" t="s">
        <v>220</v>
      </c>
      <c r="C299">
        <v>0</v>
      </c>
    </row>
    <row r="300" spans="1:3" x14ac:dyDescent="0.25">
      <c r="A300" t="s">
        <v>61</v>
      </c>
      <c r="B300" t="s">
        <v>221</v>
      </c>
      <c r="C300">
        <v>0</v>
      </c>
    </row>
    <row r="301" spans="1:3" x14ac:dyDescent="0.25">
      <c r="A301" t="s">
        <v>61</v>
      </c>
      <c r="B301" t="s">
        <v>92</v>
      </c>
      <c r="C301">
        <v>0</v>
      </c>
    </row>
    <row r="302" spans="1:3" x14ac:dyDescent="0.25">
      <c r="A302" t="s">
        <v>61</v>
      </c>
      <c r="B302" t="s">
        <v>86</v>
      </c>
      <c r="C302">
        <v>37.214285714285715</v>
      </c>
    </row>
    <row r="303" spans="1:3" x14ac:dyDescent="0.25">
      <c r="A303" t="s">
        <v>61</v>
      </c>
      <c r="B303" t="s">
        <v>222</v>
      </c>
      <c r="C303">
        <v>0</v>
      </c>
    </row>
    <row r="304" spans="1:3" x14ac:dyDescent="0.25">
      <c r="A304" t="s">
        <v>61</v>
      </c>
      <c r="B304" t="s">
        <v>223</v>
      </c>
      <c r="C304">
        <v>0</v>
      </c>
    </row>
    <row r="305" spans="1:3" x14ac:dyDescent="0.25">
      <c r="A305" t="s">
        <v>61</v>
      </c>
      <c r="B305" t="s">
        <v>224</v>
      </c>
      <c r="C305">
        <v>0</v>
      </c>
    </row>
    <row r="306" spans="1:3" x14ac:dyDescent="0.25">
      <c r="A306" t="s">
        <v>61</v>
      </c>
      <c r="B306" t="s">
        <v>225</v>
      </c>
      <c r="C306">
        <v>0</v>
      </c>
    </row>
    <row r="307" spans="1:3" x14ac:dyDescent="0.25">
      <c r="A307" t="s">
        <v>61</v>
      </c>
      <c r="B307" t="s">
        <v>226</v>
      </c>
      <c r="C307">
        <v>7.7</v>
      </c>
    </row>
    <row r="308" spans="1:3" x14ac:dyDescent="0.25">
      <c r="A308" t="s">
        <v>61</v>
      </c>
      <c r="B308" t="s">
        <v>227</v>
      </c>
      <c r="C308">
        <v>31.7</v>
      </c>
    </row>
    <row r="309" spans="1:3" x14ac:dyDescent="0.25">
      <c r="A309" t="s">
        <v>61</v>
      </c>
      <c r="B309" t="s">
        <v>228</v>
      </c>
      <c r="C309">
        <v>0</v>
      </c>
    </row>
    <row r="310" spans="1:3" x14ac:dyDescent="0.25">
      <c r="A310" t="s">
        <v>61</v>
      </c>
      <c r="B310" t="s">
        <v>229</v>
      </c>
      <c r="C310">
        <v>68.214285714285708</v>
      </c>
    </row>
    <row r="311" spans="1:3" x14ac:dyDescent="0.25">
      <c r="A311" t="s">
        <v>61</v>
      </c>
      <c r="B311" t="s">
        <v>93</v>
      </c>
      <c r="C311">
        <v>41.74285714285714</v>
      </c>
    </row>
    <row r="312" spans="1:3" x14ac:dyDescent="0.25">
      <c r="A312" t="s">
        <v>61</v>
      </c>
      <c r="B312" t="s">
        <v>230</v>
      </c>
      <c r="C312">
        <v>27.542857142857144</v>
      </c>
    </row>
    <row r="313" spans="1:3" x14ac:dyDescent="0.25">
      <c r="A313" t="s">
        <v>61</v>
      </c>
      <c r="B313" t="s">
        <v>231</v>
      </c>
      <c r="C313">
        <v>0</v>
      </c>
    </row>
    <row r="314" spans="1:3" x14ac:dyDescent="0.25">
      <c r="A314" t="s">
        <v>61</v>
      </c>
      <c r="B314" t="s">
        <v>232</v>
      </c>
      <c r="C314">
        <v>0</v>
      </c>
    </row>
    <row r="315" spans="1:3" x14ac:dyDescent="0.25">
      <c r="A315" t="s">
        <v>61</v>
      </c>
      <c r="B315" t="s">
        <v>233</v>
      </c>
      <c r="C315">
        <v>0</v>
      </c>
    </row>
    <row r="316" spans="1:3" x14ac:dyDescent="0.25">
      <c r="A316" t="s">
        <v>61</v>
      </c>
      <c r="B316" t="s">
        <v>234</v>
      </c>
      <c r="C316">
        <v>0</v>
      </c>
    </row>
    <row r="317" spans="1:3" x14ac:dyDescent="0.25">
      <c r="A317" t="s">
        <v>61</v>
      </c>
      <c r="B317" t="s">
        <v>235</v>
      </c>
      <c r="C317">
        <v>10.4</v>
      </c>
    </row>
    <row r="318" spans="1:3" x14ac:dyDescent="0.25">
      <c r="A318" t="s">
        <v>61</v>
      </c>
      <c r="B318" t="s">
        <v>236</v>
      </c>
      <c r="C318">
        <v>0</v>
      </c>
    </row>
    <row r="319" spans="1:3" x14ac:dyDescent="0.25">
      <c r="A319" t="s">
        <v>61</v>
      </c>
      <c r="B319" t="s">
        <v>237</v>
      </c>
      <c r="C319">
        <v>0</v>
      </c>
    </row>
    <row r="320" spans="1:3" x14ac:dyDescent="0.25">
      <c r="A320" t="s">
        <v>61</v>
      </c>
      <c r="B320" t="s">
        <v>238</v>
      </c>
      <c r="C320">
        <v>16.842857142857145</v>
      </c>
    </row>
    <row r="321" spans="1:3" x14ac:dyDescent="0.25">
      <c r="A321" t="s">
        <v>61</v>
      </c>
      <c r="B321" t="s">
        <v>239</v>
      </c>
      <c r="C321">
        <v>0</v>
      </c>
    </row>
    <row r="322" spans="1:3" x14ac:dyDescent="0.25">
      <c r="A322" t="s">
        <v>61</v>
      </c>
      <c r="B322" t="s">
        <v>91</v>
      </c>
      <c r="C322">
        <v>17.5</v>
      </c>
    </row>
    <row r="323" spans="1:3" x14ac:dyDescent="0.25">
      <c r="A323" t="s">
        <v>61</v>
      </c>
      <c r="B323" t="s">
        <v>240</v>
      </c>
      <c r="C323">
        <v>0</v>
      </c>
    </row>
    <row r="324" spans="1:3" x14ac:dyDescent="0.25">
      <c r="A324" t="s">
        <v>61</v>
      </c>
      <c r="B324" t="s">
        <v>241</v>
      </c>
      <c r="C324">
        <v>0</v>
      </c>
    </row>
    <row r="325" spans="1:3" x14ac:dyDescent="0.25">
      <c r="A325" t="s">
        <v>61</v>
      </c>
      <c r="B325" t="s">
        <v>242</v>
      </c>
      <c r="C325">
        <v>0</v>
      </c>
    </row>
    <row r="326" spans="1:3" x14ac:dyDescent="0.25">
      <c r="A326" t="s">
        <v>61</v>
      </c>
      <c r="B326" t="s">
        <v>243</v>
      </c>
      <c r="C326">
        <v>0</v>
      </c>
    </row>
    <row r="327" spans="1:3" x14ac:dyDescent="0.25">
      <c r="A327" t="s">
        <v>61</v>
      </c>
      <c r="B327" t="s">
        <v>244</v>
      </c>
      <c r="C327">
        <v>27.057142857142857</v>
      </c>
    </row>
    <row r="328" spans="1:3" x14ac:dyDescent="0.25">
      <c r="A328" t="s">
        <v>61</v>
      </c>
      <c r="B328" t="s">
        <v>245</v>
      </c>
      <c r="C328">
        <v>0</v>
      </c>
    </row>
    <row r="329" spans="1:3" x14ac:dyDescent="0.25">
      <c r="A329" t="s">
        <v>61</v>
      </c>
      <c r="B329" t="s">
        <v>246</v>
      </c>
      <c r="C329">
        <v>11.157142857142857</v>
      </c>
    </row>
    <row r="330" spans="1:3" x14ac:dyDescent="0.25">
      <c r="A330" t="s">
        <v>61</v>
      </c>
      <c r="B330" t="s">
        <v>247</v>
      </c>
      <c r="C330">
        <v>10.885714285714286</v>
      </c>
    </row>
    <row r="331" spans="1:3" x14ac:dyDescent="0.25">
      <c r="A331" t="s">
        <v>61</v>
      </c>
      <c r="B331" t="s">
        <v>248</v>
      </c>
      <c r="C331">
        <v>0</v>
      </c>
    </row>
    <row r="332" spans="1:3" x14ac:dyDescent="0.25">
      <c r="A332" t="s">
        <v>61</v>
      </c>
      <c r="B332" t="s">
        <v>249</v>
      </c>
      <c r="C332">
        <v>0</v>
      </c>
    </row>
    <row r="333" spans="1:3" x14ac:dyDescent="0.25">
      <c r="A333" t="s">
        <v>61</v>
      </c>
      <c r="B333" t="s">
        <v>250</v>
      </c>
      <c r="C333">
        <v>0</v>
      </c>
    </row>
    <row r="334" spans="1:3" x14ac:dyDescent="0.25">
      <c r="A334" t="s">
        <v>61</v>
      </c>
      <c r="B334" t="s">
        <v>251</v>
      </c>
      <c r="C334">
        <v>0</v>
      </c>
    </row>
    <row r="335" spans="1:3" x14ac:dyDescent="0.25">
      <c r="A335" t="s">
        <v>61</v>
      </c>
      <c r="B335" t="s">
        <v>252</v>
      </c>
      <c r="C335">
        <v>0</v>
      </c>
    </row>
    <row r="336" spans="1:3" x14ac:dyDescent="0.25">
      <c r="A336" t="s">
        <v>61</v>
      </c>
      <c r="B336" t="s">
        <v>253</v>
      </c>
      <c r="C336">
        <v>0</v>
      </c>
    </row>
    <row r="337" spans="1:3" x14ac:dyDescent="0.25">
      <c r="A337" t="s">
        <v>61</v>
      </c>
      <c r="B337" t="s">
        <v>254</v>
      </c>
      <c r="C337">
        <v>0</v>
      </c>
    </row>
    <row r="338" spans="1:3" x14ac:dyDescent="0.25">
      <c r="A338" t="s">
        <v>61</v>
      </c>
      <c r="B338" t="s">
        <v>255</v>
      </c>
      <c r="C338">
        <v>0</v>
      </c>
    </row>
    <row r="339" spans="1:3" x14ac:dyDescent="0.25">
      <c r="A339" t="s">
        <v>61</v>
      </c>
      <c r="B339" t="s">
        <v>256</v>
      </c>
      <c r="C339">
        <v>0</v>
      </c>
    </row>
    <row r="340" spans="1:3" x14ac:dyDescent="0.25">
      <c r="A340" t="s">
        <v>61</v>
      </c>
      <c r="B340" t="s">
        <v>257</v>
      </c>
      <c r="C340">
        <v>0</v>
      </c>
    </row>
    <row r="341" spans="1:3" x14ac:dyDescent="0.25">
      <c r="A341" t="s">
        <v>61</v>
      </c>
      <c r="B341" t="s">
        <v>258</v>
      </c>
      <c r="C341">
        <v>0</v>
      </c>
    </row>
    <row r="342" spans="1:3" x14ac:dyDescent="0.25">
      <c r="A342" t="s">
        <v>61</v>
      </c>
      <c r="B342" t="s">
        <v>259</v>
      </c>
      <c r="C342">
        <v>0</v>
      </c>
    </row>
    <row r="343" spans="1:3" x14ac:dyDescent="0.25">
      <c r="A343" t="s">
        <v>61</v>
      </c>
      <c r="B343" t="s">
        <v>260</v>
      </c>
      <c r="C343">
        <v>0</v>
      </c>
    </row>
    <row r="344" spans="1:3" x14ac:dyDescent="0.25">
      <c r="A344" t="s">
        <v>61</v>
      </c>
      <c r="B344" t="s">
        <v>261</v>
      </c>
      <c r="C344">
        <v>37.114285714285714</v>
      </c>
    </row>
    <row r="345" spans="1:3" x14ac:dyDescent="0.25">
      <c r="A345" t="s">
        <v>61</v>
      </c>
      <c r="B345" t="s">
        <v>262</v>
      </c>
      <c r="C345">
        <v>36.542857142857144</v>
      </c>
    </row>
    <row r="346" spans="1:3" x14ac:dyDescent="0.25">
      <c r="A346" t="s">
        <v>61</v>
      </c>
      <c r="B346" t="s">
        <v>263</v>
      </c>
      <c r="C346">
        <v>0</v>
      </c>
    </row>
    <row r="347" spans="1:3" x14ac:dyDescent="0.25">
      <c r="A347" t="s">
        <v>61</v>
      </c>
      <c r="B347" t="s">
        <v>264</v>
      </c>
      <c r="C347">
        <v>22.971428571428572</v>
      </c>
    </row>
    <row r="348" spans="1:3" x14ac:dyDescent="0.25">
      <c r="A348" t="s">
        <v>61</v>
      </c>
      <c r="B348" t="s">
        <v>265</v>
      </c>
      <c r="C348">
        <v>0</v>
      </c>
    </row>
    <row r="349" spans="1:3" x14ac:dyDescent="0.25">
      <c r="A349" t="s">
        <v>61</v>
      </c>
      <c r="B349" t="s">
        <v>89</v>
      </c>
      <c r="C349">
        <v>0</v>
      </c>
    </row>
    <row r="350" spans="1:3" x14ac:dyDescent="0.25">
      <c r="A350" t="s">
        <v>60</v>
      </c>
      <c r="B350" t="s">
        <v>94</v>
      </c>
      <c r="C350">
        <v>0</v>
      </c>
    </row>
    <row r="351" spans="1:3" x14ac:dyDescent="0.25">
      <c r="A351" t="s">
        <v>60</v>
      </c>
      <c r="B351" t="s">
        <v>88</v>
      </c>
      <c r="C351">
        <v>0</v>
      </c>
    </row>
    <row r="352" spans="1:3" x14ac:dyDescent="0.25">
      <c r="A352" t="s">
        <v>60</v>
      </c>
      <c r="B352" t="s">
        <v>217</v>
      </c>
      <c r="C352">
        <v>0</v>
      </c>
    </row>
    <row r="353" spans="1:3" x14ac:dyDescent="0.25">
      <c r="A353" t="s">
        <v>60</v>
      </c>
      <c r="B353" t="s">
        <v>87</v>
      </c>
      <c r="C353">
        <v>0</v>
      </c>
    </row>
    <row r="354" spans="1:3" x14ac:dyDescent="0.25">
      <c r="A354" t="s">
        <v>60</v>
      </c>
      <c r="B354" t="s">
        <v>218</v>
      </c>
      <c r="C354">
        <v>0</v>
      </c>
    </row>
    <row r="355" spans="1:3" x14ac:dyDescent="0.25">
      <c r="A355" t="s">
        <v>60</v>
      </c>
      <c r="B355" t="s">
        <v>219</v>
      </c>
      <c r="C355">
        <v>0</v>
      </c>
    </row>
    <row r="356" spans="1:3" x14ac:dyDescent="0.25">
      <c r="A356" t="s">
        <v>60</v>
      </c>
      <c r="B356" t="s">
        <v>90</v>
      </c>
      <c r="C356">
        <v>0</v>
      </c>
    </row>
    <row r="357" spans="1:3" x14ac:dyDescent="0.25">
      <c r="A357" t="s">
        <v>60</v>
      </c>
      <c r="B357" t="s">
        <v>220</v>
      </c>
      <c r="C357">
        <v>0</v>
      </c>
    </row>
    <row r="358" spans="1:3" x14ac:dyDescent="0.25">
      <c r="A358" t="s">
        <v>60</v>
      </c>
      <c r="B358" t="s">
        <v>221</v>
      </c>
      <c r="C358">
        <v>0</v>
      </c>
    </row>
    <row r="359" spans="1:3" x14ac:dyDescent="0.25">
      <c r="A359" t="s">
        <v>60</v>
      </c>
      <c r="B359" t="s">
        <v>92</v>
      </c>
      <c r="C359">
        <v>0</v>
      </c>
    </row>
    <row r="360" spans="1:3" x14ac:dyDescent="0.25">
      <c r="A360" t="s">
        <v>60</v>
      </c>
      <c r="B360" t="s">
        <v>86</v>
      </c>
      <c r="C360">
        <v>16.928571428571427</v>
      </c>
    </row>
    <row r="361" spans="1:3" x14ac:dyDescent="0.25">
      <c r="A361" t="s">
        <v>60</v>
      </c>
      <c r="B361" t="s">
        <v>222</v>
      </c>
      <c r="C361">
        <v>0</v>
      </c>
    </row>
    <row r="362" spans="1:3" x14ac:dyDescent="0.25">
      <c r="A362" t="s">
        <v>60</v>
      </c>
      <c r="B362" t="s">
        <v>223</v>
      </c>
      <c r="C362">
        <v>0</v>
      </c>
    </row>
    <row r="363" spans="1:3" x14ac:dyDescent="0.25">
      <c r="A363" t="s">
        <v>60</v>
      </c>
      <c r="B363" t="s">
        <v>224</v>
      </c>
      <c r="C363">
        <v>0</v>
      </c>
    </row>
    <row r="364" spans="1:3" x14ac:dyDescent="0.25">
      <c r="A364" t="s">
        <v>60</v>
      </c>
      <c r="B364" t="s">
        <v>225</v>
      </c>
      <c r="C364">
        <v>0</v>
      </c>
    </row>
    <row r="365" spans="1:3" x14ac:dyDescent="0.25">
      <c r="A365" t="s">
        <v>60</v>
      </c>
      <c r="B365" t="s">
        <v>226</v>
      </c>
      <c r="C365">
        <v>0</v>
      </c>
    </row>
    <row r="366" spans="1:3" x14ac:dyDescent="0.25">
      <c r="A366" t="s">
        <v>60</v>
      </c>
      <c r="B366" t="s">
        <v>227</v>
      </c>
      <c r="C366">
        <v>16.314285714285713</v>
      </c>
    </row>
    <row r="367" spans="1:3" x14ac:dyDescent="0.25">
      <c r="A367" t="s">
        <v>60</v>
      </c>
      <c r="B367" t="s">
        <v>228</v>
      </c>
      <c r="C367">
        <v>0</v>
      </c>
    </row>
    <row r="368" spans="1:3" x14ac:dyDescent="0.25">
      <c r="A368" t="s">
        <v>60</v>
      </c>
      <c r="B368" t="s">
        <v>229</v>
      </c>
      <c r="C368">
        <v>34.485714285714288</v>
      </c>
    </row>
    <row r="369" spans="1:3" x14ac:dyDescent="0.25">
      <c r="A369" t="s">
        <v>60</v>
      </c>
      <c r="B369" t="s">
        <v>93</v>
      </c>
      <c r="C369">
        <v>17.942857142857143</v>
      </c>
    </row>
    <row r="370" spans="1:3" x14ac:dyDescent="0.25">
      <c r="A370" t="s">
        <v>60</v>
      </c>
      <c r="B370" t="s">
        <v>230</v>
      </c>
      <c r="C370">
        <v>0</v>
      </c>
    </row>
    <row r="371" spans="1:3" x14ac:dyDescent="0.25">
      <c r="A371" t="s">
        <v>60</v>
      </c>
      <c r="B371" t="s">
        <v>231</v>
      </c>
      <c r="C371">
        <v>0</v>
      </c>
    </row>
    <row r="372" spans="1:3" x14ac:dyDescent="0.25">
      <c r="A372" t="s">
        <v>60</v>
      </c>
      <c r="B372" t="s">
        <v>232</v>
      </c>
      <c r="C372">
        <v>0</v>
      </c>
    </row>
    <row r="373" spans="1:3" x14ac:dyDescent="0.25">
      <c r="A373" t="s">
        <v>60</v>
      </c>
      <c r="B373" t="s">
        <v>233</v>
      </c>
      <c r="C373">
        <v>0</v>
      </c>
    </row>
    <row r="374" spans="1:3" x14ac:dyDescent="0.25">
      <c r="A374" t="s">
        <v>60</v>
      </c>
      <c r="B374" t="s">
        <v>234</v>
      </c>
      <c r="C374">
        <v>0</v>
      </c>
    </row>
    <row r="375" spans="1:3" x14ac:dyDescent="0.25">
      <c r="A375" t="s">
        <v>60</v>
      </c>
      <c r="B375" t="s">
        <v>235</v>
      </c>
      <c r="C375">
        <v>0</v>
      </c>
    </row>
    <row r="376" spans="1:3" x14ac:dyDescent="0.25">
      <c r="A376" t="s">
        <v>60</v>
      </c>
      <c r="B376" t="s">
        <v>236</v>
      </c>
      <c r="C376">
        <v>0</v>
      </c>
    </row>
    <row r="377" spans="1:3" x14ac:dyDescent="0.25">
      <c r="A377" t="s">
        <v>60</v>
      </c>
      <c r="B377" t="s">
        <v>237</v>
      </c>
      <c r="C377">
        <v>0</v>
      </c>
    </row>
    <row r="378" spans="1:3" x14ac:dyDescent="0.25">
      <c r="A378" t="s">
        <v>60</v>
      </c>
      <c r="B378" t="s">
        <v>238</v>
      </c>
      <c r="C378">
        <v>0</v>
      </c>
    </row>
    <row r="379" spans="1:3" x14ac:dyDescent="0.25">
      <c r="A379" t="s">
        <v>60</v>
      </c>
      <c r="B379" t="s">
        <v>239</v>
      </c>
      <c r="C379">
        <v>0</v>
      </c>
    </row>
    <row r="380" spans="1:3" x14ac:dyDescent="0.25">
      <c r="A380" t="s">
        <v>60</v>
      </c>
      <c r="B380" t="s">
        <v>91</v>
      </c>
      <c r="C380">
        <v>0</v>
      </c>
    </row>
    <row r="381" spans="1:3" x14ac:dyDescent="0.25">
      <c r="A381" t="s">
        <v>60</v>
      </c>
      <c r="B381" t="s">
        <v>240</v>
      </c>
      <c r="C381">
        <v>0</v>
      </c>
    </row>
    <row r="382" spans="1:3" x14ac:dyDescent="0.25">
      <c r="A382" t="s">
        <v>60</v>
      </c>
      <c r="B382" t="s">
        <v>241</v>
      </c>
      <c r="C382">
        <v>0</v>
      </c>
    </row>
    <row r="383" spans="1:3" x14ac:dyDescent="0.25">
      <c r="A383" t="s">
        <v>60</v>
      </c>
      <c r="B383" t="s">
        <v>242</v>
      </c>
      <c r="C383">
        <v>0</v>
      </c>
    </row>
    <row r="384" spans="1:3" x14ac:dyDescent="0.25">
      <c r="A384" t="s">
        <v>60</v>
      </c>
      <c r="B384" t="s">
        <v>243</v>
      </c>
      <c r="C384">
        <v>0</v>
      </c>
    </row>
    <row r="385" spans="1:3" x14ac:dyDescent="0.25">
      <c r="A385" t="s">
        <v>60</v>
      </c>
      <c r="B385" t="s">
        <v>244</v>
      </c>
      <c r="C385">
        <v>0</v>
      </c>
    </row>
    <row r="386" spans="1:3" x14ac:dyDescent="0.25">
      <c r="A386" t="s">
        <v>60</v>
      </c>
      <c r="B386" t="s">
        <v>245</v>
      </c>
      <c r="C386">
        <v>0</v>
      </c>
    </row>
    <row r="387" spans="1:3" x14ac:dyDescent="0.25">
      <c r="A387" t="s">
        <v>60</v>
      </c>
      <c r="B387" t="s">
        <v>246</v>
      </c>
      <c r="C387">
        <v>0</v>
      </c>
    </row>
    <row r="388" spans="1:3" x14ac:dyDescent="0.25">
      <c r="A388" t="s">
        <v>60</v>
      </c>
      <c r="B388" t="s">
        <v>247</v>
      </c>
      <c r="C388">
        <v>0</v>
      </c>
    </row>
    <row r="389" spans="1:3" x14ac:dyDescent="0.25">
      <c r="A389" t="s">
        <v>60</v>
      </c>
      <c r="B389" t="s">
        <v>248</v>
      </c>
      <c r="C389">
        <v>0</v>
      </c>
    </row>
    <row r="390" spans="1:3" x14ac:dyDescent="0.25">
      <c r="A390" t="s">
        <v>60</v>
      </c>
      <c r="B390" t="s">
        <v>249</v>
      </c>
      <c r="C390">
        <v>0</v>
      </c>
    </row>
    <row r="391" spans="1:3" x14ac:dyDescent="0.25">
      <c r="A391" t="s">
        <v>60</v>
      </c>
      <c r="B391" t="s">
        <v>250</v>
      </c>
      <c r="C391">
        <v>0</v>
      </c>
    </row>
    <row r="392" spans="1:3" x14ac:dyDescent="0.25">
      <c r="A392" t="s">
        <v>60</v>
      </c>
      <c r="B392" t="s">
        <v>251</v>
      </c>
      <c r="C392">
        <v>0</v>
      </c>
    </row>
    <row r="393" spans="1:3" x14ac:dyDescent="0.25">
      <c r="A393" t="s">
        <v>60</v>
      </c>
      <c r="B393" t="s">
        <v>252</v>
      </c>
      <c r="C393">
        <v>0</v>
      </c>
    </row>
    <row r="394" spans="1:3" x14ac:dyDescent="0.25">
      <c r="A394" t="s">
        <v>60</v>
      </c>
      <c r="B394" t="s">
        <v>253</v>
      </c>
      <c r="C394">
        <v>0</v>
      </c>
    </row>
    <row r="395" spans="1:3" x14ac:dyDescent="0.25">
      <c r="A395" t="s">
        <v>60</v>
      </c>
      <c r="B395" t="s">
        <v>254</v>
      </c>
      <c r="C395">
        <v>0</v>
      </c>
    </row>
    <row r="396" spans="1:3" x14ac:dyDescent="0.25">
      <c r="A396" t="s">
        <v>60</v>
      </c>
      <c r="B396" t="s">
        <v>255</v>
      </c>
      <c r="C396">
        <v>0</v>
      </c>
    </row>
    <row r="397" spans="1:3" x14ac:dyDescent="0.25">
      <c r="A397" t="s">
        <v>60</v>
      </c>
      <c r="B397" t="s">
        <v>256</v>
      </c>
      <c r="C397">
        <v>0</v>
      </c>
    </row>
    <row r="398" spans="1:3" x14ac:dyDescent="0.25">
      <c r="A398" t="s">
        <v>60</v>
      </c>
      <c r="B398" t="s">
        <v>257</v>
      </c>
      <c r="C398">
        <v>0</v>
      </c>
    </row>
    <row r="399" spans="1:3" x14ac:dyDescent="0.25">
      <c r="A399" t="s">
        <v>60</v>
      </c>
      <c r="B399" t="s">
        <v>258</v>
      </c>
      <c r="C399">
        <v>0</v>
      </c>
    </row>
    <row r="400" spans="1:3" x14ac:dyDescent="0.25">
      <c r="A400" t="s">
        <v>60</v>
      </c>
      <c r="B400" t="s">
        <v>259</v>
      </c>
      <c r="C400">
        <v>0</v>
      </c>
    </row>
    <row r="401" spans="1:3" x14ac:dyDescent="0.25">
      <c r="A401" t="s">
        <v>60</v>
      </c>
      <c r="B401" t="s">
        <v>260</v>
      </c>
      <c r="C401">
        <v>0</v>
      </c>
    </row>
    <row r="402" spans="1:3" x14ac:dyDescent="0.25">
      <c r="A402" t="s">
        <v>60</v>
      </c>
      <c r="B402" t="s">
        <v>261</v>
      </c>
      <c r="C402">
        <v>14.6</v>
      </c>
    </row>
    <row r="403" spans="1:3" x14ac:dyDescent="0.25">
      <c r="A403" t="s">
        <v>60</v>
      </c>
      <c r="B403" t="s">
        <v>262</v>
      </c>
      <c r="C403">
        <v>15.299999999999999</v>
      </c>
    </row>
    <row r="404" spans="1:3" x14ac:dyDescent="0.25">
      <c r="A404" t="s">
        <v>60</v>
      </c>
      <c r="B404" t="s">
        <v>263</v>
      </c>
      <c r="C404">
        <v>0</v>
      </c>
    </row>
    <row r="405" spans="1:3" x14ac:dyDescent="0.25">
      <c r="A405" t="s">
        <v>60</v>
      </c>
      <c r="B405" t="s">
        <v>264</v>
      </c>
      <c r="C405">
        <v>0</v>
      </c>
    </row>
    <row r="406" spans="1:3" x14ac:dyDescent="0.25">
      <c r="A406" t="s">
        <v>60</v>
      </c>
      <c r="B406" t="s">
        <v>265</v>
      </c>
      <c r="C406">
        <v>0</v>
      </c>
    </row>
    <row r="407" spans="1:3" x14ac:dyDescent="0.25">
      <c r="A407" t="s">
        <v>60</v>
      </c>
      <c r="B407" t="s">
        <v>89</v>
      </c>
      <c r="C407">
        <v>0</v>
      </c>
    </row>
    <row r="408" spans="1:3" x14ac:dyDescent="0.25">
      <c r="A408" t="s">
        <v>58</v>
      </c>
      <c r="B408" t="s">
        <v>94</v>
      </c>
      <c r="C408">
        <v>12.385714285714286</v>
      </c>
    </row>
    <row r="409" spans="1:3" x14ac:dyDescent="0.25">
      <c r="A409" t="s">
        <v>58</v>
      </c>
      <c r="B409" t="s">
        <v>88</v>
      </c>
      <c r="C409">
        <v>23.585714285714285</v>
      </c>
    </row>
    <row r="410" spans="1:3" x14ac:dyDescent="0.25">
      <c r="A410" t="s">
        <v>58</v>
      </c>
      <c r="B410" t="s">
        <v>217</v>
      </c>
      <c r="C410">
        <v>0</v>
      </c>
    </row>
    <row r="411" spans="1:3" x14ac:dyDescent="0.25">
      <c r="A411" t="s">
        <v>58</v>
      </c>
      <c r="B411" t="s">
        <v>87</v>
      </c>
      <c r="C411">
        <v>0</v>
      </c>
    </row>
    <row r="412" spans="1:3" x14ac:dyDescent="0.25">
      <c r="A412" t="s">
        <v>58</v>
      </c>
      <c r="B412" t="s">
        <v>218</v>
      </c>
      <c r="C412">
        <v>21.028571428571428</v>
      </c>
    </row>
    <row r="413" spans="1:3" x14ac:dyDescent="0.25">
      <c r="A413" t="s">
        <v>58</v>
      </c>
      <c r="B413" t="s">
        <v>219</v>
      </c>
      <c r="C413">
        <v>0</v>
      </c>
    </row>
    <row r="414" spans="1:3" x14ac:dyDescent="0.25">
      <c r="A414" t="s">
        <v>58</v>
      </c>
      <c r="B414" t="s">
        <v>90</v>
      </c>
      <c r="C414">
        <v>11.242857142857144</v>
      </c>
    </row>
    <row r="415" spans="1:3" x14ac:dyDescent="0.25">
      <c r="A415" t="s">
        <v>58</v>
      </c>
      <c r="B415" t="s">
        <v>220</v>
      </c>
      <c r="C415">
        <v>0</v>
      </c>
    </row>
    <row r="416" spans="1:3" x14ac:dyDescent="0.25">
      <c r="A416" t="s">
        <v>58</v>
      </c>
      <c r="B416" t="s">
        <v>221</v>
      </c>
      <c r="C416">
        <v>0</v>
      </c>
    </row>
    <row r="417" spans="1:3" x14ac:dyDescent="0.25">
      <c r="A417" t="s">
        <v>58</v>
      </c>
      <c r="B417" t="s">
        <v>92</v>
      </c>
      <c r="C417">
        <v>0</v>
      </c>
    </row>
    <row r="418" spans="1:3" x14ac:dyDescent="0.25">
      <c r="A418" t="s">
        <v>58</v>
      </c>
      <c r="B418" t="s">
        <v>86</v>
      </c>
      <c r="C418">
        <v>42.98571428571428</v>
      </c>
    </row>
    <row r="419" spans="1:3" x14ac:dyDescent="0.25">
      <c r="A419" t="s">
        <v>58</v>
      </c>
      <c r="B419" t="s">
        <v>222</v>
      </c>
      <c r="C419">
        <v>0</v>
      </c>
    </row>
    <row r="420" spans="1:3" x14ac:dyDescent="0.25">
      <c r="A420" t="s">
        <v>58</v>
      </c>
      <c r="B420" t="s">
        <v>223</v>
      </c>
      <c r="C420">
        <v>29.8</v>
      </c>
    </row>
    <row r="421" spans="1:3" x14ac:dyDescent="0.25">
      <c r="A421" t="s">
        <v>58</v>
      </c>
      <c r="B421" t="s">
        <v>224</v>
      </c>
      <c r="C421">
        <v>0</v>
      </c>
    </row>
    <row r="422" spans="1:3" x14ac:dyDescent="0.25">
      <c r="A422" t="s">
        <v>58</v>
      </c>
      <c r="B422" t="s">
        <v>225</v>
      </c>
      <c r="C422">
        <v>0</v>
      </c>
    </row>
    <row r="423" spans="1:3" x14ac:dyDescent="0.25">
      <c r="A423" t="s">
        <v>58</v>
      </c>
      <c r="B423" t="s">
        <v>226</v>
      </c>
      <c r="C423">
        <v>11.757142857142856</v>
      </c>
    </row>
    <row r="424" spans="1:3" x14ac:dyDescent="0.25">
      <c r="A424" t="s">
        <v>58</v>
      </c>
      <c r="B424" t="s">
        <v>227</v>
      </c>
      <c r="C424">
        <v>41.028571428571425</v>
      </c>
    </row>
    <row r="425" spans="1:3" x14ac:dyDescent="0.25">
      <c r="A425" t="s">
        <v>58</v>
      </c>
      <c r="B425" t="s">
        <v>228</v>
      </c>
      <c r="C425">
        <v>0</v>
      </c>
    </row>
    <row r="426" spans="1:3" x14ac:dyDescent="0.25">
      <c r="A426" t="s">
        <v>58</v>
      </c>
      <c r="B426" t="s">
        <v>229</v>
      </c>
      <c r="C426">
        <v>79.385714285714286</v>
      </c>
    </row>
    <row r="427" spans="1:3" x14ac:dyDescent="0.25">
      <c r="A427" t="s">
        <v>58</v>
      </c>
      <c r="B427" t="s">
        <v>93</v>
      </c>
      <c r="C427">
        <v>50.25714285714286</v>
      </c>
    </row>
    <row r="428" spans="1:3" x14ac:dyDescent="0.25">
      <c r="A428" t="s">
        <v>58</v>
      </c>
      <c r="B428" t="s">
        <v>230</v>
      </c>
      <c r="C428">
        <v>0</v>
      </c>
    </row>
    <row r="429" spans="1:3" x14ac:dyDescent="0.25">
      <c r="A429" t="s">
        <v>58</v>
      </c>
      <c r="B429" t="s">
        <v>231</v>
      </c>
      <c r="C429">
        <v>0</v>
      </c>
    </row>
    <row r="430" spans="1:3" x14ac:dyDescent="0.25">
      <c r="A430" t="s">
        <v>58</v>
      </c>
      <c r="B430" t="s">
        <v>232</v>
      </c>
      <c r="C430">
        <v>0</v>
      </c>
    </row>
    <row r="431" spans="1:3" x14ac:dyDescent="0.25">
      <c r="A431" t="s">
        <v>58</v>
      </c>
      <c r="B431" t="s">
        <v>233</v>
      </c>
      <c r="C431">
        <v>0</v>
      </c>
    </row>
    <row r="432" spans="1:3" x14ac:dyDescent="0.25">
      <c r="A432" t="s">
        <v>58</v>
      </c>
      <c r="B432" t="s">
        <v>234</v>
      </c>
      <c r="C432">
        <v>0</v>
      </c>
    </row>
    <row r="433" spans="1:3" x14ac:dyDescent="0.25">
      <c r="A433" t="s">
        <v>58</v>
      </c>
      <c r="B433" t="s">
        <v>235</v>
      </c>
      <c r="C433">
        <v>11.885714285714286</v>
      </c>
    </row>
    <row r="434" spans="1:3" x14ac:dyDescent="0.25">
      <c r="A434" t="s">
        <v>58</v>
      </c>
      <c r="B434" t="s">
        <v>236</v>
      </c>
      <c r="C434">
        <v>0</v>
      </c>
    </row>
    <row r="435" spans="1:3" x14ac:dyDescent="0.25">
      <c r="A435" t="s">
        <v>58</v>
      </c>
      <c r="B435" t="s">
        <v>237</v>
      </c>
      <c r="C435">
        <v>0</v>
      </c>
    </row>
    <row r="436" spans="1:3" x14ac:dyDescent="0.25">
      <c r="A436" t="s">
        <v>58</v>
      </c>
      <c r="B436" t="s">
        <v>238</v>
      </c>
      <c r="C436">
        <v>0</v>
      </c>
    </row>
    <row r="437" spans="1:3" x14ac:dyDescent="0.25">
      <c r="A437" t="s">
        <v>58</v>
      </c>
      <c r="B437" t="s">
        <v>239</v>
      </c>
      <c r="C437">
        <v>23.24285714285714</v>
      </c>
    </row>
    <row r="438" spans="1:3" x14ac:dyDescent="0.25">
      <c r="A438" t="s">
        <v>58</v>
      </c>
      <c r="B438" t="s">
        <v>91</v>
      </c>
      <c r="C438">
        <v>22.928571428571427</v>
      </c>
    </row>
    <row r="439" spans="1:3" x14ac:dyDescent="0.25">
      <c r="A439" t="s">
        <v>58</v>
      </c>
      <c r="B439" t="s">
        <v>240</v>
      </c>
      <c r="C439">
        <v>0</v>
      </c>
    </row>
    <row r="440" spans="1:3" x14ac:dyDescent="0.25">
      <c r="A440" t="s">
        <v>58</v>
      </c>
      <c r="B440" t="s">
        <v>241</v>
      </c>
      <c r="C440">
        <v>0</v>
      </c>
    </row>
    <row r="441" spans="1:3" x14ac:dyDescent="0.25">
      <c r="A441" t="s">
        <v>58</v>
      </c>
      <c r="B441" t="s">
        <v>242</v>
      </c>
      <c r="C441">
        <v>0</v>
      </c>
    </row>
    <row r="442" spans="1:3" x14ac:dyDescent="0.25">
      <c r="A442" t="s">
        <v>58</v>
      </c>
      <c r="B442" t="s">
        <v>243</v>
      </c>
      <c r="C442">
        <v>0</v>
      </c>
    </row>
    <row r="443" spans="1:3" x14ac:dyDescent="0.25">
      <c r="A443" t="s">
        <v>58</v>
      </c>
      <c r="B443" t="s">
        <v>244</v>
      </c>
      <c r="C443">
        <v>42.457142857142856</v>
      </c>
    </row>
    <row r="444" spans="1:3" x14ac:dyDescent="0.25">
      <c r="A444" t="s">
        <v>58</v>
      </c>
      <c r="B444" t="s">
        <v>245</v>
      </c>
      <c r="C444">
        <v>0</v>
      </c>
    </row>
    <row r="445" spans="1:3" x14ac:dyDescent="0.25">
      <c r="A445" t="s">
        <v>58</v>
      </c>
      <c r="B445" t="s">
        <v>246</v>
      </c>
      <c r="C445">
        <v>0</v>
      </c>
    </row>
    <row r="446" spans="1:3" x14ac:dyDescent="0.25">
      <c r="A446" t="s">
        <v>58</v>
      </c>
      <c r="B446" t="s">
        <v>247</v>
      </c>
      <c r="C446">
        <v>0</v>
      </c>
    </row>
    <row r="447" spans="1:3" x14ac:dyDescent="0.25">
      <c r="A447" t="s">
        <v>58</v>
      </c>
      <c r="B447" t="s">
        <v>248</v>
      </c>
      <c r="C447">
        <v>0</v>
      </c>
    </row>
    <row r="448" spans="1:3" x14ac:dyDescent="0.25">
      <c r="A448" t="s">
        <v>58</v>
      </c>
      <c r="B448" t="s">
        <v>249</v>
      </c>
      <c r="C448">
        <v>24.714285714285715</v>
      </c>
    </row>
    <row r="449" spans="1:3" x14ac:dyDescent="0.25">
      <c r="A449" t="s">
        <v>58</v>
      </c>
      <c r="B449" t="s">
        <v>250</v>
      </c>
      <c r="C449">
        <v>0</v>
      </c>
    </row>
    <row r="450" spans="1:3" x14ac:dyDescent="0.25">
      <c r="A450" t="s">
        <v>58</v>
      </c>
      <c r="B450" t="s">
        <v>251</v>
      </c>
      <c r="C450">
        <v>0</v>
      </c>
    </row>
    <row r="451" spans="1:3" x14ac:dyDescent="0.25">
      <c r="A451" t="s">
        <v>58</v>
      </c>
      <c r="B451" t="s">
        <v>252</v>
      </c>
      <c r="C451">
        <v>21.785714285714285</v>
      </c>
    </row>
    <row r="452" spans="1:3" x14ac:dyDescent="0.25">
      <c r="A452" t="s">
        <v>58</v>
      </c>
      <c r="B452" t="s">
        <v>253</v>
      </c>
      <c r="C452">
        <v>0</v>
      </c>
    </row>
    <row r="453" spans="1:3" x14ac:dyDescent="0.25">
      <c r="A453" t="s">
        <v>58</v>
      </c>
      <c r="B453" t="s">
        <v>254</v>
      </c>
      <c r="C453">
        <v>0</v>
      </c>
    </row>
    <row r="454" spans="1:3" x14ac:dyDescent="0.25">
      <c r="A454" t="s">
        <v>58</v>
      </c>
      <c r="B454" t="s">
        <v>255</v>
      </c>
      <c r="C454">
        <v>0</v>
      </c>
    </row>
    <row r="455" spans="1:3" x14ac:dyDescent="0.25">
      <c r="A455" t="s">
        <v>58</v>
      </c>
      <c r="B455" t="s">
        <v>256</v>
      </c>
      <c r="C455">
        <v>0</v>
      </c>
    </row>
    <row r="456" spans="1:3" x14ac:dyDescent="0.25">
      <c r="A456" t="s">
        <v>58</v>
      </c>
      <c r="B456" t="s">
        <v>257</v>
      </c>
      <c r="C456">
        <v>33.114285714285714</v>
      </c>
    </row>
    <row r="457" spans="1:3" x14ac:dyDescent="0.25">
      <c r="A457" t="s">
        <v>58</v>
      </c>
      <c r="B457" t="s">
        <v>258</v>
      </c>
      <c r="C457">
        <v>0</v>
      </c>
    </row>
    <row r="458" spans="1:3" x14ac:dyDescent="0.25">
      <c r="A458" t="s">
        <v>58</v>
      </c>
      <c r="B458" t="s">
        <v>259</v>
      </c>
      <c r="C458">
        <v>0</v>
      </c>
    </row>
    <row r="459" spans="1:3" x14ac:dyDescent="0.25">
      <c r="A459" t="s">
        <v>58</v>
      </c>
      <c r="B459" t="s">
        <v>260</v>
      </c>
      <c r="C459">
        <v>0</v>
      </c>
    </row>
    <row r="460" spans="1:3" x14ac:dyDescent="0.25">
      <c r="A460" t="s">
        <v>58</v>
      </c>
      <c r="B460" t="s">
        <v>261</v>
      </c>
      <c r="C460">
        <v>37.885714285714286</v>
      </c>
    </row>
    <row r="461" spans="1:3" x14ac:dyDescent="0.25">
      <c r="A461" t="s">
        <v>58</v>
      </c>
      <c r="B461" t="s">
        <v>262</v>
      </c>
      <c r="C461">
        <v>44.24285714285714</v>
      </c>
    </row>
    <row r="462" spans="1:3" x14ac:dyDescent="0.25">
      <c r="A462" t="s">
        <v>58</v>
      </c>
      <c r="B462" t="s">
        <v>263</v>
      </c>
      <c r="C462">
        <v>0</v>
      </c>
    </row>
    <row r="463" spans="1:3" x14ac:dyDescent="0.25">
      <c r="A463" t="s">
        <v>58</v>
      </c>
      <c r="B463" t="s">
        <v>264</v>
      </c>
      <c r="C463">
        <v>29</v>
      </c>
    </row>
    <row r="464" spans="1:3" x14ac:dyDescent="0.25">
      <c r="A464" t="s">
        <v>58</v>
      </c>
      <c r="B464" t="s">
        <v>265</v>
      </c>
      <c r="C464">
        <v>0</v>
      </c>
    </row>
    <row r="465" spans="1:3" x14ac:dyDescent="0.25">
      <c r="A465" t="s">
        <v>58</v>
      </c>
      <c r="B465" t="s">
        <v>89</v>
      </c>
      <c r="C465">
        <v>26.142857142857142</v>
      </c>
    </row>
    <row r="466" spans="1:3" x14ac:dyDescent="0.25">
      <c r="A466" t="s">
        <v>57</v>
      </c>
      <c r="B466" t="s">
        <v>94</v>
      </c>
      <c r="C466">
        <v>0</v>
      </c>
    </row>
    <row r="467" spans="1:3" x14ac:dyDescent="0.25">
      <c r="A467" t="s">
        <v>57</v>
      </c>
      <c r="B467" t="s">
        <v>88</v>
      </c>
      <c r="C467">
        <v>5.3999999999999995</v>
      </c>
    </row>
    <row r="468" spans="1:3" x14ac:dyDescent="0.25">
      <c r="A468" t="s">
        <v>57</v>
      </c>
      <c r="B468" t="s">
        <v>217</v>
      </c>
      <c r="C468">
        <v>0</v>
      </c>
    </row>
    <row r="469" spans="1:3" x14ac:dyDescent="0.25">
      <c r="A469" t="s">
        <v>57</v>
      </c>
      <c r="B469" t="s">
        <v>87</v>
      </c>
      <c r="C469">
        <v>0</v>
      </c>
    </row>
    <row r="470" spans="1:3" x14ac:dyDescent="0.25">
      <c r="A470" t="s">
        <v>57</v>
      </c>
      <c r="B470" t="s">
        <v>218</v>
      </c>
      <c r="C470">
        <v>0</v>
      </c>
    </row>
    <row r="471" spans="1:3" x14ac:dyDescent="0.25">
      <c r="A471" t="s">
        <v>57</v>
      </c>
      <c r="B471" t="s">
        <v>219</v>
      </c>
      <c r="C471">
        <v>0</v>
      </c>
    </row>
    <row r="472" spans="1:3" x14ac:dyDescent="0.25">
      <c r="A472" t="s">
        <v>57</v>
      </c>
      <c r="B472" t="s">
        <v>90</v>
      </c>
      <c r="C472">
        <v>0</v>
      </c>
    </row>
    <row r="473" spans="1:3" x14ac:dyDescent="0.25">
      <c r="A473" t="s">
        <v>57</v>
      </c>
      <c r="B473" t="s">
        <v>220</v>
      </c>
      <c r="C473">
        <v>0</v>
      </c>
    </row>
    <row r="474" spans="1:3" x14ac:dyDescent="0.25">
      <c r="A474" t="s">
        <v>57</v>
      </c>
      <c r="B474" t="s">
        <v>221</v>
      </c>
      <c r="C474">
        <v>0</v>
      </c>
    </row>
    <row r="475" spans="1:3" x14ac:dyDescent="0.25">
      <c r="A475" t="s">
        <v>57</v>
      </c>
      <c r="B475" t="s">
        <v>92</v>
      </c>
      <c r="C475">
        <v>3.0571428571428569</v>
      </c>
    </row>
    <row r="476" spans="1:3" x14ac:dyDescent="0.25">
      <c r="A476" t="s">
        <v>57</v>
      </c>
      <c r="B476" t="s">
        <v>86</v>
      </c>
      <c r="C476">
        <v>27.928571428571427</v>
      </c>
    </row>
    <row r="477" spans="1:3" x14ac:dyDescent="0.25">
      <c r="A477" t="s">
        <v>57</v>
      </c>
      <c r="B477" t="s">
        <v>222</v>
      </c>
      <c r="C477">
        <v>0</v>
      </c>
    </row>
    <row r="478" spans="1:3" x14ac:dyDescent="0.25">
      <c r="A478" t="s">
        <v>57</v>
      </c>
      <c r="B478" t="s">
        <v>223</v>
      </c>
      <c r="C478">
        <v>0</v>
      </c>
    </row>
    <row r="479" spans="1:3" x14ac:dyDescent="0.25">
      <c r="A479" t="s">
        <v>57</v>
      </c>
      <c r="B479" t="s">
        <v>224</v>
      </c>
      <c r="C479">
        <v>0</v>
      </c>
    </row>
    <row r="480" spans="1:3" x14ac:dyDescent="0.25">
      <c r="A480" t="s">
        <v>57</v>
      </c>
      <c r="B480" t="s">
        <v>225</v>
      </c>
      <c r="C480">
        <v>0</v>
      </c>
    </row>
    <row r="481" spans="1:3" x14ac:dyDescent="0.25">
      <c r="A481" t="s">
        <v>57</v>
      </c>
      <c r="B481" t="s">
        <v>226</v>
      </c>
      <c r="C481">
        <v>0</v>
      </c>
    </row>
    <row r="482" spans="1:3" x14ac:dyDescent="0.25">
      <c r="A482" t="s">
        <v>57</v>
      </c>
      <c r="B482" t="s">
        <v>227</v>
      </c>
      <c r="C482">
        <v>21.885714285714283</v>
      </c>
    </row>
    <row r="483" spans="1:3" x14ac:dyDescent="0.25">
      <c r="A483" t="s">
        <v>57</v>
      </c>
      <c r="B483" t="s">
        <v>228</v>
      </c>
      <c r="C483">
        <v>0</v>
      </c>
    </row>
    <row r="484" spans="1:3" x14ac:dyDescent="0.25">
      <c r="A484" t="s">
        <v>57</v>
      </c>
      <c r="B484" t="s">
        <v>229</v>
      </c>
      <c r="C484">
        <v>40.471428571428575</v>
      </c>
    </row>
    <row r="485" spans="1:3" x14ac:dyDescent="0.25">
      <c r="A485" t="s">
        <v>57</v>
      </c>
      <c r="B485" t="s">
        <v>93</v>
      </c>
      <c r="C485">
        <v>25.114285714285717</v>
      </c>
    </row>
    <row r="486" spans="1:3" x14ac:dyDescent="0.25">
      <c r="A486" t="s">
        <v>57</v>
      </c>
      <c r="B486" t="s">
        <v>230</v>
      </c>
      <c r="C486">
        <v>0</v>
      </c>
    </row>
    <row r="487" spans="1:3" x14ac:dyDescent="0.25">
      <c r="A487" t="s">
        <v>57</v>
      </c>
      <c r="B487" t="s">
        <v>231</v>
      </c>
      <c r="C487">
        <v>0</v>
      </c>
    </row>
    <row r="488" spans="1:3" x14ac:dyDescent="0.25">
      <c r="A488" t="s">
        <v>57</v>
      </c>
      <c r="B488" t="s">
        <v>232</v>
      </c>
      <c r="C488">
        <v>0</v>
      </c>
    </row>
    <row r="489" spans="1:3" x14ac:dyDescent="0.25">
      <c r="A489" t="s">
        <v>57</v>
      </c>
      <c r="B489" t="s">
        <v>233</v>
      </c>
      <c r="C489">
        <v>0</v>
      </c>
    </row>
    <row r="490" spans="1:3" x14ac:dyDescent="0.25">
      <c r="A490" t="s">
        <v>57</v>
      </c>
      <c r="B490" t="s">
        <v>234</v>
      </c>
      <c r="C490">
        <v>0</v>
      </c>
    </row>
    <row r="491" spans="1:3" x14ac:dyDescent="0.25">
      <c r="A491" t="s">
        <v>57</v>
      </c>
      <c r="B491" t="s">
        <v>235</v>
      </c>
      <c r="C491">
        <v>6.7714285714285714</v>
      </c>
    </row>
    <row r="492" spans="1:3" x14ac:dyDescent="0.25">
      <c r="A492" t="s">
        <v>57</v>
      </c>
      <c r="B492" t="s">
        <v>236</v>
      </c>
      <c r="C492">
        <v>0</v>
      </c>
    </row>
    <row r="493" spans="1:3" x14ac:dyDescent="0.25">
      <c r="A493" t="s">
        <v>57</v>
      </c>
      <c r="B493" t="s">
        <v>237</v>
      </c>
      <c r="C493">
        <v>0</v>
      </c>
    </row>
    <row r="494" spans="1:3" x14ac:dyDescent="0.25">
      <c r="A494" t="s">
        <v>57</v>
      </c>
      <c r="B494" t="s">
        <v>238</v>
      </c>
      <c r="C494">
        <v>0</v>
      </c>
    </row>
    <row r="495" spans="1:3" x14ac:dyDescent="0.25">
      <c r="A495" t="s">
        <v>57</v>
      </c>
      <c r="B495" t="s">
        <v>239</v>
      </c>
      <c r="C495">
        <v>0</v>
      </c>
    </row>
    <row r="496" spans="1:3" x14ac:dyDescent="0.25">
      <c r="A496" t="s">
        <v>57</v>
      </c>
      <c r="B496" t="s">
        <v>91</v>
      </c>
      <c r="C496">
        <v>10.62857142857143</v>
      </c>
    </row>
    <row r="497" spans="1:3" x14ac:dyDescent="0.25">
      <c r="A497" t="s">
        <v>57</v>
      </c>
      <c r="B497" t="s">
        <v>240</v>
      </c>
      <c r="C497">
        <v>0</v>
      </c>
    </row>
    <row r="498" spans="1:3" x14ac:dyDescent="0.25">
      <c r="A498" t="s">
        <v>57</v>
      </c>
      <c r="B498" t="s">
        <v>241</v>
      </c>
      <c r="C498">
        <v>0</v>
      </c>
    </row>
    <row r="499" spans="1:3" x14ac:dyDescent="0.25">
      <c r="A499" t="s">
        <v>57</v>
      </c>
      <c r="B499" t="s">
        <v>242</v>
      </c>
      <c r="C499">
        <v>0</v>
      </c>
    </row>
    <row r="500" spans="1:3" x14ac:dyDescent="0.25">
      <c r="A500" t="s">
        <v>57</v>
      </c>
      <c r="B500" t="s">
        <v>243</v>
      </c>
      <c r="C500">
        <v>0</v>
      </c>
    </row>
    <row r="501" spans="1:3" x14ac:dyDescent="0.25">
      <c r="A501" t="s">
        <v>57</v>
      </c>
      <c r="B501" t="s">
        <v>244</v>
      </c>
      <c r="C501">
        <v>0</v>
      </c>
    </row>
    <row r="502" spans="1:3" x14ac:dyDescent="0.25">
      <c r="A502" t="s">
        <v>57</v>
      </c>
      <c r="B502" t="s">
        <v>245</v>
      </c>
      <c r="C502">
        <v>0</v>
      </c>
    </row>
    <row r="503" spans="1:3" x14ac:dyDescent="0.25">
      <c r="A503" t="s">
        <v>57</v>
      </c>
      <c r="B503" t="s">
        <v>246</v>
      </c>
      <c r="C503">
        <v>0</v>
      </c>
    </row>
    <row r="504" spans="1:3" x14ac:dyDescent="0.25">
      <c r="A504" t="s">
        <v>57</v>
      </c>
      <c r="B504" t="s">
        <v>247</v>
      </c>
      <c r="C504">
        <v>7.8714285714285719</v>
      </c>
    </row>
    <row r="505" spans="1:3" x14ac:dyDescent="0.25">
      <c r="A505" t="s">
        <v>57</v>
      </c>
      <c r="B505" t="s">
        <v>248</v>
      </c>
      <c r="C505">
        <v>0</v>
      </c>
    </row>
    <row r="506" spans="1:3" x14ac:dyDescent="0.25">
      <c r="A506" t="s">
        <v>57</v>
      </c>
      <c r="B506" t="s">
        <v>249</v>
      </c>
      <c r="C506">
        <v>11.614285714285714</v>
      </c>
    </row>
    <row r="507" spans="1:3" x14ac:dyDescent="0.25">
      <c r="A507" t="s">
        <v>57</v>
      </c>
      <c r="B507" t="s">
        <v>250</v>
      </c>
      <c r="C507">
        <v>0</v>
      </c>
    </row>
    <row r="508" spans="1:3" x14ac:dyDescent="0.25">
      <c r="A508" t="s">
        <v>57</v>
      </c>
      <c r="B508" t="s">
        <v>251</v>
      </c>
      <c r="C508">
        <v>0</v>
      </c>
    </row>
    <row r="509" spans="1:3" x14ac:dyDescent="0.25">
      <c r="A509" t="s">
        <v>57</v>
      </c>
      <c r="B509" t="s">
        <v>252</v>
      </c>
      <c r="C509">
        <v>0</v>
      </c>
    </row>
    <row r="510" spans="1:3" x14ac:dyDescent="0.25">
      <c r="A510" t="s">
        <v>57</v>
      </c>
      <c r="B510" t="s">
        <v>253</v>
      </c>
      <c r="C510">
        <v>0</v>
      </c>
    </row>
    <row r="511" spans="1:3" x14ac:dyDescent="0.25">
      <c r="A511" t="s">
        <v>57</v>
      </c>
      <c r="B511" t="s">
        <v>254</v>
      </c>
      <c r="C511">
        <v>0</v>
      </c>
    </row>
    <row r="512" spans="1:3" x14ac:dyDescent="0.25">
      <c r="A512" t="s">
        <v>57</v>
      </c>
      <c r="B512" t="s">
        <v>255</v>
      </c>
      <c r="C512">
        <v>0</v>
      </c>
    </row>
    <row r="513" spans="1:3" x14ac:dyDescent="0.25">
      <c r="A513" t="s">
        <v>57</v>
      </c>
      <c r="B513" t="s">
        <v>256</v>
      </c>
      <c r="C513">
        <v>0</v>
      </c>
    </row>
    <row r="514" spans="1:3" x14ac:dyDescent="0.25">
      <c r="A514" t="s">
        <v>57</v>
      </c>
      <c r="B514" t="s">
        <v>257</v>
      </c>
      <c r="C514">
        <v>0</v>
      </c>
    </row>
    <row r="515" spans="1:3" x14ac:dyDescent="0.25">
      <c r="A515" t="s">
        <v>57</v>
      </c>
      <c r="B515" t="s">
        <v>258</v>
      </c>
      <c r="C515">
        <v>0</v>
      </c>
    </row>
    <row r="516" spans="1:3" x14ac:dyDescent="0.25">
      <c r="A516" t="s">
        <v>57</v>
      </c>
      <c r="B516" t="s">
        <v>259</v>
      </c>
      <c r="C516">
        <v>0</v>
      </c>
    </row>
    <row r="517" spans="1:3" x14ac:dyDescent="0.25">
      <c r="A517" t="s">
        <v>57</v>
      </c>
      <c r="B517" t="s">
        <v>260</v>
      </c>
      <c r="C517">
        <v>0</v>
      </c>
    </row>
    <row r="518" spans="1:3" x14ac:dyDescent="0.25">
      <c r="A518" t="s">
        <v>57</v>
      </c>
      <c r="B518" t="s">
        <v>261</v>
      </c>
      <c r="C518">
        <v>21.142857142857142</v>
      </c>
    </row>
    <row r="519" spans="1:3" x14ac:dyDescent="0.25">
      <c r="A519" t="s">
        <v>57</v>
      </c>
      <c r="B519" t="s">
        <v>262</v>
      </c>
      <c r="C519">
        <v>20.714285714285715</v>
      </c>
    </row>
    <row r="520" spans="1:3" x14ac:dyDescent="0.25">
      <c r="A520" t="s">
        <v>57</v>
      </c>
      <c r="B520" t="s">
        <v>263</v>
      </c>
      <c r="C520">
        <v>0</v>
      </c>
    </row>
    <row r="521" spans="1:3" x14ac:dyDescent="0.25">
      <c r="A521" t="s">
        <v>57</v>
      </c>
      <c r="B521" t="s">
        <v>264</v>
      </c>
      <c r="C521">
        <v>0</v>
      </c>
    </row>
    <row r="522" spans="1:3" x14ac:dyDescent="0.25">
      <c r="A522" t="s">
        <v>57</v>
      </c>
      <c r="B522" t="s">
        <v>265</v>
      </c>
      <c r="C522">
        <v>0</v>
      </c>
    </row>
    <row r="523" spans="1:3" x14ac:dyDescent="0.25">
      <c r="A523" t="s">
        <v>57</v>
      </c>
      <c r="B523" t="s">
        <v>89</v>
      </c>
      <c r="C523">
        <v>7.7142857142857144</v>
      </c>
    </row>
    <row r="524" spans="1:3" x14ac:dyDescent="0.25">
      <c r="A524" t="s">
        <v>55</v>
      </c>
      <c r="B524" t="s">
        <v>94</v>
      </c>
      <c r="C524">
        <v>0</v>
      </c>
    </row>
    <row r="525" spans="1:3" x14ac:dyDescent="0.25">
      <c r="A525" t="s">
        <v>55</v>
      </c>
      <c r="B525" t="s">
        <v>88</v>
      </c>
      <c r="C525">
        <v>17.385714285714286</v>
      </c>
    </row>
    <row r="526" spans="1:3" x14ac:dyDescent="0.25">
      <c r="A526" t="s">
        <v>55</v>
      </c>
      <c r="B526" t="s">
        <v>217</v>
      </c>
      <c r="C526">
        <v>0</v>
      </c>
    </row>
    <row r="527" spans="1:3" x14ac:dyDescent="0.25">
      <c r="A527" t="s">
        <v>55</v>
      </c>
      <c r="B527" t="s">
        <v>87</v>
      </c>
      <c r="C527">
        <v>0</v>
      </c>
    </row>
    <row r="528" spans="1:3" x14ac:dyDescent="0.25">
      <c r="A528" t="s">
        <v>55</v>
      </c>
      <c r="B528" t="s">
        <v>218</v>
      </c>
      <c r="C528">
        <v>0</v>
      </c>
    </row>
    <row r="529" spans="1:3" x14ac:dyDescent="0.25">
      <c r="A529" t="s">
        <v>55</v>
      </c>
      <c r="B529" t="s">
        <v>219</v>
      </c>
      <c r="C529">
        <v>12.842857142857143</v>
      </c>
    </row>
    <row r="530" spans="1:3" x14ac:dyDescent="0.25">
      <c r="A530" t="s">
        <v>55</v>
      </c>
      <c r="B530" t="s">
        <v>90</v>
      </c>
      <c r="C530">
        <v>0</v>
      </c>
    </row>
    <row r="531" spans="1:3" x14ac:dyDescent="0.25">
      <c r="A531" t="s">
        <v>55</v>
      </c>
      <c r="B531" t="s">
        <v>220</v>
      </c>
      <c r="C531">
        <v>0</v>
      </c>
    </row>
    <row r="532" spans="1:3" x14ac:dyDescent="0.25">
      <c r="A532" t="s">
        <v>55</v>
      </c>
      <c r="B532" t="s">
        <v>221</v>
      </c>
      <c r="C532">
        <v>0</v>
      </c>
    </row>
    <row r="533" spans="1:3" x14ac:dyDescent="0.25">
      <c r="A533" t="s">
        <v>55</v>
      </c>
      <c r="B533" t="s">
        <v>92</v>
      </c>
      <c r="C533">
        <v>0</v>
      </c>
    </row>
    <row r="534" spans="1:3" x14ac:dyDescent="0.25">
      <c r="A534" t="s">
        <v>55</v>
      </c>
      <c r="B534" t="s">
        <v>86</v>
      </c>
      <c r="C534">
        <v>45.142857142857146</v>
      </c>
    </row>
    <row r="535" spans="1:3" x14ac:dyDescent="0.25">
      <c r="A535" t="s">
        <v>55</v>
      </c>
      <c r="B535" t="s">
        <v>222</v>
      </c>
      <c r="C535">
        <v>0</v>
      </c>
    </row>
    <row r="536" spans="1:3" x14ac:dyDescent="0.25">
      <c r="A536" t="s">
        <v>55</v>
      </c>
      <c r="B536" t="s">
        <v>223</v>
      </c>
      <c r="C536">
        <v>0</v>
      </c>
    </row>
    <row r="537" spans="1:3" x14ac:dyDescent="0.25">
      <c r="A537" t="s">
        <v>55</v>
      </c>
      <c r="B537" t="s">
        <v>224</v>
      </c>
      <c r="C537">
        <v>0</v>
      </c>
    </row>
    <row r="538" spans="1:3" x14ac:dyDescent="0.25">
      <c r="A538" t="s">
        <v>55</v>
      </c>
      <c r="B538" t="s">
        <v>225</v>
      </c>
      <c r="C538">
        <v>0</v>
      </c>
    </row>
    <row r="539" spans="1:3" x14ac:dyDescent="0.25">
      <c r="A539" t="s">
        <v>55</v>
      </c>
      <c r="B539" t="s">
        <v>226</v>
      </c>
      <c r="C539">
        <v>11.414285714285715</v>
      </c>
    </row>
    <row r="540" spans="1:3" x14ac:dyDescent="0.25">
      <c r="A540" t="s">
        <v>55</v>
      </c>
      <c r="B540" t="s">
        <v>227</v>
      </c>
      <c r="C540">
        <v>47.585714285714289</v>
      </c>
    </row>
    <row r="541" spans="1:3" x14ac:dyDescent="0.25">
      <c r="A541" t="s">
        <v>55</v>
      </c>
      <c r="B541" t="s">
        <v>228</v>
      </c>
      <c r="C541">
        <v>0</v>
      </c>
    </row>
    <row r="542" spans="1:3" x14ac:dyDescent="0.25">
      <c r="A542" t="s">
        <v>55</v>
      </c>
      <c r="B542" t="s">
        <v>229</v>
      </c>
      <c r="C542">
        <v>79.657142857142858</v>
      </c>
    </row>
    <row r="543" spans="1:3" x14ac:dyDescent="0.25">
      <c r="A543" t="s">
        <v>55</v>
      </c>
      <c r="B543" t="s">
        <v>93</v>
      </c>
      <c r="C543">
        <v>45.699999999999996</v>
      </c>
    </row>
    <row r="544" spans="1:3" x14ac:dyDescent="0.25">
      <c r="A544" t="s">
        <v>55</v>
      </c>
      <c r="B544" t="s">
        <v>230</v>
      </c>
      <c r="C544">
        <v>0</v>
      </c>
    </row>
    <row r="545" spans="1:3" x14ac:dyDescent="0.25">
      <c r="A545" t="s">
        <v>55</v>
      </c>
      <c r="B545" t="s">
        <v>231</v>
      </c>
      <c r="C545">
        <v>0</v>
      </c>
    </row>
    <row r="546" spans="1:3" x14ac:dyDescent="0.25">
      <c r="A546" t="s">
        <v>55</v>
      </c>
      <c r="B546" t="s">
        <v>232</v>
      </c>
      <c r="C546">
        <v>0</v>
      </c>
    </row>
    <row r="547" spans="1:3" x14ac:dyDescent="0.25">
      <c r="A547" t="s">
        <v>55</v>
      </c>
      <c r="B547" t="s">
        <v>233</v>
      </c>
      <c r="C547">
        <v>0</v>
      </c>
    </row>
    <row r="548" spans="1:3" x14ac:dyDescent="0.25">
      <c r="A548" t="s">
        <v>55</v>
      </c>
      <c r="B548" t="s">
        <v>234</v>
      </c>
      <c r="C548">
        <v>0</v>
      </c>
    </row>
    <row r="549" spans="1:3" x14ac:dyDescent="0.25">
      <c r="A549" t="s">
        <v>55</v>
      </c>
      <c r="B549" t="s">
        <v>235</v>
      </c>
      <c r="C549">
        <v>20.442857142857143</v>
      </c>
    </row>
    <row r="550" spans="1:3" x14ac:dyDescent="0.25">
      <c r="A550" t="s">
        <v>55</v>
      </c>
      <c r="B550" t="s">
        <v>236</v>
      </c>
      <c r="C550">
        <v>0</v>
      </c>
    </row>
    <row r="551" spans="1:3" x14ac:dyDescent="0.25">
      <c r="A551" t="s">
        <v>55</v>
      </c>
      <c r="B551" t="s">
        <v>237</v>
      </c>
      <c r="C551">
        <v>0</v>
      </c>
    </row>
    <row r="552" spans="1:3" x14ac:dyDescent="0.25">
      <c r="A552" t="s">
        <v>55</v>
      </c>
      <c r="B552" t="s">
        <v>238</v>
      </c>
      <c r="C552">
        <v>0</v>
      </c>
    </row>
    <row r="553" spans="1:3" x14ac:dyDescent="0.25">
      <c r="A553" t="s">
        <v>55</v>
      </c>
      <c r="B553" t="s">
        <v>239</v>
      </c>
      <c r="C553">
        <v>7</v>
      </c>
    </row>
    <row r="554" spans="1:3" x14ac:dyDescent="0.25">
      <c r="A554" t="s">
        <v>55</v>
      </c>
      <c r="B554" t="s">
        <v>91</v>
      </c>
      <c r="C554">
        <v>16.657142857142855</v>
      </c>
    </row>
    <row r="555" spans="1:3" x14ac:dyDescent="0.25">
      <c r="A555" t="s">
        <v>55</v>
      </c>
      <c r="B555" t="s">
        <v>240</v>
      </c>
      <c r="C555">
        <v>0</v>
      </c>
    </row>
    <row r="556" spans="1:3" x14ac:dyDescent="0.25">
      <c r="A556" t="s">
        <v>55</v>
      </c>
      <c r="B556" t="s">
        <v>241</v>
      </c>
      <c r="C556">
        <v>0</v>
      </c>
    </row>
    <row r="557" spans="1:3" x14ac:dyDescent="0.25">
      <c r="A557" t="s">
        <v>55</v>
      </c>
      <c r="B557" t="s">
        <v>242</v>
      </c>
      <c r="C557">
        <v>0</v>
      </c>
    </row>
    <row r="558" spans="1:3" x14ac:dyDescent="0.25">
      <c r="A558" t="s">
        <v>55</v>
      </c>
      <c r="B558" t="s">
        <v>243</v>
      </c>
      <c r="C558">
        <v>27.914285714285715</v>
      </c>
    </row>
    <row r="559" spans="1:3" x14ac:dyDescent="0.25">
      <c r="A559" t="s">
        <v>55</v>
      </c>
      <c r="B559" t="s">
        <v>244</v>
      </c>
      <c r="C559">
        <v>43.98571428571428</v>
      </c>
    </row>
    <row r="560" spans="1:3" x14ac:dyDescent="0.25">
      <c r="A560" t="s">
        <v>55</v>
      </c>
      <c r="B560" t="s">
        <v>245</v>
      </c>
      <c r="C560">
        <v>0</v>
      </c>
    </row>
    <row r="561" spans="1:3" x14ac:dyDescent="0.25">
      <c r="A561" t="s">
        <v>55</v>
      </c>
      <c r="B561" t="s">
        <v>246</v>
      </c>
      <c r="C561">
        <v>0</v>
      </c>
    </row>
    <row r="562" spans="1:3" x14ac:dyDescent="0.25">
      <c r="A562" t="s">
        <v>55</v>
      </c>
      <c r="B562" t="s">
        <v>247</v>
      </c>
      <c r="C562">
        <v>0</v>
      </c>
    </row>
    <row r="563" spans="1:3" x14ac:dyDescent="0.25">
      <c r="A563" t="s">
        <v>55</v>
      </c>
      <c r="B563" t="s">
        <v>248</v>
      </c>
      <c r="C563">
        <v>0</v>
      </c>
    </row>
    <row r="564" spans="1:3" x14ac:dyDescent="0.25">
      <c r="A564" t="s">
        <v>55</v>
      </c>
      <c r="B564" t="s">
        <v>249</v>
      </c>
      <c r="C564">
        <v>21.5</v>
      </c>
    </row>
    <row r="565" spans="1:3" x14ac:dyDescent="0.25">
      <c r="A565" t="s">
        <v>55</v>
      </c>
      <c r="B565" t="s">
        <v>250</v>
      </c>
      <c r="C565">
        <v>0</v>
      </c>
    </row>
    <row r="566" spans="1:3" x14ac:dyDescent="0.25">
      <c r="A566" t="s">
        <v>55</v>
      </c>
      <c r="B566" t="s">
        <v>251</v>
      </c>
      <c r="C566">
        <v>0</v>
      </c>
    </row>
    <row r="567" spans="1:3" x14ac:dyDescent="0.25">
      <c r="A567" t="s">
        <v>55</v>
      </c>
      <c r="B567" t="s">
        <v>252</v>
      </c>
      <c r="C567">
        <v>27.071428571428573</v>
      </c>
    </row>
    <row r="568" spans="1:3" x14ac:dyDescent="0.25">
      <c r="A568" t="s">
        <v>55</v>
      </c>
      <c r="B568" t="s">
        <v>253</v>
      </c>
      <c r="C568">
        <v>0</v>
      </c>
    </row>
    <row r="569" spans="1:3" x14ac:dyDescent="0.25">
      <c r="A569" t="s">
        <v>55</v>
      </c>
      <c r="B569" t="s">
        <v>254</v>
      </c>
      <c r="C569">
        <v>0</v>
      </c>
    </row>
    <row r="570" spans="1:3" x14ac:dyDescent="0.25">
      <c r="A570" t="s">
        <v>55</v>
      </c>
      <c r="B570" t="s">
        <v>255</v>
      </c>
      <c r="C570">
        <v>0</v>
      </c>
    </row>
    <row r="571" spans="1:3" x14ac:dyDescent="0.25">
      <c r="A571" t="s">
        <v>55</v>
      </c>
      <c r="B571" t="s">
        <v>256</v>
      </c>
      <c r="C571">
        <v>23.485714285714288</v>
      </c>
    </row>
    <row r="572" spans="1:3" x14ac:dyDescent="0.25">
      <c r="A572" t="s">
        <v>55</v>
      </c>
      <c r="B572" t="s">
        <v>257</v>
      </c>
      <c r="C572">
        <v>0</v>
      </c>
    </row>
    <row r="573" spans="1:3" x14ac:dyDescent="0.25">
      <c r="A573" t="s">
        <v>55</v>
      </c>
      <c r="B573" t="s">
        <v>258</v>
      </c>
      <c r="C573">
        <v>0</v>
      </c>
    </row>
    <row r="574" spans="1:3" x14ac:dyDescent="0.25">
      <c r="A574" t="s">
        <v>55</v>
      </c>
      <c r="B574" t="s">
        <v>259</v>
      </c>
      <c r="C574">
        <v>0</v>
      </c>
    </row>
    <row r="575" spans="1:3" x14ac:dyDescent="0.25">
      <c r="A575" t="s">
        <v>55</v>
      </c>
      <c r="B575" t="s">
        <v>260</v>
      </c>
      <c r="C575">
        <v>0</v>
      </c>
    </row>
    <row r="576" spans="1:3" x14ac:dyDescent="0.25">
      <c r="A576" t="s">
        <v>55</v>
      </c>
      <c r="B576" t="s">
        <v>261</v>
      </c>
      <c r="C576">
        <v>38.48571428571428</v>
      </c>
    </row>
    <row r="577" spans="1:3" x14ac:dyDescent="0.25">
      <c r="A577" t="s">
        <v>55</v>
      </c>
      <c r="B577" t="s">
        <v>262</v>
      </c>
      <c r="C577">
        <v>34.471428571428575</v>
      </c>
    </row>
    <row r="578" spans="1:3" x14ac:dyDescent="0.25">
      <c r="A578" t="s">
        <v>55</v>
      </c>
      <c r="B578" t="s">
        <v>263</v>
      </c>
      <c r="C578">
        <v>0</v>
      </c>
    </row>
    <row r="579" spans="1:3" x14ac:dyDescent="0.25">
      <c r="A579" t="s">
        <v>55</v>
      </c>
      <c r="B579" t="s">
        <v>264</v>
      </c>
      <c r="C579">
        <v>0</v>
      </c>
    </row>
    <row r="580" spans="1:3" x14ac:dyDescent="0.25">
      <c r="A580" t="s">
        <v>55</v>
      </c>
      <c r="B580" t="s">
        <v>265</v>
      </c>
      <c r="C580">
        <v>0</v>
      </c>
    </row>
    <row r="581" spans="1:3" x14ac:dyDescent="0.25">
      <c r="A581" t="s">
        <v>55</v>
      </c>
      <c r="B581" t="s">
        <v>89</v>
      </c>
      <c r="C581">
        <v>0</v>
      </c>
    </row>
    <row r="582" spans="1:3" x14ac:dyDescent="0.25">
      <c r="A582" t="s">
        <v>0</v>
      </c>
      <c r="B582" t="s">
        <v>94</v>
      </c>
      <c r="C582">
        <v>0</v>
      </c>
    </row>
    <row r="583" spans="1:3" x14ac:dyDescent="0.25">
      <c r="A583" t="s">
        <v>0</v>
      </c>
      <c r="B583" t="s">
        <v>88</v>
      </c>
      <c r="C583">
        <v>0</v>
      </c>
    </row>
    <row r="584" spans="1:3" x14ac:dyDescent="0.25">
      <c r="A584" t="s">
        <v>0</v>
      </c>
      <c r="B584" t="s">
        <v>217</v>
      </c>
      <c r="C584">
        <v>21.542857142857144</v>
      </c>
    </row>
    <row r="585" spans="1:3" x14ac:dyDescent="0.25">
      <c r="A585" t="s">
        <v>0</v>
      </c>
      <c r="B585" t="s">
        <v>87</v>
      </c>
      <c r="C585">
        <v>19.8</v>
      </c>
    </row>
    <row r="586" spans="1:3" x14ac:dyDescent="0.25">
      <c r="A586" t="s">
        <v>0</v>
      </c>
      <c r="B586" t="s">
        <v>218</v>
      </c>
      <c r="C586">
        <v>0</v>
      </c>
    </row>
    <row r="587" spans="1:3" x14ac:dyDescent="0.25">
      <c r="A587" t="s">
        <v>0</v>
      </c>
      <c r="B587" t="s">
        <v>219</v>
      </c>
      <c r="C587">
        <v>0</v>
      </c>
    </row>
    <row r="588" spans="1:3" x14ac:dyDescent="0.25">
      <c r="A588" t="s">
        <v>0</v>
      </c>
      <c r="B588" t="s">
        <v>90</v>
      </c>
      <c r="C588">
        <v>19.671428571428571</v>
      </c>
    </row>
    <row r="589" spans="1:3" x14ac:dyDescent="0.25">
      <c r="A589" t="s">
        <v>0</v>
      </c>
      <c r="B589" t="s">
        <v>220</v>
      </c>
      <c r="C589">
        <v>0</v>
      </c>
    </row>
    <row r="590" spans="1:3" x14ac:dyDescent="0.25">
      <c r="A590" t="s">
        <v>0</v>
      </c>
      <c r="B590" t="s">
        <v>221</v>
      </c>
      <c r="C590">
        <v>0</v>
      </c>
    </row>
    <row r="591" spans="1:3" x14ac:dyDescent="0.25">
      <c r="A591" t="s">
        <v>0</v>
      </c>
      <c r="B591" t="s">
        <v>92</v>
      </c>
      <c r="C591">
        <v>0</v>
      </c>
    </row>
    <row r="592" spans="1:3" x14ac:dyDescent="0.25">
      <c r="A592" t="s">
        <v>0</v>
      </c>
      <c r="B592" t="s">
        <v>86</v>
      </c>
      <c r="C592">
        <v>50.657142857142858</v>
      </c>
    </row>
    <row r="593" spans="1:3" x14ac:dyDescent="0.25">
      <c r="A593" t="s">
        <v>0</v>
      </c>
      <c r="B593" t="s">
        <v>222</v>
      </c>
      <c r="C593">
        <v>0</v>
      </c>
    </row>
    <row r="594" spans="1:3" x14ac:dyDescent="0.25">
      <c r="A594" t="s">
        <v>0</v>
      </c>
      <c r="B594" t="s">
        <v>223</v>
      </c>
      <c r="C594">
        <v>0</v>
      </c>
    </row>
    <row r="595" spans="1:3" x14ac:dyDescent="0.25">
      <c r="A595" t="s">
        <v>0</v>
      </c>
      <c r="B595" t="s">
        <v>224</v>
      </c>
      <c r="C595">
        <v>0</v>
      </c>
    </row>
    <row r="596" spans="1:3" x14ac:dyDescent="0.25">
      <c r="A596" t="s">
        <v>0</v>
      </c>
      <c r="B596" t="s">
        <v>225</v>
      </c>
      <c r="C596">
        <v>0</v>
      </c>
    </row>
    <row r="597" spans="1:3" x14ac:dyDescent="0.25">
      <c r="A597" t="s">
        <v>0</v>
      </c>
      <c r="B597" t="s">
        <v>226</v>
      </c>
      <c r="C597">
        <v>11.157142857142857</v>
      </c>
    </row>
    <row r="598" spans="1:3" x14ac:dyDescent="0.25">
      <c r="A598" t="s">
        <v>0</v>
      </c>
      <c r="B598" t="s">
        <v>227</v>
      </c>
      <c r="C598">
        <v>53.199999999999996</v>
      </c>
    </row>
    <row r="599" spans="1:3" x14ac:dyDescent="0.25">
      <c r="A599" t="s">
        <v>0</v>
      </c>
      <c r="B599" t="s">
        <v>228</v>
      </c>
      <c r="C599">
        <v>0</v>
      </c>
    </row>
    <row r="600" spans="1:3" x14ac:dyDescent="0.25">
      <c r="A600" t="s">
        <v>0</v>
      </c>
      <c r="B600" t="s">
        <v>229</v>
      </c>
      <c r="C600">
        <v>84</v>
      </c>
    </row>
    <row r="601" spans="1:3" x14ac:dyDescent="0.25">
      <c r="A601" t="s">
        <v>0</v>
      </c>
      <c r="B601" t="s">
        <v>93</v>
      </c>
      <c r="C601">
        <v>41.671428571428571</v>
      </c>
    </row>
    <row r="602" spans="1:3" x14ac:dyDescent="0.25">
      <c r="A602" t="s">
        <v>0</v>
      </c>
      <c r="B602" t="s">
        <v>230</v>
      </c>
      <c r="C602">
        <v>0</v>
      </c>
    </row>
    <row r="603" spans="1:3" x14ac:dyDescent="0.25">
      <c r="A603" t="s">
        <v>0</v>
      </c>
      <c r="B603" t="s">
        <v>231</v>
      </c>
      <c r="C603">
        <v>0</v>
      </c>
    </row>
    <row r="604" spans="1:3" x14ac:dyDescent="0.25">
      <c r="A604" t="s">
        <v>0</v>
      </c>
      <c r="B604" t="s">
        <v>232</v>
      </c>
      <c r="C604">
        <v>0</v>
      </c>
    </row>
    <row r="605" spans="1:3" x14ac:dyDescent="0.25">
      <c r="A605" t="s">
        <v>0</v>
      </c>
      <c r="B605" t="s">
        <v>233</v>
      </c>
      <c r="C605">
        <v>0</v>
      </c>
    </row>
    <row r="606" spans="1:3" x14ac:dyDescent="0.25">
      <c r="A606" t="s">
        <v>0</v>
      </c>
      <c r="B606" t="s">
        <v>234</v>
      </c>
      <c r="C606">
        <v>0</v>
      </c>
    </row>
    <row r="607" spans="1:3" x14ac:dyDescent="0.25">
      <c r="A607" t="s">
        <v>0</v>
      </c>
      <c r="B607" t="s">
        <v>235</v>
      </c>
      <c r="C607">
        <v>15.685714285714285</v>
      </c>
    </row>
    <row r="608" spans="1:3" x14ac:dyDescent="0.25">
      <c r="A608" t="s">
        <v>0</v>
      </c>
      <c r="B608" t="s">
        <v>236</v>
      </c>
      <c r="C608">
        <v>0</v>
      </c>
    </row>
    <row r="609" spans="1:3" x14ac:dyDescent="0.25">
      <c r="A609" t="s">
        <v>0</v>
      </c>
      <c r="B609" t="s">
        <v>237</v>
      </c>
      <c r="C609">
        <v>0</v>
      </c>
    </row>
    <row r="610" spans="1:3" x14ac:dyDescent="0.25">
      <c r="A610" t="s">
        <v>0</v>
      </c>
      <c r="B610" t="s">
        <v>238</v>
      </c>
      <c r="C610">
        <v>0</v>
      </c>
    </row>
    <row r="611" spans="1:3" x14ac:dyDescent="0.25">
      <c r="A611" t="s">
        <v>0</v>
      </c>
      <c r="B611" t="s">
        <v>239</v>
      </c>
      <c r="C611">
        <v>29.12857142857143</v>
      </c>
    </row>
    <row r="612" spans="1:3" x14ac:dyDescent="0.25">
      <c r="A612" t="s">
        <v>0</v>
      </c>
      <c r="B612" t="s">
        <v>91</v>
      </c>
      <c r="C612">
        <v>20.3</v>
      </c>
    </row>
    <row r="613" spans="1:3" x14ac:dyDescent="0.25">
      <c r="A613" t="s">
        <v>0</v>
      </c>
      <c r="B613" t="s">
        <v>240</v>
      </c>
      <c r="C613">
        <v>0</v>
      </c>
    </row>
    <row r="614" spans="1:3" x14ac:dyDescent="0.25">
      <c r="A614" t="s">
        <v>0</v>
      </c>
      <c r="B614" t="s">
        <v>241</v>
      </c>
      <c r="C614">
        <v>0</v>
      </c>
    </row>
    <row r="615" spans="1:3" x14ac:dyDescent="0.25">
      <c r="A615" t="s">
        <v>0</v>
      </c>
      <c r="B615" t="s">
        <v>242</v>
      </c>
      <c r="C615">
        <v>0</v>
      </c>
    </row>
    <row r="616" spans="1:3" x14ac:dyDescent="0.25">
      <c r="A616" t="s">
        <v>0</v>
      </c>
      <c r="B616" t="s">
        <v>243</v>
      </c>
      <c r="C616">
        <v>0</v>
      </c>
    </row>
    <row r="617" spans="1:3" x14ac:dyDescent="0.25">
      <c r="A617" t="s">
        <v>0</v>
      </c>
      <c r="B617" t="s">
        <v>244</v>
      </c>
      <c r="C617">
        <v>0</v>
      </c>
    </row>
    <row r="618" spans="1:3" x14ac:dyDescent="0.25">
      <c r="A618" t="s">
        <v>0</v>
      </c>
      <c r="B618" t="s">
        <v>245</v>
      </c>
      <c r="C618">
        <v>0</v>
      </c>
    </row>
    <row r="619" spans="1:3" x14ac:dyDescent="0.25">
      <c r="A619" t="s">
        <v>0</v>
      </c>
      <c r="B619" t="s">
        <v>246</v>
      </c>
      <c r="C619">
        <v>0</v>
      </c>
    </row>
    <row r="620" spans="1:3" x14ac:dyDescent="0.25">
      <c r="A620" t="s">
        <v>0</v>
      </c>
      <c r="B620" t="s">
        <v>247</v>
      </c>
      <c r="C620">
        <v>14.228571428571428</v>
      </c>
    </row>
    <row r="621" spans="1:3" x14ac:dyDescent="0.25">
      <c r="A621" t="s">
        <v>0</v>
      </c>
      <c r="B621" t="s">
        <v>248</v>
      </c>
      <c r="C621">
        <v>0</v>
      </c>
    </row>
    <row r="622" spans="1:3" x14ac:dyDescent="0.25">
      <c r="A622" t="s">
        <v>0</v>
      </c>
      <c r="B622" t="s">
        <v>249</v>
      </c>
      <c r="C622">
        <v>8.6285714285714281</v>
      </c>
    </row>
    <row r="623" spans="1:3" x14ac:dyDescent="0.25">
      <c r="A623" t="s">
        <v>0</v>
      </c>
      <c r="B623" t="s">
        <v>250</v>
      </c>
      <c r="C623">
        <v>0</v>
      </c>
    </row>
    <row r="624" spans="1:3" x14ac:dyDescent="0.25">
      <c r="A624" t="s">
        <v>0</v>
      </c>
      <c r="B624" t="s">
        <v>251</v>
      </c>
      <c r="C624">
        <v>0</v>
      </c>
    </row>
    <row r="625" spans="1:3" x14ac:dyDescent="0.25">
      <c r="A625" t="s">
        <v>0</v>
      </c>
      <c r="B625" t="s">
        <v>252</v>
      </c>
      <c r="C625">
        <v>0</v>
      </c>
    </row>
    <row r="626" spans="1:3" x14ac:dyDescent="0.25">
      <c r="A626" t="s">
        <v>0</v>
      </c>
      <c r="B626" t="s">
        <v>253</v>
      </c>
      <c r="C626">
        <v>0</v>
      </c>
    </row>
    <row r="627" spans="1:3" x14ac:dyDescent="0.25">
      <c r="A627" t="s">
        <v>0</v>
      </c>
      <c r="B627" t="s">
        <v>254</v>
      </c>
      <c r="C627">
        <v>0</v>
      </c>
    </row>
    <row r="628" spans="1:3" x14ac:dyDescent="0.25">
      <c r="A628" t="s">
        <v>0</v>
      </c>
      <c r="B628" t="s">
        <v>255</v>
      </c>
      <c r="C628">
        <v>0</v>
      </c>
    </row>
    <row r="629" spans="1:3" x14ac:dyDescent="0.25">
      <c r="A629" t="s">
        <v>0</v>
      </c>
      <c r="B629" t="s">
        <v>256</v>
      </c>
      <c r="C629">
        <v>0</v>
      </c>
    </row>
    <row r="630" spans="1:3" x14ac:dyDescent="0.25">
      <c r="A630" t="s">
        <v>0</v>
      </c>
      <c r="B630" t="s">
        <v>257</v>
      </c>
      <c r="C630">
        <v>0</v>
      </c>
    </row>
    <row r="631" spans="1:3" x14ac:dyDescent="0.25">
      <c r="A631" t="s">
        <v>0</v>
      </c>
      <c r="B631" t="s">
        <v>258</v>
      </c>
      <c r="C631">
        <v>0</v>
      </c>
    </row>
    <row r="632" spans="1:3" x14ac:dyDescent="0.25">
      <c r="A632" t="s">
        <v>0</v>
      </c>
      <c r="B632" t="s">
        <v>259</v>
      </c>
      <c r="C632">
        <v>0</v>
      </c>
    </row>
    <row r="633" spans="1:3" x14ac:dyDescent="0.25">
      <c r="A633" t="s">
        <v>0</v>
      </c>
      <c r="B633" t="s">
        <v>260</v>
      </c>
      <c r="C633">
        <v>0</v>
      </c>
    </row>
    <row r="634" spans="1:3" x14ac:dyDescent="0.25">
      <c r="A634" t="s">
        <v>0</v>
      </c>
      <c r="B634" t="s">
        <v>261</v>
      </c>
      <c r="C634">
        <v>32.642857142857146</v>
      </c>
    </row>
    <row r="635" spans="1:3" x14ac:dyDescent="0.25">
      <c r="A635" t="s">
        <v>0</v>
      </c>
      <c r="B635" t="s">
        <v>262</v>
      </c>
      <c r="C635">
        <v>39.98571428571428</v>
      </c>
    </row>
    <row r="636" spans="1:3" x14ac:dyDescent="0.25">
      <c r="A636" t="s">
        <v>0</v>
      </c>
      <c r="B636" t="s">
        <v>263</v>
      </c>
      <c r="C636">
        <v>0</v>
      </c>
    </row>
    <row r="637" spans="1:3" x14ac:dyDescent="0.25">
      <c r="A637" t="s">
        <v>0</v>
      </c>
      <c r="B637" t="s">
        <v>264</v>
      </c>
      <c r="C637">
        <v>0</v>
      </c>
    </row>
    <row r="638" spans="1:3" x14ac:dyDescent="0.25">
      <c r="A638" t="s">
        <v>0</v>
      </c>
      <c r="B638" t="s">
        <v>265</v>
      </c>
      <c r="C638">
        <v>0</v>
      </c>
    </row>
    <row r="639" spans="1:3" x14ac:dyDescent="0.25">
      <c r="A639" t="s">
        <v>0</v>
      </c>
      <c r="B639" t="s">
        <v>89</v>
      </c>
      <c r="C639">
        <v>26.74285714285714</v>
      </c>
    </row>
  </sheetData>
  <autoFilter ref="A1:C639" xr:uid="{2E9F2812-542D-41EF-A914-32A8866351D4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826DC-310E-492F-BDF8-3175299C1734}">
  <sheetPr codeName="Лист15">
    <tabColor rgb="FF92D050"/>
  </sheetPr>
  <dimension ref="A1:G40"/>
  <sheetViews>
    <sheetView topLeftCell="A25" workbookViewId="0">
      <selection activeCell="G1" sqref="G1"/>
    </sheetView>
  </sheetViews>
  <sheetFormatPr defaultColWidth="8.85546875" defaultRowHeight="15" x14ac:dyDescent="0.25"/>
  <cols>
    <col min="1" max="1" width="23" customWidth="1"/>
    <col min="2" max="2" width="41.42578125" customWidth="1"/>
    <col min="3" max="3" width="19.42578125" customWidth="1"/>
    <col min="4" max="4" width="22.42578125" customWidth="1"/>
    <col min="5" max="5" width="16.42578125" customWidth="1"/>
    <col min="6" max="6" width="46.42578125" customWidth="1"/>
    <col min="7" max="7" width="18.140625" customWidth="1"/>
  </cols>
  <sheetData>
    <row r="1" spans="1:7" x14ac:dyDescent="0.25">
      <c r="A1" s="43" t="s">
        <v>69</v>
      </c>
      <c r="B1" s="43" t="s">
        <v>72</v>
      </c>
      <c r="C1" s="43" t="s">
        <v>266</v>
      </c>
      <c r="D1" s="43" t="s">
        <v>267</v>
      </c>
      <c r="E1" s="44" t="s">
        <v>268</v>
      </c>
      <c r="F1" s="44" t="s">
        <v>269</v>
      </c>
      <c r="G1" s="43" t="s">
        <v>126</v>
      </c>
    </row>
    <row r="2" spans="1:7" x14ac:dyDescent="0.25">
      <c r="A2" s="39" t="s">
        <v>270</v>
      </c>
      <c r="B2" s="32" t="s">
        <v>271</v>
      </c>
      <c r="C2" s="32" t="s">
        <v>272</v>
      </c>
      <c r="D2" s="32">
        <v>30</v>
      </c>
      <c r="E2" s="40">
        <v>600400</v>
      </c>
      <c r="F2" s="45">
        <f>(E2/D2)/1000</f>
        <v>20.013333333333332</v>
      </c>
      <c r="G2" s="32">
        <v>5</v>
      </c>
    </row>
    <row r="3" spans="1:7" x14ac:dyDescent="0.25">
      <c r="A3" s="39" t="s">
        <v>273</v>
      </c>
      <c r="B3" s="32" t="s">
        <v>274</v>
      </c>
      <c r="C3" s="32" t="s">
        <v>272</v>
      </c>
      <c r="D3" s="32">
        <v>30</v>
      </c>
      <c r="E3" s="40">
        <v>1106000</v>
      </c>
      <c r="F3" s="45">
        <f t="shared" ref="F3:F37" si="0">(E3/D3)/1000</f>
        <v>36.866666666666667</v>
      </c>
      <c r="G3" s="32">
        <v>5</v>
      </c>
    </row>
    <row r="4" spans="1:7" x14ac:dyDescent="0.25">
      <c r="A4" s="39" t="s">
        <v>61</v>
      </c>
      <c r="B4" s="32" t="s">
        <v>271</v>
      </c>
      <c r="C4" s="32" t="s">
        <v>272</v>
      </c>
      <c r="D4" s="32">
        <v>30</v>
      </c>
      <c r="E4" s="40">
        <v>1820087.32</v>
      </c>
      <c r="F4" s="45">
        <f t="shared" si="0"/>
        <v>60.669577333333336</v>
      </c>
      <c r="G4" s="32">
        <v>5</v>
      </c>
    </row>
    <row r="5" spans="1:7" x14ac:dyDescent="0.25">
      <c r="A5" s="32" t="s">
        <v>68</v>
      </c>
      <c r="B5" s="32" t="s">
        <v>275</v>
      </c>
      <c r="C5" s="32" t="s">
        <v>272</v>
      </c>
      <c r="D5" s="32">
        <v>30</v>
      </c>
      <c r="E5" s="41">
        <v>28900000</v>
      </c>
      <c r="F5" s="45">
        <f t="shared" si="0"/>
        <v>963.33333333333337</v>
      </c>
      <c r="G5" s="32">
        <v>5</v>
      </c>
    </row>
    <row r="6" spans="1:7" x14ac:dyDescent="0.25">
      <c r="A6" s="32" t="s">
        <v>68</v>
      </c>
      <c r="B6" s="32" t="s">
        <v>13</v>
      </c>
      <c r="C6" s="32" t="s">
        <v>272</v>
      </c>
      <c r="D6" s="32">
        <v>30</v>
      </c>
      <c r="E6" s="40">
        <v>12000000</v>
      </c>
      <c r="F6" s="45">
        <f t="shared" si="0"/>
        <v>400</v>
      </c>
      <c r="G6" s="32">
        <v>5</v>
      </c>
    </row>
    <row r="7" spans="1:7" x14ac:dyDescent="0.25">
      <c r="A7" s="32" t="s">
        <v>68</v>
      </c>
      <c r="B7" s="32" t="s">
        <v>276</v>
      </c>
      <c r="C7" s="32" t="s">
        <v>277</v>
      </c>
      <c r="D7" s="32">
        <v>30</v>
      </c>
      <c r="E7" s="40">
        <v>7061399.9999999991</v>
      </c>
      <c r="F7" s="45">
        <f t="shared" si="0"/>
        <v>235.37999999999997</v>
      </c>
      <c r="G7" s="32">
        <v>5</v>
      </c>
    </row>
    <row r="8" spans="1:7" x14ac:dyDescent="0.25">
      <c r="A8" s="32" t="s">
        <v>68</v>
      </c>
      <c r="B8" s="32" t="s">
        <v>15</v>
      </c>
      <c r="C8" s="32" t="s">
        <v>272</v>
      </c>
      <c r="D8" s="32">
        <v>30</v>
      </c>
      <c r="E8" s="40">
        <v>21502857.142857142</v>
      </c>
      <c r="F8" s="45">
        <f t="shared" si="0"/>
        <v>716.7619047619047</v>
      </c>
      <c r="G8" s="32">
        <v>5</v>
      </c>
    </row>
    <row r="9" spans="1:7" x14ac:dyDescent="0.25">
      <c r="A9" s="32" t="s">
        <v>68</v>
      </c>
      <c r="B9" s="32" t="s">
        <v>278</v>
      </c>
      <c r="C9" s="32" t="s">
        <v>272</v>
      </c>
      <c r="D9" s="32">
        <v>30</v>
      </c>
      <c r="E9" s="40">
        <v>12880173</v>
      </c>
      <c r="F9" s="45">
        <f t="shared" si="0"/>
        <v>429.33909999999997</v>
      </c>
      <c r="G9" s="32">
        <v>5</v>
      </c>
    </row>
    <row r="10" spans="1:7" x14ac:dyDescent="0.25">
      <c r="A10" s="32" t="s">
        <v>68</v>
      </c>
      <c r="B10" s="32" t="s">
        <v>279</v>
      </c>
      <c r="C10" s="32" t="s">
        <v>272</v>
      </c>
      <c r="D10" s="32">
        <v>30</v>
      </c>
      <c r="E10" s="40">
        <v>393207.72102399316</v>
      </c>
      <c r="F10" s="45">
        <f t="shared" si="0"/>
        <v>13.106924034133106</v>
      </c>
      <c r="G10" s="32">
        <v>5</v>
      </c>
    </row>
    <row r="11" spans="1:7" x14ac:dyDescent="0.25">
      <c r="A11" s="32" t="s">
        <v>68</v>
      </c>
      <c r="B11" s="32" t="s">
        <v>280</v>
      </c>
      <c r="C11" s="32" t="s">
        <v>272</v>
      </c>
      <c r="D11" s="32">
        <v>30</v>
      </c>
      <c r="E11" s="40">
        <v>3447000</v>
      </c>
      <c r="F11" s="45">
        <f t="shared" si="0"/>
        <v>114.9</v>
      </c>
      <c r="G11" s="32">
        <v>5</v>
      </c>
    </row>
    <row r="12" spans="1:7" x14ac:dyDescent="0.25">
      <c r="A12" s="39" t="s">
        <v>68</v>
      </c>
      <c r="B12" s="32" t="s">
        <v>16</v>
      </c>
      <c r="C12" s="32" t="s">
        <v>272</v>
      </c>
      <c r="D12" s="32">
        <v>30</v>
      </c>
      <c r="E12" s="40">
        <v>2370000</v>
      </c>
      <c r="F12" s="45">
        <f t="shared" si="0"/>
        <v>79</v>
      </c>
      <c r="G12" s="32">
        <v>5</v>
      </c>
    </row>
    <row r="13" spans="1:7" x14ac:dyDescent="0.25">
      <c r="A13" s="39" t="s">
        <v>68</v>
      </c>
      <c r="B13" s="32" t="s">
        <v>281</v>
      </c>
      <c r="C13" s="32" t="s">
        <v>272</v>
      </c>
      <c r="D13" s="32">
        <v>30</v>
      </c>
      <c r="E13" s="40">
        <v>5688000</v>
      </c>
      <c r="F13" s="45">
        <f t="shared" si="0"/>
        <v>189.6</v>
      </c>
      <c r="G13" s="32">
        <v>5</v>
      </c>
    </row>
    <row r="14" spans="1:7" x14ac:dyDescent="0.25">
      <c r="A14" s="39" t="s">
        <v>68</v>
      </c>
      <c r="B14" s="32" t="s">
        <v>14</v>
      </c>
      <c r="C14" s="32" t="s">
        <v>272</v>
      </c>
      <c r="D14" s="32">
        <v>30</v>
      </c>
      <c r="E14" s="40">
        <v>5056000</v>
      </c>
      <c r="F14" s="45">
        <f t="shared" si="0"/>
        <v>168.53333333333333</v>
      </c>
      <c r="G14" s="32">
        <v>5</v>
      </c>
    </row>
    <row r="15" spans="1:7" x14ac:dyDescent="0.25">
      <c r="A15" s="39" t="s">
        <v>68</v>
      </c>
      <c r="B15" s="32" t="s">
        <v>282</v>
      </c>
      <c r="C15" s="32" t="s">
        <v>272</v>
      </c>
      <c r="D15" s="32">
        <v>30</v>
      </c>
      <c r="E15" s="40">
        <v>2133000</v>
      </c>
      <c r="F15" s="45">
        <f t="shared" si="0"/>
        <v>71.099999999999994</v>
      </c>
      <c r="G15" s="32">
        <v>5</v>
      </c>
    </row>
    <row r="16" spans="1:7" x14ac:dyDescent="0.25">
      <c r="A16" s="39" t="s">
        <v>68</v>
      </c>
      <c r="B16" s="32" t="s">
        <v>283</v>
      </c>
      <c r="C16" s="32" t="s">
        <v>272</v>
      </c>
      <c r="D16" s="32">
        <v>30</v>
      </c>
      <c r="E16" s="40">
        <v>3318000</v>
      </c>
      <c r="F16" s="45">
        <f t="shared" si="0"/>
        <v>110.6</v>
      </c>
      <c r="G16" s="32">
        <v>5</v>
      </c>
    </row>
    <row r="17" spans="1:7" x14ac:dyDescent="0.25">
      <c r="A17" s="39" t="s">
        <v>68</v>
      </c>
      <c r="B17" s="32" t="s">
        <v>284</v>
      </c>
      <c r="C17" s="32" t="s">
        <v>272</v>
      </c>
      <c r="D17" s="32">
        <v>30</v>
      </c>
      <c r="E17" s="40">
        <v>748920</v>
      </c>
      <c r="F17" s="45">
        <f t="shared" si="0"/>
        <v>24.963999999999999</v>
      </c>
      <c r="G17" s="32">
        <v>5</v>
      </c>
    </row>
    <row r="18" spans="1:7" x14ac:dyDescent="0.25">
      <c r="A18" s="39" t="s">
        <v>68</v>
      </c>
      <c r="B18" s="32" t="s">
        <v>285</v>
      </c>
      <c r="C18" s="32" t="s">
        <v>272</v>
      </c>
      <c r="D18" s="32">
        <v>30</v>
      </c>
      <c r="E18" s="40">
        <v>4424000</v>
      </c>
      <c r="F18" s="45">
        <f t="shared" si="0"/>
        <v>147.46666666666667</v>
      </c>
      <c r="G18" s="32">
        <v>5</v>
      </c>
    </row>
    <row r="19" spans="1:7" x14ac:dyDescent="0.25">
      <c r="A19" s="39" t="s">
        <v>68</v>
      </c>
      <c r="B19" s="32" t="s">
        <v>286</v>
      </c>
      <c r="C19" s="32" t="s">
        <v>272</v>
      </c>
      <c r="D19" s="32">
        <v>30</v>
      </c>
      <c r="E19" s="40">
        <v>19750000</v>
      </c>
      <c r="F19" s="45">
        <f t="shared" si="0"/>
        <v>658.33333333333337</v>
      </c>
      <c r="G19" s="32">
        <v>5</v>
      </c>
    </row>
    <row r="20" spans="1:7" x14ac:dyDescent="0.25">
      <c r="A20" s="39" t="s">
        <v>68</v>
      </c>
      <c r="B20" s="32" t="s">
        <v>287</v>
      </c>
      <c r="C20" s="32" t="s">
        <v>272</v>
      </c>
      <c r="D20" s="32">
        <v>30</v>
      </c>
      <c r="E20" s="40">
        <v>395000.00000000006</v>
      </c>
      <c r="F20" s="45">
        <f t="shared" si="0"/>
        <v>13.166666666666668</v>
      </c>
      <c r="G20" s="32">
        <v>5</v>
      </c>
    </row>
    <row r="21" spans="1:7" x14ac:dyDescent="0.25">
      <c r="A21" s="39" t="s">
        <v>68</v>
      </c>
      <c r="B21" s="32" t="s">
        <v>288</v>
      </c>
      <c r="C21" s="32" t="s">
        <v>272</v>
      </c>
      <c r="D21" s="32">
        <v>30</v>
      </c>
      <c r="E21" s="40">
        <v>35550000</v>
      </c>
      <c r="F21" s="45">
        <f t="shared" si="0"/>
        <v>1185</v>
      </c>
      <c r="G21" s="32">
        <v>5</v>
      </c>
    </row>
    <row r="22" spans="1:7" x14ac:dyDescent="0.25">
      <c r="A22" s="39" t="s">
        <v>68</v>
      </c>
      <c r="B22" s="32" t="s">
        <v>289</v>
      </c>
      <c r="C22" s="32" t="s">
        <v>272</v>
      </c>
      <c r="D22" s="32">
        <v>30</v>
      </c>
      <c r="E22" s="40">
        <v>39500</v>
      </c>
      <c r="F22" s="45">
        <f t="shared" si="0"/>
        <v>1.3166666666666667</v>
      </c>
      <c r="G22" s="32">
        <v>5</v>
      </c>
    </row>
    <row r="23" spans="1:7" x14ac:dyDescent="0.25">
      <c r="A23" s="39" t="s">
        <v>68</v>
      </c>
      <c r="B23" s="32" t="s">
        <v>290</v>
      </c>
      <c r="C23" s="32" t="s">
        <v>272</v>
      </c>
      <c r="D23" s="32">
        <v>30</v>
      </c>
      <c r="E23" s="42">
        <v>29000000</v>
      </c>
      <c r="F23" s="45">
        <f t="shared" si="0"/>
        <v>966.66666666666663</v>
      </c>
      <c r="G23" s="32">
        <v>5</v>
      </c>
    </row>
    <row r="24" spans="1:7" x14ac:dyDescent="0.25">
      <c r="A24" s="32" t="s">
        <v>58</v>
      </c>
      <c r="B24" s="32" t="s">
        <v>280</v>
      </c>
      <c r="C24" s="32" t="s">
        <v>272</v>
      </c>
      <c r="D24" s="32">
        <v>30</v>
      </c>
      <c r="E24" s="40">
        <v>3447000</v>
      </c>
      <c r="F24" s="45">
        <f t="shared" si="0"/>
        <v>114.9</v>
      </c>
      <c r="G24" s="32">
        <v>5</v>
      </c>
    </row>
    <row r="25" spans="1:7" x14ac:dyDescent="0.25">
      <c r="A25" s="39" t="s">
        <v>291</v>
      </c>
      <c r="B25" s="32" t="s">
        <v>292</v>
      </c>
      <c r="C25" s="32" t="s">
        <v>272</v>
      </c>
      <c r="D25" s="32">
        <v>30</v>
      </c>
      <c r="E25" s="40">
        <v>553000</v>
      </c>
      <c r="F25" s="45">
        <f t="shared" si="0"/>
        <v>18.433333333333334</v>
      </c>
      <c r="G25" s="32">
        <v>5</v>
      </c>
    </row>
    <row r="26" spans="1:7" x14ac:dyDescent="0.25">
      <c r="A26" s="39" t="s">
        <v>293</v>
      </c>
      <c r="B26" s="32" t="s">
        <v>294</v>
      </c>
      <c r="C26" s="32" t="s">
        <v>272</v>
      </c>
      <c r="D26" s="32">
        <v>30</v>
      </c>
      <c r="E26" s="40">
        <v>1185000</v>
      </c>
      <c r="F26" s="45">
        <f t="shared" si="0"/>
        <v>39.5</v>
      </c>
      <c r="G26" s="32">
        <v>5</v>
      </c>
    </row>
    <row r="27" spans="1:7" x14ac:dyDescent="0.25">
      <c r="A27" s="39" t="s">
        <v>295</v>
      </c>
      <c r="B27" s="32" t="s">
        <v>296</v>
      </c>
      <c r="C27" s="32" t="s">
        <v>272</v>
      </c>
      <c r="D27" s="32">
        <v>30</v>
      </c>
      <c r="E27" s="40">
        <v>1580000.0000000002</v>
      </c>
      <c r="F27" s="45">
        <f t="shared" si="0"/>
        <v>52.666666666666671</v>
      </c>
      <c r="G27" s="32">
        <v>5</v>
      </c>
    </row>
    <row r="28" spans="1:7" x14ac:dyDescent="0.25">
      <c r="A28" s="39" t="s">
        <v>295</v>
      </c>
      <c r="B28" s="32" t="s">
        <v>297</v>
      </c>
      <c r="C28" s="32" t="s">
        <v>272</v>
      </c>
      <c r="D28" s="32">
        <v>30</v>
      </c>
      <c r="E28" s="40">
        <v>82717.647058823539</v>
      </c>
      <c r="F28" s="45">
        <f t="shared" si="0"/>
        <v>2.7572549019607844</v>
      </c>
      <c r="G28" s="32">
        <v>5</v>
      </c>
    </row>
    <row r="29" spans="1:7" x14ac:dyDescent="0.25">
      <c r="A29" s="32" t="s">
        <v>67</v>
      </c>
      <c r="B29" s="32" t="s">
        <v>15</v>
      </c>
      <c r="C29" s="32" t="s">
        <v>272</v>
      </c>
      <c r="D29" s="32">
        <v>30</v>
      </c>
      <c r="E29" s="40">
        <v>21502857.142857142</v>
      </c>
      <c r="F29" s="45">
        <f t="shared" si="0"/>
        <v>716.7619047619047</v>
      </c>
      <c r="G29" s="32">
        <v>5</v>
      </c>
    </row>
    <row r="30" spans="1:7" x14ac:dyDescent="0.25">
      <c r="A30" s="32" t="s">
        <v>67</v>
      </c>
      <c r="B30" s="32" t="s">
        <v>279</v>
      </c>
      <c r="C30" s="32" t="s">
        <v>272</v>
      </c>
      <c r="D30" s="32">
        <v>30</v>
      </c>
      <c r="E30" s="40">
        <v>393207.72102399316</v>
      </c>
      <c r="F30" s="45">
        <f t="shared" si="0"/>
        <v>13.106924034133106</v>
      </c>
      <c r="G30" s="32">
        <v>5</v>
      </c>
    </row>
    <row r="31" spans="1:7" x14ac:dyDescent="0.25">
      <c r="A31" s="32" t="s">
        <v>67</v>
      </c>
      <c r="B31" s="32" t="s">
        <v>280</v>
      </c>
      <c r="C31" s="32" t="s">
        <v>272</v>
      </c>
      <c r="D31" s="32">
        <v>30</v>
      </c>
      <c r="E31" s="40">
        <v>3447000</v>
      </c>
      <c r="F31" s="45">
        <f t="shared" si="0"/>
        <v>114.9</v>
      </c>
      <c r="G31" s="32">
        <v>5</v>
      </c>
    </row>
    <row r="32" spans="1:7" x14ac:dyDescent="0.25">
      <c r="A32" s="39" t="s">
        <v>67</v>
      </c>
      <c r="B32" s="32" t="s">
        <v>298</v>
      </c>
      <c r="C32" s="32" t="s">
        <v>272</v>
      </c>
      <c r="D32" s="32">
        <v>30</v>
      </c>
      <c r="E32" s="40">
        <v>4424000</v>
      </c>
      <c r="F32" s="45">
        <f t="shared" si="0"/>
        <v>147.46666666666667</v>
      </c>
      <c r="G32" s="32">
        <v>5</v>
      </c>
    </row>
    <row r="33" spans="1:7" x14ac:dyDescent="0.25">
      <c r="A33" s="39" t="s">
        <v>67</v>
      </c>
      <c r="B33" s="32" t="s">
        <v>299</v>
      </c>
      <c r="C33" s="32" t="s">
        <v>272</v>
      </c>
      <c r="D33" s="32">
        <v>30</v>
      </c>
      <c r="E33" s="40">
        <v>1092988.2352941178</v>
      </c>
      <c r="F33" s="45">
        <f t="shared" si="0"/>
        <v>36.432941176470592</v>
      </c>
      <c r="G33" s="32">
        <v>5</v>
      </c>
    </row>
    <row r="34" spans="1:7" x14ac:dyDescent="0.25">
      <c r="A34" s="39" t="s">
        <v>67</v>
      </c>
      <c r="B34" s="32" t="s">
        <v>300</v>
      </c>
      <c r="C34" s="32" t="s">
        <v>272</v>
      </c>
      <c r="D34" s="32">
        <v>30</v>
      </c>
      <c r="E34" s="40">
        <v>2731231.3725490198</v>
      </c>
      <c r="F34" s="45">
        <f t="shared" si="0"/>
        <v>91.041045751634002</v>
      </c>
      <c r="G34" s="32">
        <v>5</v>
      </c>
    </row>
    <row r="35" spans="1:7" x14ac:dyDescent="0.25">
      <c r="A35" s="39" t="s">
        <v>67</v>
      </c>
      <c r="B35" s="32" t="s">
        <v>290</v>
      </c>
      <c r="C35" s="32" t="s">
        <v>272</v>
      </c>
      <c r="D35" s="32">
        <v>30</v>
      </c>
      <c r="E35" s="42">
        <v>29000000</v>
      </c>
      <c r="F35" s="45">
        <f t="shared" si="0"/>
        <v>966.66666666666663</v>
      </c>
      <c r="G35" s="32">
        <v>5</v>
      </c>
    </row>
    <row r="36" spans="1:7" x14ac:dyDescent="0.25">
      <c r="A36" s="39" t="s">
        <v>301</v>
      </c>
      <c r="B36" s="32" t="s">
        <v>302</v>
      </c>
      <c r="C36" s="32" t="s">
        <v>272</v>
      </c>
      <c r="D36" s="32">
        <v>30</v>
      </c>
      <c r="E36" s="40">
        <v>243337.7592</v>
      </c>
      <c r="F36" s="45">
        <f t="shared" si="0"/>
        <v>8.1112586400000009</v>
      </c>
      <c r="G36" s="32">
        <v>5</v>
      </c>
    </row>
    <row r="37" spans="1:7" x14ac:dyDescent="0.25">
      <c r="A37" s="39" t="s">
        <v>303</v>
      </c>
      <c r="B37" s="32" t="s">
        <v>304</v>
      </c>
      <c r="C37" s="32" t="s">
        <v>272</v>
      </c>
      <c r="D37" s="32">
        <v>30</v>
      </c>
      <c r="E37" s="40">
        <v>3949999.9999999995</v>
      </c>
      <c r="F37" s="45">
        <f t="shared" si="0"/>
        <v>131.66666666666666</v>
      </c>
      <c r="G37" s="32">
        <v>5</v>
      </c>
    </row>
    <row r="40" spans="1:7" x14ac:dyDescent="0.25">
      <c r="A40" t="s">
        <v>146</v>
      </c>
    </row>
  </sheetData>
  <autoFilter ref="A1:G37" xr:uid="{77F826DC-310E-492F-BDF8-3175299C1734}">
    <sortState xmlns:xlrd2="http://schemas.microsoft.com/office/spreadsheetml/2017/richdata2" ref="A2:G37">
      <sortCondition ref="A1:A37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2D6EE-D7AB-4D5B-9962-E360B5F0176F}">
  <sheetPr codeName="Лист14">
    <tabColor rgb="FF92D050"/>
  </sheetPr>
  <dimension ref="A1:D805"/>
  <sheetViews>
    <sheetView workbookViewId="0">
      <selection activeCell="B1" sqref="B1"/>
    </sheetView>
  </sheetViews>
  <sheetFormatPr defaultColWidth="8.85546875" defaultRowHeight="15" x14ac:dyDescent="0.25"/>
  <cols>
    <col min="1" max="1" width="23.140625" customWidth="1"/>
    <col min="2" max="2" width="27.140625" customWidth="1"/>
    <col min="3" max="3" width="9.140625" customWidth="1"/>
  </cols>
  <sheetData>
    <row r="1" spans="1:4" x14ac:dyDescent="0.25">
      <c r="A1" s="23" t="s">
        <v>305</v>
      </c>
      <c r="B1" s="23" t="s">
        <v>72</v>
      </c>
      <c r="C1" s="23" t="s">
        <v>148</v>
      </c>
      <c r="D1" s="23" t="s">
        <v>74</v>
      </c>
    </row>
    <row r="2" spans="1:4" x14ac:dyDescent="0.25">
      <c r="A2" s="23" t="s">
        <v>306</v>
      </c>
      <c r="B2" s="23" t="s">
        <v>156</v>
      </c>
      <c r="C2" s="23" t="s">
        <v>307</v>
      </c>
      <c r="D2" s="23">
        <v>94</v>
      </c>
    </row>
    <row r="3" spans="1:4" x14ac:dyDescent="0.25">
      <c r="A3" s="23" t="s">
        <v>306</v>
      </c>
      <c r="B3" s="23" t="s">
        <v>159</v>
      </c>
      <c r="C3" s="23" t="s">
        <v>308</v>
      </c>
      <c r="D3" s="23">
        <v>34</v>
      </c>
    </row>
    <row r="4" spans="1:4" x14ac:dyDescent="0.25">
      <c r="A4" s="23" t="s">
        <v>306</v>
      </c>
      <c r="B4" s="23" t="s">
        <v>159</v>
      </c>
      <c r="C4" s="23" t="s">
        <v>307</v>
      </c>
      <c r="D4" s="23">
        <v>321</v>
      </c>
    </row>
    <row r="5" spans="1:4" x14ac:dyDescent="0.25">
      <c r="A5" s="23" t="s">
        <v>306</v>
      </c>
      <c r="B5" s="23" t="s">
        <v>159</v>
      </c>
      <c r="C5" s="23" t="s">
        <v>309</v>
      </c>
      <c r="D5" s="23">
        <v>20</v>
      </c>
    </row>
    <row r="6" spans="1:4" x14ac:dyDescent="0.25">
      <c r="A6" s="23" t="s">
        <v>306</v>
      </c>
      <c r="B6" s="23" t="s">
        <v>159</v>
      </c>
      <c r="C6" s="23" t="s">
        <v>310</v>
      </c>
      <c r="D6" s="23">
        <v>23</v>
      </c>
    </row>
    <row r="7" spans="1:4" x14ac:dyDescent="0.25">
      <c r="A7" s="23" t="s">
        <v>306</v>
      </c>
      <c r="B7" s="23" t="s">
        <v>159</v>
      </c>
      <c r="C7" s="23" t="s">
        <v>311</v>
      </c>
      <c r="D7" s="23">
        <v>42</v>
      </c>
    </row>
    <row r="8" spans="1:4" x14ac:dyDescent="0.25">
      <c r="A8" s="23" t="s">
        <v>306</v>
      </c>
      <c r="B8" s="23" t="s">
        <v>76</v>
      </c>
      <c r="C8" s="23" t="s">
        <v>312</v>
      </c>
      <c r="D8" s="23">
        <v>152</v>
      </c>
    </row>
    <row r="9" spans="1:4" x14ac:dyDescent="0.25">
      <c r="A9" s="23" t="s">
        <v>306</v>
      </c>
      <c r="B9" s="23" t="s">
        <v>76</v>
      </c>
      <c r="C9" s="23" t="s">
        <v>313</v>
      </c>
      <c r="D9" s="23">
        <v>355</v>
      </c>
    </row>
    <row r="10" spans="1:4" x14ac:dyDescent="0.25">
      <c r="A10" s="23" t="s">
        <v>306</v>
      </c>
      <c r="B10" s="23" t="s">
        <v>76</v>
      </c>
      <c r="C10" s="23" t="s">
        <v>314</v>
      </c>
      <c r="D10" s="23">
        <v>18</v>
      </c>
    </row>
    <row r="11" spans="1:4" x14ac:dyDescent="0.25">
      <c r="A11" s="23" t="s">
        <v>306</v>
      </c>
      <c r="B11" s="23" t="s">
        <v>76</v>
      </c>
      <c r="C11" s="23" t="s">
        <v>315</v>
      </c>
      <c r="D11" s="23">
        <v>48</v>
      </c>
    </row>
    <row r="12" spans="1:4" x14ac:dyDescent="0.25">
      <c r="A12" s="23" t="s">
        <v>306</v>
      </c>
      <c r="B12" s="23" t="s">
        <v>77</v>
      </c>
      <c r="C12" s="23" t="s">
        <v>307</v>
      </c>
      <c r="D12" s="23">
        <v>111</v>
      </c>
    </row>
    <row r="13" spans="1:4" x14ac:dyDescent="0.25">
      <c r="A13" s="23" t="s">
        <v>306</v>
      </c>
      <c r="B13" s="23" t="s">
        <v>76</v>
      </c>
      <c r="C13" s="23" t="s">
        <v>316</v>
      </c>
      <c r="D13" s="23">
        <v>125</v>
      </c>
    </row>
    <row r="14" spans="1:4" x14ac:dyDescent="0.25">
      <c r="A14" s="23" t="s">
        <v>306</v>
      </c>
      <c r="B14" s="23" t="s">
        <v>149</v>
      </c>
      <c r="C14" s="23" t="s">
        <v>309</v>
      </c>
      <c r="D14" s="23">
        <v>203</v>
      </c>
    </row>
    <row r="15" spans="1:4" x14ac:dyDescent="0.25">
      <c r="A15" s="23" t="s">
        <v>306</v>
      </c>
      <c r="B15" s="23" t="s">
        <v>149</v>
      </c>
      <c r="C15" s="23" t="s">
        <v>317</v>
      </c>
      <c r="D15" s="23">
        <v>80</v>
      </c>
    </row>
    <row r="16" spans="1:4" x14ac:dyDescent="0.25">
      <c r="A16" s="23" t="s">
        <v>306</v>
      </c>
      <c r="B16" s="23" t="s">
        <v>150</v>
      </c>
      <c r="C16" s="23" t="s">
        <v>317</v>
      </c>
      <c r="D16" s="23">
        <v>160</v>
      </c>
    </row>
    <row r="17" spans="1:4" x14ac:dyDescent="0.25">
      <c r="A17" s="23" t="s">
        <v>306</v>
      </c>
      <c r="B17" s="23" t="s">
        <v>150</v>
      </c>
      <c r="C17" s="23" t="s">
        <v>307</v>
      </c>
      <c r="D17" s="23">
        <v>130</v>
      </c>
    </row>
    <row r="18" spans="1:4" x14ac:dyDescent="0.25">
      <c r="A18" s="23" t="s">
        <v>306</v>
      </c>
      <c r="B18" s="23" t="s">
        <v>149</v>
      </c>
      <c r="C18" s="23" t="s">
        <v>307</v>
      </c>
      <c r="D18" s="23">
        <v>340</v>
      </c>
    </row>
    <row r="19" spans="1:4" x14ac:dyDescent="0.25">
      <c r="A19" s="23" t="s">
        <v>306</v>
      </c>
      <c r="B19" s="23" t="s">
        <v>150</v>
      </c>
      <c r="C19" s="23" t="s">
        <v>318</v>
      </c>
      <c r="D19" s="23">
        <v>132</v>
      </c>
    </row>
    <row r="20" spans="1:4" x14ac:dyDescent="0.25">
      <c r="A20" s="23" t="s">
        <v>306</v>
      </c>
      <c r="B20" s="23" t="s">
        <v>149</v>
      </c>
      <c r="C20" s="23" t="s">
        <v>318</v>
      </c>
      <c r="D20" s="23">
        <v>0</v>
      </c>
    </row>
    <row r="21" spans="1:4" x14ac:dyDescent="0.25">
      <c r="A21" s="23" t="s">
        <v>306</v>
      </c>
      <c r="B21" s="23" t="s">
        <v>76</v>
      </c>
      <c r="C21" s="23" t="s">
        <v>318</v>
      </c>
      <c r="D21" s="23">
        <v>0</v>
      </c>
    </row>
    <row r="22" spans="1:4" x14ac:dyDescent="0.25">
      <c r="A22" s="23" t="s">
        <v>306</v>
      </c>
      <c r="B22" s="23" t="s">
        <v>84</v>
      </c>
      <c r="C22" s="23" t="s">
        <v>312</v>
      </c>
      <c r="D22" s="23">
        <v>31835</v>
      </c>
    </row>
    <row r="23" spans="1:4" x14ac:dyDescent="0.25">
      <c r="A23" s="23" t="s">
        <v>306</v>
      </c>
      <c r="B23" s="23" t="s">
        <v>83</v>
      </c>
      <c r="C23" s="23" t="s">
        <v>312</v>
      </c>
      <c r="D23" s="23">
        <v>46597</v>
      </c>
    </row>
    <row r="24" spans="1:4" x14ac:dyDescent="0.25">
      <c r="A24" s="23" t="s">
        <v>306</v>
      </c>
      <c r="B24" s="23" t="s">
        <v>80</v>
      </c>
      <c r="C24" s="23" t="s">
        <v>312</v>
      </c>
      <c r="D24" s="23">
        <v>5247</v>
      </c>
    </row>
    <row r="25" spans="1:4" x14ac:dyDescent="0.25">
      <c r="A25" s="23" t="s">
        <v>306</v>
      </c>
      <c r="B25" s="23" t="s">
        <v>152</v>
      </c>
      <c r="C25" s="23" t="s">
        <v>312</v>
      </c>
      <c r="D25" s="23">
        <v>39343</v>
      </c>
    </row>
    <row r="26" spans="1:4" x14ac:dyDescent="0.25">
      <c r="A26" s="23" t="s">
        <v>306</v>
      </c>
      <c r="B26" s="23" t="s">
        <v>151</v>
      </c>
      <c r="C26" s="23" t="s">
        <v>312</v>
      </c>
      <c r="D26" s="23">
        <v>25916</v>
      </c>
    </row>
    <row r="27" spans="1:4" x14ac:dyDescent="0.25">
      <c r="A27" s="23" t="s">
        <v>306</v>
      </c>
      <c r="B27" s="23" t="s">
        <v>162</v>
      </c>
      <c r="C27" s="23" t="s">
        <v>312</v>
      </c>
      <c r="D27" s="23">
        <v>931</v>
      </c>
    </row>
    <row r="28" spans="1:4" x14ac:dyDescent="0.25">
      <c r="A28" s="23" t="s">
        <v>306</v>
      </c>
      <c r="B28" s="23" t="s">
        <v>82</v>
      </c>
      <c r="C28" s="23" t="s">
        <v>312</v>
      </c>
      <c r="D28" s="23">
        <v>5315</v>
      </c>
    </row>
    <row r="29" spans="1:4" x14ac:dyDescent="0.25">
      <c r="A29" s="23" t="s">
        <v>306</v>
      </c>
      <c r="B29" s="23" t="s">
        <v>155</v>
      </c>
      <c r="C29" s="23" t="s">
        <v>312</v>
      </c>
      <c r="D29" s="23">
        <v>27590</v>
      </c>
    </row>
    <row r="30" spans="1:4" x14ac:dyDescent="0.25">
      <c r="A30" s="23" t="s">
        <v>306</v>
      </c>
      <c r="B30" s="23" t="s">
        <v>81</v>
      </c>
      <c r="C30" s="23" t="s">
        <v>312</v>
      </c>
      <c r="D30" s="23">
        <v>7026</v>
      </c>
    </row>
    <row r="31" spans="1:4" x14ac:dyDescent="0.25">
      <c r="A31" s="23" t="s">
        <v>306</v>
      </c>
      <c r="B31" s="23" t="s">
        <v>77</v>
      </c>
      <c r="C31" s="23" t="s">
        <v>312</v>
      </c>
      <c r="D31" s="23">
        <v>7226</v>
      </c>
    </row>
    <row r="32" spans="1:4" x14ac:dyDescent="0.25">
      <c r="A32" s="23" t="s">
        <v>306</v>
      </c>
      <c r="B32" s="23" t="s">
        <v>154</v>
      </c>
      <c r="C32" s="23" t="s">
        <v>312</v>
      </c>
      <c r="D32" s="23">
        <v>14165</v>
      </c>
    </row>
    <row r="33" spans="1:4" x14ac:dyDescent="0.25">
      <c r="A33" s="23" t="s">
        <v>306</v>
      </c>
      <c r="B33" s="23" t="s">
        <v>153</v>
      </c>
      <c r="C33" s="23" t="s">
        <v>312</v>
      </c>
      <c r="D33" s="23">
        <v>12630</v>
      </c>
    </row>
    <row r="34" spans="1:4" x14ac:dyDescent="0.25">
      <c r="A34" s="23" t="s">
        <v>306</v>
      </c>
      <c r="B34" s="23" t="s">
        <v>78</v>
      </c>
      <c r="C34" s="23" t="s">
        <v>312</v>
      </c>
      <c r="D34" s="23">
        <v>1291</v>
      </c>
    </row>
    <row r="35" spans="1:4" x14ac:dyDescent="0.25">
      <c r="A35" s="23" t="s">
        <v>306</v>
      </c>
      <c r="B35" s="23" t="s">
        <v>156</v>
      </c>
      <c r="C35" s="23" t="s">
        <v>312</v>
      </c>
      <c r="D35" s="23">
        <v>6790</v>
      </c>
    </row>
    <row r="36" spans="1:4" x14ac:dyDescent="0.25">
      <c r="A36" s="23" t="s">
        <v>306</v>
      </c>
      <c r="B36" s="23" t="s">
        <v>157</v>
      </c>
      <c r="C36" s="23" t="s">
        <v>312</v>
      </c>
      <c r="D36" s="23">
        <v>23507</v>
      </c>
    </row>
    <row r="37" spans="1:4" x14ac:dyDescent="0.25">
      <c r="A37" s="23" t="s">
        <v>306</v>
      </c>
      <c r="B37" s="23" t="s">
        <v>84</v>
      </c>
      <c r="C37" s="23" t="s">
        <v>314</v>
      </c>
      <c r="D37" s="23">
        <v>2085</v>
      </c>
    </row>
    <row r="38" spans="1:4" x14ac:dyDescent="0.25">
      <c r="A38" s="23" t="s">
        <v>306</v>
      </c>
      <c r="B38" s="23" t="s">
        <v>83</v>
      </c>
      <c r="C38" s="23" t="s">
        <v>314</v>
      </c>
      <c r="D38" s="23">
        <v>2887</v>
      </c>
    </row>
    <row r="39" spans="1:4" x14ac:dyDescent="0.25">
      <c r="A39" s="23" t="s">
        <v>306</v>
      </c>
      <c r="B39" s="23" t="s">
        <v>151</v>
      </c>
      <c r="C39" s="23" t="s">
        <v>314</v>
      </c>
      <c r="D39" s="23">
        <v>1267</v>
      </c>
    </row>
    <row r="40" spans="1:4" x14ac:dyDescent="0.25">
      <c r="A40" s="23" t="s">
        <v>306</v>
      </c>
      <c r="B40" s="23" t="s">
        <v>82</v>
      </c>
      <c r="C40" s="23" t="s">
        <v>314</v>
      </c>
      <c r="D40" s="23">
        <v>814</v>
      </c>
    </row>
    <row r="41" spans="1:4" x14ac:dyDescent="0.25">
      <c r="A41" s="23" t="s">
        <v>306</v>
      </c>
      <c r="B41" s="23" t="s">
        <v>152</v>
      </c>
      <c r="C41" s="23" t="s">
        <v>314</v>
      </c>
      <c r="D41" s="23">
        <v>2529</v>
      </c>
    </row>
    <row r="42" spans="1:4" x14ac:dyDescent="0.25">
      <c r="A42" s="23" t="s">
        <v>306</v>
      </c>
      <c r="B42" s="23" t="s">
        <v>153</v>
      </c>
      <c r="C42" s="23" t="s">
        <v>314</v>
      </c>
      <c r="D42" s="23">
        <v>2547</v>
      </c>
    </row>
    <row r="43" spans="1:4" x14ac:dyDescent="0.25">
      <c r="A43" s="23" t="s">
        <v>306</v>
      </c>
      <c r="B43" s="23" t="s">
        <v>81</v>
      </c>
      <c r="C43" s="23" t="s">
        <v>314</v>
      </c>
      <c r="D43" s="23">
        <v>665</v>
      </c>
    </row>
    <row r="44" spans="1:4" x14ac:dyDescent="0.25">
      <c r="A44" s="23" t="s">
        <v>306</v>
      </c>
      <c r="B44" s="23" t="s">
        <v>77</v>
      </c>
      <c r="C44" s="23" t="s">
        <v>314</v>
      </c>
      <c r="D44" s="23">
        <v>1088</v>
      </c>
    </row>
    <row r="45" spans="1:4" x14ac:dyDescent="0.25">
      <c r="A45" s="23" t="s">
        <v>306</v>
      </c>
      <c r="B45" s="23" t="s">
        <v>78</v>
      </c>
      <c r="C45" s="23" t="s">
        <v>314</v>
      </c>
      <c r="D45" s="23">
        <v>20</v>
      </c>
    </row>
    <row r="46" spans="1:4" x14ac:dyDescent="0.25">
      <c r="A46" s="23" t="s">
        <v>306</v>
      </c>
      <c r="B46" s="23" t="s">
        <v>154</v>
      </c>
      <c r="C46" s="23" t="s">
        <v>314</v>
      </c>
      <c r="D46" s="23">
        <v>523</v>
      </c>
    </row>
    <row r="47" spans="1:4" x14ac:dyDescent="0.25">
      <c r="A47" s="23" t="s">
        <v>306</v>
      </c>
      <c r="B47" s="23" t="s">
        <v>155</v>
      </c>
      <c r="C47" s="23" t="s">
        <v>314</v>
      </c>
      <c r="D47" s="23">
        <v>2361</v>
      </c>
    </row>
    <row r="48" spans="1:4" x14ac:dyDescent="0.25">
      <c r="A48" s="23" t="s">
        <v>306</v>
      </c>
      <c r="B48" s="23" t="s">
        <v>156</v>
      </c>
      <c r="C48" s="23" t="s">
        <v>314</v>
      </c>
      <c r="D48" s="23">
        <v>471</v>
      </c>
    </row>
    <row r="49" spans="1:4" x14ac:dyDescent="0.25">
      <c r="A49" s="23" t="s">
        <v>306</v>
      </c>
      <c r="B49" s="23" t="s">
        <v>157</v>
      </c>
      <c r="C49" s="23" t="s">
        <v>314</v>
      </c>
      <c r="D49" s="23">
        <v>1709</v>
      </c>
    </row>
    <row r="50" spans="1:4" x14ac:dyDescent="0.25">
      <c r="A50" s="23" t="s">
        <v>306</v>
      </c>
      <c r="B50" s="23" t="s">
        <v>80</v>
      </c>
      <c r="C50" s="23" t="s">
        <v>314</v>
      </c>
      <c r="D50" s="23">
        <v>131</v>
      </c>
    </row>
    <row r="51" spans="1:4" x14ac:dyDescent="0.25">
      <c r="A51" s="23" t="s">
        <v>306</v>
      </c>
      <c r="B51" s="23" t="s">
        <v>84</v>
      </c>
      <c r="C51" s="23" t="s">
        <v>318</v>
      </c>
      <c r="D51" s="23">
        <v>3084</v>
      </c>
    </row>
    <row r="52" spans="1:4" x14ac:dyDescent="0.25">
      <c r="A52" s="23" t="s">
        <v>306</v>
      </c>
      <c r="B52" s="23" t="s">
        <v>83</v>
      </c>
      <c r="C52" s="23" t="s">
        <v>318</v>
      </c>
      <c r="D52" s="23">
        <v>4170</v>
      </c>
    </row>
    <row r="53" spans="1:4" x14ac:dyDescent="0.25">
      <c r="A53" s="23" t="s">
        <v>306</v>
      </c>
      <c r="B53" s="23" t="s">
        <v>151</v>
      </c>
      <c r="C53" s="23" t="s">
        <v>318</v>
      </c>
      <c r="D53" s="23">
        <v>2072</v>
      </c>
    </row>
    <row r="54" spans="1:4" x14ac:dyDescent="0.25">
      <c r="A54" s="23" t="s">
        <v>306</v>
      </c>
      <c r="B54" s="23" t="s">
        <v>82</v>
      </c>
      <c r="C54" s="23" t="s">
        <v>318</v>
      </c>
      <c r="D54" s="23">
        <v>590</v>
      </c>
    </row>
    <row r="55" spans="1:4" x14ac:dyDescent="0.25">
      <c r="A55" s="23" t="s">
        <v>306</v>
      </c>
      <c r="B55" s="23" t="s">
        <v>152</v>
      </c>
      <c r="C55" s="23" t="s">
        <v>318</v>
      </c>
      <c r="D55" s="23">
        <v>1568</v>
      </c>
    </row>
    <row r="56" spans="1:4" x14ac:dyDescent="0.25">
      <c r="A56" s="23" t="s">
        <v>306</v>
      </c>
      <c r="B56" s="23" t="s">
        <v>153</v>
      </c>
      <c r="C56" s="23" t="s">
        <v>318</v>
      </c>
      <c r="D56" s="23">
        <v>1922</v>
      </c>
    </row>
    <row r="57" spans="1:4" x14ac:dyDescent="0.25">
      <c r="A57" s="23" t="s">
        <v>306</v>
      </c>
      <c r="B57" s="23" t="s">
        <v>81</v>
      </c>
      <c r="C57" s="23" t="s">
        <v>318</v>
      </c>
      <c r="D57" s="23">
        <v>440</v>
      </c>
    </row>
    <row r="58" spans="1:4" x14ac:dyDescent="0.25">
      <c r="A58" s="23" t="s">
        <v>306</v>
      </c>
      <c r="B58" s="23" t="s">
        <v>77</v>
      </c>
      <c r="C58" s="23" t="s">
        <v>318</v>
      </c>
      <c r="D58" s="23">
        <v>514</v>
      </c>
    </row>
    <row r="59" spans="1:4" x14ac:dyDescent="0.25">
      <c r="A59" s="23" t="s">
        <v>306</v>
      </c>
      <c r="B59" s="23" t="s">
        <v>154</v>
      </c>
      <c r="C59" s="23" t="s">
        <v>318</v>
      </c>
      <c r="D59" s="23">
        <v>1072</v>
      </c>
    </row>
    <row r="60" spans="1:4" x14ac:dyDescent="0.25">
      <c r="A60" s="23" t="s">
        <v>306</v>
      </c>
      <c r="B60" s="23" t="s">
        <v>155</v>
      </c>
      <c r="C60" s="23" t="s">
        <v>318</v>
      </c>
      <c r="D60" s="23">
        <v>1152</v>
      </c>
    </row>
    <row r="61" spans="1:4" x14ac:dyDescent="0.25">
      <c r="A61" s="23" t="s">
        <v>306</v>
      </c>
      <c r="B61" s="23" t="s">
        <v>157</v>
      </c>
      <c r="C61" s="23" t="s">
        <v>318</v>
      </c>
      <c r="D61" s="23">
        <v>1031</v>
      </c>
    </row>
    <row r="62" spans="1:4" x14ac:dyDescent="0.25">
      <c r="A62" s="23" t="s">
        <v>306</v>
      </c>
      <c r="B62" s="23" t="s">
        <v>80</v>
      </c>
      <c r="C62" s="23" t="s">
        <v>318</v>
      </c>
      <c r="D62" s="23">
        <v>718</v>
      </c>
    </row>
    <row r="63" spans="1:4" x14ac:dyDescent="0.25">
      <c r="A63" s="23" t="s">
        <v>306</v>
      </c>
      <c r="B63" s="23" t="s">
        <v>84</v>
      </c>
      <c r="C63" s="23" t="s">
        <v>308</v>
      </c>
      <c r="D63" s="23">
        <v>1322</v>
      </c>
    </row>
    <row r="64" spans="1:4" x14ac:dyDescent="0.25">
      <c r="A64" s="23" t="s">
        <v>306</v>
      </c>
      <c r="B64" s="23" t="s">
        <v>83</v>
      </c>
      <c r="C64" s="23" t="s">
        <v>308</v>
      </c>
      <c r="D64" s="23">
        <v>1795</v>
      </c>
    </row>
    <row r="65" spans="1:4" x14ac:dyDescent="0.25">
      <c r="A65" s="23" t="s">
        <v>306</v>
      </c>
      <c r="B65" s="23" t="s">
        <v>151</v>
      </c>
      <c r="C65" s="23" t="s">
        <v>308</v>
      </c>
      <c r="D65" s="23">
        <v>3135</v>
      </c>
    </row>
    <row r="66" spans="1:4" x14ac:dyDescent="0.25">
      <c r="A66" s="23" t="s">
        <v>306</v>
      </c>
      <c r="B66" s="23" t="s">
        <v>82</v>
      </c>
      <c r="C66" s="23" t="s">
        <v>308</v>
      </c>
      <c r="D66" s="23">
        <v>1315</v>
      </c>
    </row>
    <row r="67" spans="1:4" x14ac:dyDescent="0.25">
      <c r="A67" s="23" t="s">
        <v>306</v>
      </c>
      <c r="B67" s="23" t="s">
        <v>152</v>
      </c>
      <c r="C67" s="23" t="s">
        <v>308</v>
      </c>
      <c r="D67" s="23">
        <v>1998</v>
      </c>
    </row>
    <row r="68" spans="1:4" x14ac:dyDescent="0.25">
      <c r="A68" s="23" t="s">
        <v>306</v>
      </c>
      <c r="B68" s="23" t="s">
        <v>153</v>
      </c>
      <c r="C68" s="23" t="s">
        <v>308</v>
      </c>
      <c r="D68" s="23">
        <v>2017</v>
      </c>
    </row>
    <row r="69" spans="1:4" x14ac:dyDescent="0.25">
      <c r="A69" s="23" t="s">
        <v>306</v>
      </c>
      <c r="B69" s="23" t="s">
        <v>81</v>
      </c>
      <c r="C69" s="23" t="s">
        <v>308</v>
      </c>
      <c r="D69" s="23">
        <v>1032</v>
      </c>
    </row>
    <row r="70" spans="1:4" x14ac:dyDescent="0.25">
      <c r="A70" s="23" t="s">
        <v>306</v>
      </c>
      <c r="B70" s="23" t="s">
        <v>77</v>
      </c>
      <c r="C70" s="23" t="s">
        <v>308</v>
      </c>
      <c r="D70" s="23">
        <v>146</v>
      </c>
    </row>
    <row r="71" spans="1:4" x14ac:dyDescent="0.25">
      <c r="A71" s="23" t="s">
        <v>306</v>
      </c>
      <c r="B71" s="23" t="s">
        <v>154</v>
      </c>
      <c r="C71" s="23" t="s">
        <v>308</v>
      </c>
      <c r="D71" s="23">
        <v>156</v>
      </c>
    </row>
    <row r="72" spans="1:4" x14ac:dyDescent="0.25">
      <c r="A72" s="23" t="s">
        <v>306</v>
      </c>
      <c r="B72" s="23" t="s">
        <v>157</v>
      </c>
      <c r="C72" s="23" t="s">
        <v>308</v>
      </c>
      <c r="D72" s="23">
        <v>1646</v>
      </c>
    </row>
    <row r="73" spans="1:4" x14ac:dyDescent="0.25">
      <c r="A73" s="23" t="s">
        <v>306</v>
      </c>
      <c r="B73" s="23" t="s">
        <v>84</v>
      </c>
      <c r="C73" s="23" t="s">
        <v>313</v>
      </c>
      <c r="D73" s="23">
        <v>5936</v>
      </c>
    </row>
    <row r="74" spans="1:4" x14ac:dyDescent="0.25">
      <c r="A74" s="23" t="s">
        <v>306</v>
      </c>
      <c r="B74" s="23" t="s">
        <v>83</v>
      </c>
      <c r="C74" s="23" t="s">
        <v>313</v>
      </c>
      <c r="D74" s="23">
        <v>7397</v>
      </c>
    </row>
    <row r="75" spans="1:4" x14ac:dyDescent="0.25">
      <c r="A75" s="23" t="s">
        <v>306</v>
      </c>
      <c r="B75" s="23" t="s">
        <v>151</v>
      </c>
      <c r="C75" s="23" t="s">
        <v>313</v>
      </c>
      <c r="D75" s="23">
        <v>3478</v>
      </c>
    </row>
    <row r="76" spans="1:4" x14ac:dyDescent="0.25">
      <c r="A76" s="23" t="s">
        <v>306</v>
      </c>
      <c r="B76" s="23" t="s">
        <v>82</v>
      </c>
      <c r="C76" s="23" t="s">
        <v>313</v>
      </c>
      <c r="D76" s="23">
        <v>2783</v>
      </c>
    </row>
    <row r="77" spans="1:4" x14ac:dyDescent="0.25">
      <c r="A77" s="23" t="s">
        <v>306</v>
      </c>
      <c r="B77" s="23" t="s">
        <v>152</v>
      </c>
      <c r="C77" s="23" t="s">
        <v>313</v>
      </c>
      <c r="D77" s="23">
        <v>8818</v>
      </c>
    </row>
    <row r="78" spans="1:4" x14ac:dyDescent="0.25">
      <c r="A78" s="23" t="s">
        <v>306</v>
      </c>
      <c r="B78" s="23" t="s">
        <v>153</v>
      </c>
      <c r="C78" s="23" t="s">
        <v>313</v>
      </c>
      <c r="D78" s="23">
        <v>6108</v>
      </c>
    </row>
    <row r="79" spans="1:4" x14ac:dyDescent="0.25">
      <c r="A79" s="23" t="s">
        <v>306</v>
      </c>
      <c r="B79" s="23" t="s">
        <v>81</v>
      </c>
      <c r="C79" s="23" t="s">
        <v>313</v>
      </c>
      <c r="D79" s="23">
        <v>1890</v>
      </c>
    </row>
    <row r="80" spans="1:4" x14ac:dyDescent="0.25">
      <c r="A80" s="23" t="s">
        <v>306</v>
      </c>
      <c r="B80" s="23" t="s">
        <v>77</v>
      </c>
      <c r="C80" s="23" t="s">
        <v>313</v>
      </c>
      <c r="D80" s="23">
        <v>2884</v>
      </c>
    </row>
    <row r="81" spans="1:4" x14ac:dyDescent="0.25">
      <c r="A81" s="23" t="s">
        <v>306</v>
      </c>
      <c r="B81" s="23" t="s">
        <v>78</v>
      </c>
      <c r="C81" s="23" t="s">
        <v>313</v>
      </c>
      <c r="D81" s="23">
        <v>569</v>
      </c>
    </row>
    <row r="82" spans="1:4" x14ac:dyDescent="0.25">
      <c r="A82" s="23" t="s">
        <v>306</v>
      </c>
      <c r="B82" s="23" t="s">
        <v>154</v>
      </c>
      <c r="C82" s="23" t="s">
        <v>313</v>
      </c>
      <c r="D82" s="23">
        <v>3778</v>
      </c>
    </row>
    <row r="83" spans="1:4" x14ac:dyDescent="0.25">
      <c r="A83" s="23" t="s">
        <v>306</v>
      </c>
      <c r="B83" s="23" t="s">
        <v>162</v>
      </c>
      <c r="C83" s="23" t="s">
        <v>313</v>
      </c>
      <c r="D83" s="23">
        <v>0</v>
      </c>
    </row>
    <row r="84" spans="1:4" x14ac:dyDescent="0.25">
      <c r="A84" s="23" t="s">
        <v>306</v>
      </c>
      <c r="B84" s="23" t="s">
        <v>155</v>
      </c>
      <c r="C84" s="23" t="s">
        <v>313</v>
      </c>
      <c r="D84" s="23">
        <v>4123</v>
      </c>
    </row>
    <row r="85" spans="1:4" x14ac:dyDescent="0.25">
      <c r="A85" s="23" t="s">
        <v>306</v>
      </c>
      <c r="B85" s="23" t="s">
        <v>156</v>
      </c>
      <c r="C85" s="23" t="s">
        <v>313</v>
      </c>
      <c r="D85" s="23">
        <v>2546</v>
      </c>
    </row>
    <row r="86" spans="1:4" x14ac:dyDescent="0.25">
      <c r="A86" s="23" t="s">
        <v>306</v>
      </c>
      <c r="B86" s="23" t="s">
        <v>157</v>
      </c>
      <c r="C86" s="23" t="s">
        <v>313</v>
      </c>
      <c r="D86" s="23">
        <v>11089</v>
      </c>
    </row>
    <row r="87" spans="1:4" x14ac:dyDescent="0.25">
      <c r="A87" s="23" t="s">
        <v>306</v>
      </c>
      <c r="B87" s="23" t="s">
        <v>80</v>
      </c>
      <c r="C87" s="23" t="s">
        <v>313</v>
      </c>
      <c r="D87" s="23">
        <v>1457</v>
      </c>
    </row>
    <row r="88" spans="1:4" x14ac:dyDescent="0.25">
      <c r="A88" s="23" t="s">
        <v>306</v>
      </c>
      <c r="B88" s="23" t="s">
        <v>84</v>
      </c>
      <c r="C88" s="23" t="s">
        <v>311</v>
      </c>
      <c r="D88" s="23">
        <v>1185</v>
      </c>
    </row>
    <row r="89" spans="1:4" x14ac:dyDescent="0.25">
      <c r="A89" s="23" t="s">
        <v>306</v>
      </c>
      <c r="B89" s="23" t="s">
        <v>83</v>
      </c>
      <c r="C89" s="23" t="s">
        <v>311</v>
      </c>
      <c r="D89" s="23">
        <v>1342</v>
      </c>
    </row>
    <row r="90" spans="1:4" x14ac:dyDescent="0.25">
      <c r="A90" s="23" t="s">
        <v>306</v>
      </c>
      <c r="B90" s="23" t="s">
        <v>151</v>
      </c>
      <c r="C90" s="23" t="s">
        <v>311</v>
      </c>
      <c r="D90" s="23">
        <v>748</v>
      </c>
    </row>
    <row r="91" spans="1:4" x14ac:dyDescent="0.25">
      <c r="A91" s="23" t="s">
        <v>306</v>
      </c>
      <c r="B91" s="23" t="s">
        <v>82</v>
      </c>
      <c r="C91" s="23" t="s">
        <v>311</v>
      </c>
      <c r="D91" s="23">
        <v>59</v>
      </c>
    </row>
    <row r="92" spans="1:4" x14ac:dyDescent="0.25">
      <c r="A92" s="23" t="s">
        <v>306</v>
      </c>
      <c r="B92" s="23" t="s">
        <v>152</v>
      </c>
      <c r="C92" s="23" t="s">
        <v>311</v>
      </c>
      <c r="D92" s="23">
        <v>127</v>
      </c>
    </row>
    <row r="93" spans="1:4" x14ac:dyDescent="0.25">
      <c r="A93" s="23" t="s">
        <v>306</v>
      </c>
      <c r="B93" s="23" t="s">
        <v>153</v>
      </c>
      <c r="C93" s="23" t="s">
        <v>311</v>
      </c>
      <c r="D93" s="23">
        <v>613</v>
      </c>
    </row>
    <row r="94" spans="1:4" x14ac:dyDescent="0.25">
      <c r="A94" s="23" t="s">
        <v>306</v>
      </c>
      <c r="B94" s="23" t="s">
        <v>81</v>
      </c>
      <c r="C94" s="23" t="s">
        <v>311</v>
      </c>
      <c r="D94" s="23">
        <v>866</v>
      </c>
    </row>
    <row r="95" spans="1:4" x14ac:dyDescent="0.25">
      <c r="A95" s="23" t="s">
        <v>306</v>
      </c>
      <c r="B95" s="23" t="s">
        <v>77</v>
      </c>
      <c r="C95" s="23" t="s">
        <v>311</v>
      </c>
      <c r="D95" s="23">
        <v>173</v>
      </c>
    </row>
    <row r="96" spans="1:4" x14ac:dyDescent="0.25">
      <c r="A96" s="23" t="s">
        <v>306</v>
      </c>
      <c r="B96" s="23" t="s">
        <v>154</v>
      </c>
      <c r="C96" s="23" t="s">
        <v>311</v>
      </c>
      <c r="D96" s="23">
        <v>45</v>
      </c>
    </row>
    <row r="97" spans="1:4" x14ac:dyDescent="0.25">
      <c r="A97" s="23" t="s">
        <v>306</v>
      </c>
      <c r="B97" s="23" t="s">
        <v>155</v>
      </c>
      <c r="C97" s="23" t="s">
        <v>311</v>
      </c>
      <c r="D97" s="23">
        <v>450</v>
      </c>
    </row>
    <row r="98" spans="1:4" x14ac:dyDescent="0.25">
      <c r="A98" s="23" t="s">
        <v>306</v>
      </c>
      <c r="B98" s="23" t="s">
        <v>157</v>
      </c>
      <c r="C98" s="23" t="s">
        <v>311</v>
      </c>
      <c r="D98" s="23">
        <v>677</v>
      </c>
    </row>
    <row r="99" spans="1:4" x14ac:dyDescent="0.25">
      <c r="A99" s="23" t="s">
        <v>306</v>
      </c>
      <c r="B99" s="23" t="s">
        <v>80</v>
      </c>
      <c r="C99" s="23" t="s">
        <v>311</v>
      </c>
      <c r="D99" s="23">
        <v>405</v>
      </c>
    </row>
    <row r="100" spans="1:4" x14ac:dyDescent="0.25">
      <c r="A100" s="23" t="s">
        <v>306</v>
      </c>
      <c r="B100" s="23" t="s">
        <v>84</v>
      </c>
      <c r="C100" s="23" t="s">
        <v>309</v>
      </c>
      <c r="D100" s="23">
        <v>525</v>
      </c>
    </row>
    <row r="101" spans="1:4" x14ac:dyDescent="0.25">
      <c r="A101" s="23" t="s">
        <v>306</v>
      </c>
      <c r="B101" s="23" t="s">
        <v>83</v>
      </c>
      <c r="C101" s="23" t="s">
        <v>309</v>
      </c>
      <c r="D101" s="23">
        <v>1117</v>
      </c>
    </row>
    <row r="102" spans="1:4" x14ac:dyDescent="0.25">
      <c r="A102" s="23" t="s">
        <v>306</v>
      </c>
      <c r="B102" s="23" t="s">
        <v>151</v>
      </c>
      <c r="C102" s="23" t="s">
        <v>309</v>
      </c>
      <c r="D102" s="23">
        <v>421</v>
      </c>
    </row>
    <row r="103" spans="1:4" x14ac:dyDescent="0.25">
      <c r="A103" s="23" t="s">
        <v>306</v>
      </c>
      <c r="B103" s="23" t="s">
        <v>82</v>
      </c>
      <c r="C103" s="23" t="s">
        <v>309</v>
      </c>
      <c r="D103" s="23">
        <v>714</v>
      </c>
    </row>
    <row r="104" spans="1:4" x14ac:dyDescent="0.25">
      <c r="A104" s="23" t="s">
        <v>306</v>
      </c>
      <c r="B104" s="23" t="s">
        <v>152</v>
      </c>
      <c r="C104" s="23" t="s">
        <v>309</v>
      </c>
      <c r="D104" s="23">
        <v>2684</v>
      </c>
    </row>
    <row r="105" spans="1:4" x14ac:dyDescent="0.25">
      <c r="A105" s="23" t="s">
        <v>306</v>
      </c>
      <c r="B105" s="23" t="s">
        <v>153</v>
      </c>
      <c r="C105" s="23" t="s">
        <v>309</v>
      </c>
      <c r="D105" s="23">
        <v>193</v>
      </c>
    </row>
    <row r="106" spans="1:4" x14ac:dyDescent="0.25">
      <c r="A106" s="23" t="s">
        <v>306</v>
      </c>
      <c r="B106" s="23" t="s">
        <v>81</v>
      </c>
      <c r="C106" s="23" t="s">
        <v>309</v>
      </c>
      <c r="D106" s="23">
        <v>56</v>
      </c>
    </row>
    <row r="107" spans="1:4" x14ac:dyDescent="0.25">
      <c r="A107" s="23" t="s">
        <v>306</v>
      </c>
      <c r="B107" s="23" t="s">
        <v>77</v>
      </c>
      <c r="C107" s="23" t="s">
        <v>309</v>
      </c>
      <c r="D107" s="23">
        <v>192</v>
      </c>
    </row>
    <row r="108" spans="1:4" x14ac:dyDescent="0.25">
      <c r="A108" s="23" t="s">
        <v>306</v>
      </c>
      <c r="B108" s="23" t="s">
        <v>154</v>
      </c>
      <c r="C108" s="23" t="s">
        <v>309</v>
      </c>
      <c r="D108" s="23">
        <v>162</v>
      </c>
    </row>
    <row r="109" spans="1:4" x14ac:dyDescent="0.25">
      <c r="A109" s="23" t="s">
        <v>306</v>
      </c>
      <c r="B109" s="23" t="s">
        <v>155</v>
      </c>
      <c r="C109" s="23" t="s">
        <v>309</v>
      </c>
      <c r="D109" s="23">
        <v>1801</v>
      </c>
    </row>
    <row r="110" spans="1:4" x14ac:dyDescent="0.25">
      <c r="A110" s="23" t="s">
        <v>306</v>
      </c>
      <c r="B110" s="23" t="s">
        <v>157</v>
      </c>
      <c r="C110" s="23" t="s">
        <v>309</v>
      </c>
      <c r="D110" s="23">
        <v>2984</v>
      </c>
    </row>
    <row r="111" spans="1:4" x14ac:dyDescent="0.25">
      <c r="A111" s="23" t="s">
        <v>306</v>
      </c>
      <c r="B111" s="23" t="s">
        <v>80</v>
      </c>
      <c r="C111" s="23" t="s">
        <v>309</v>
      </c>
      <c r="D111" s="23">
        <v>490</v>
      </c>
    </row>
    <row r="112" spans="1:4" x14ac:dyDescent="0.25">
      <c r="A112" s="23" t="s">
        <v>306</v>
      </c>
      <c r="B112" s="23" t="s">
        <v>84</v>
      </c>
      <c r="C112" s="23" t="s">
        <v>317</v>
      </c>
      <c r="D112" s="23">
        <v>3789</v>
      </c>
    </row>
    <row r="113" spans="1:4" x14ac:dyDescent="0.25">
      <c r="A113" s="23" t="s">
        <v>306</v>
      </c>
      <c r="B113" s="23" t="s">
        <v>83</v>
      </c>
      <c r="C113" s="23" t="s">
        <v>317</v>
      </c>
      <c r="D113" s="23">
        <v>1937</v>
      </c>
    </row>
    <row r="114" spans="1:4" x14ac:dyDescent="0.25">
      <c r="A114" s="23" t="s">
        <v>306</v>
      </c>
      <c r="B114" s="23" t="s">
        <v>151</v>
      </c>
      <c r="C114" s="23" t="s">
        <v>317</v>
      </c>
      <c r="D114" s="23">
        <v>3567</v>
      </c>
    </row>
    <row r="115" spans="1:4" x14ac:dyDescent="0.25">
      <c r="A115" s="23" t="s">
        <v>306</v>
      </c>
      <c r="B115" s="23" t="s">
        <v>82</v>
      </c>
      <c r="C115" s="23" t="s">
        <v>317</v>
      </c>
      <c r="D115" s="23">
        <v>261</v>
      </c>
    </row>
    <row r="116" spans="1:4" x14ac:dyDescent="0.25">
      <c r="A116" s="23" t="s">
        <v>306</v>
      </c>
      <c r="B116" s="23" t="s">
        <v>152</v>
      </c>
      <c r="C116" s="23" t="s">
        <v>317</v>
      </c>
      <c r="D116" s="23">
        <v>1233</v>
      </c>
    </row>
    <row r="117" spans="1:4" x14ac:dyDescent="0.25">
      <c r="A117" s="23" t="s">
        <v>306</v>
      </c>
      <c r="B117" s="23" t="s">
        <v>153</v>
      </c>
      <c r="C117" s="23" t="s">
        <v>317</v>
      </c>
      <c r="D117" s="23">
        <v>1162</v>
      </c>
    </row>
    <row r="118" spans="1:4" x14ac:dyDescent="0.25">
      <c r="A118" s="23" t="s">
        <v>306</v>
      </c>
      <c r="B118" s="23" t="s">
        <v>81</v>
      </c>
      <c r="C118" s="23" t="s">
        <v>317</v>
      </c>
      <c r="D118" s="23">
        <v>1043</v>
      </c>
    </row>
    <row r="119" spans="1:4" x14ac:dyDescent="0.25">
      <c r="A119" s="23" t="s">
        <v>306</v>
      </c>
      <c r="B119" s="23" t="s">
        <v>77</v>
      </c>
      <c r="C119" s="23" t="s">
        <v>317</v>
      </c>
      <c r="D119" s="23">
        <v>907</v>
      </c>
    </row>
    <row r="120" spans="1:4" x14ac:dyDescent="0.25">
      <c r="A120" s="23" t="s">
        <v>306</v>
      </c>
      <c r="B120" s="23" t="s">
        <v>154</v>
      </c>
      <c r="C120" s="23" t="s">
        <v>317</v>
      </c>
      <c r="D120" s="23">
        <v>243</v>
      </c>
    </row>
    <row r="121" spans="1:4" x14ac:dyDescent="0.25">
      <c r="A121" s="23" t="s">
        <v>306</v>
      </c>
      <c r="B121" s="23" t="s">
        <v>155</v>
      </c>
      <c r="C121" s="23" t="s">
        <v>317</v>
      </c>
      <c r="D121" s="23">
        <v>1133</v>
      </c>
    </row>
    <row r="122" spans="1:4" x14ac:dyDescent="0.25">
      <c r="A122" s="23" t="s">
        <v>306</v>
      </c>
      <c r="B122" s="23" t="s">
        <v>156</v>
      </c>
      <c r="C122" s="23" t="s">
        <v>317</v>
      </c>
      <c r="D122" s="23">
        <v>718</v>
      </c>
    </row>
    <row r="123" spans="1:4" x14ac:dyDescent="0.25">
      <c r="A123" s="23" t="s">
        <v>306</v>
      </c>
      <c r="B123" s="23" t="s">
        <v>157</v>
      </c>
      <c r="C123" s="23" t="s">
        <v>317</v>
      </c>
      <c r="D123" s="23">
        <v>3219</v>
      </c>
    </row>
    <row r="124" spans="1:4" x14ac:dyDescent="0.25">
      <c r="A124" s="23" t="s">
        <v>306</v>
      </c>
      <c r="B124" s="23" t="s">
        <v>84</v>
      </c>
      <c r="C124" s="23" t="s">
        <v>316</v>
      </c>
      <c r="D124" s="23">
        <v>2649</v>
      </c>
    </row>
    <row r="125" spans="1:4" x14ac:dyDescent="0.25">
      <c r="A125" s="23" t="s">
        <v>306</v>
      </c>
      <c r="B125" s="23" t="s">
        <v>83</v>
      </c>
      <c r="C125" s="23" t="s">
        <v>316</v>
      </c>
      <c r="D125" s="23">
        <v>2632</v>
      </c>
    </row>
    <row r="126" spans="1:4" x14ac:dyDescent="0.25">
      <c r="A126" s="23" t="s">
        <v>306</v>
      </c>
      <c r="B126" s="23" t="s">
        <v>151</v>
      </c>
      <c r="C126" s="23" t="s">
        <v>316</v>
      </c>
      <c r="D126" s="23">
        <v>3275</v>
      </c>
    </row>
    <row r="127" spans="1:4" x14ac:dyDescent="0.25">
      <c r="A127" s="23" t="s">
        <v>306</v>
      </c>
      <c r="B127" s="23" t="s">
        <v>82</v>
      </c>
      <c r="C127" s="23" t="s">
        <v>316</v>
      </c>
      <c r="D127" s="23">
        <v>1423</v>
      </c>
    </row>
    <row r="128" spans="1:4" x14ac:dyDescent="0.25">
      <c r="A128" s="23" t="s">
        <v>306</v>
      </c>
      <c r="B128" s="23" t="s">
        <v>152</v>
      </c>
      <c r="C128" s="23" t="s">
        <v>316</v>
      </c>
      <c r="D128" s="23">
        <v>5156</v>
      </c>
    </row>
    <row r="129" spans="1:4" x14ac:dyDescent="0.25">
      <c r="A129" s="23" t="s">
        <v>306</v>
      </c>
      <c r="B129" s="23" t="s">
        <v>153</v>
      </c>
      <c r="C129" s="23" t="s">
        <v>316</v>
      </c>
      <c r="D129" s="23">
        <v>4516</v>
      </c>
    </row>
    <row r="130" spans="1:4" x14ac:dyDescent="0.25">
      <c r="A130" s="23" t="s">
        <v>306</v>
      </c>
      <c r="B130" s="23" t="s">
        <v>81</v>
      </c>
      <c r="C130" s="23" t="s">
        <v>316</v>
      </c>
      <c r="D130" s="23">
        <v>927</v>
      </c>
    </row>
    <row r="131" spans="1:4" x14ac:dyDescent="0.25">
      <c r="A131" s="23" t="s">
        <v>306</v>
      </c>
      <c r="B131" s="23" t="s">
        <v>77</v>
      </c>
      <c r="C131" s="23" t="s">
        <v>316</v>
      </c>
      <c r="D131" s="23">
        <v>448</v>
      </c>
    </row>
    <row r="132" spans="1:4" x14ac:dyDescent="0.25">
      <c r="A132" s="23" t="s">
        <v>306</v>
      </c>
      <c r="B132" s="23" t="s">
        <v>78</v>
      </c>
      <c r="C132" s="23" t="s">
        <v>316</v>
      </c>
      <c r="D132" s="23">
        <v>8</v>
      </c>
    </row>
    <row r="133" spans="1:4" x14ac:dyDescent="0.25">
      <c r="A133" s="23" t="s">
        <v>306</v>
      </c>
      <c r="B133" s="23" t="s">
        <v>154</v>
      </c>
      <c r="C133" s="23" t="s">
        <v>316</v>
      </c>
      <c r="D133" s="23">
        <v>72</v>
      </c>
    </row>
    <row r="134" spans="1:4" x14ac:dyDescent="0.25">
      <c r="A134" s="23" t="s">
        <v>306</v>
      </c>
      <c r="B134" s="23" t="s">
        <v>155</v>
      </c>
      <c r="C134" s="23" t="s">
        <v>316</v>
      </c>
      <c r="D134" s="23">
        <v>2190</v>
      </c>
    </row>
    <row r="135" spans="1:4" x14ac:dyDescent="0.25">
      <c r="A135" s="23" t="s">
        <v>306</v>
      </c>
      <c r="B135" s="23" t="s">
        <v>156</v>
      </c>
      <c r="C135" s="23" t="s">
        <v>316</v>
      </c>
      <c r="D135" s="23">
        <v>1744</v>
      </c>
    </row>
    <row r="136" spans="1:4" x14ac:dyDescent="0.25">
      <c r="A136" s="23" t="s">
        <v>306</v>
      </c>
      <c r="B136" s="23" t="s">
        <v>157</v>
      </c>
      <c r="C136" s="23" t="s">
        <v>316</v>
      </c>
      <c r="D136" s="23">
        <v>3017</v>
      </c>
    </row>
    <row r="137" spans="1:4" x14ac:dyDescent="0.25">
      <c r="A137" s="23" t="s">
        <v>306</v>
      </c>
      <c r="B137" s="23" t="s">
        <v>84</v>
      </c>
      <c r="C137" s="23" t="s">
        <v>315</v>
      </c>
      <c r="D137" s="23">
        <v>3360</v>
      </c>
    </row>
    <row r="138" spans="1:4" x14ac:dyDescent="0.25">
      <c r="A138" s="23" t="s">
        <v>306</v>
      </c>
      <c r="B138" s="23" t="s">
        <v>83</v>
      </c>
      <c r="C138" s="23" t="s">
        <v>315</v>
      </c>
      <c r="D138" s="23">
        <v>1412</v>
      </c>
    </row>
    <row r="139" spans="1:4" x14ac:dyDescent="0.25">
      <c r="A139" s="23" t="s">
        <v>306</v>
      </c>
      <c r="B139" s="23" t="s">
        <v>151</v>
      </c>
      <c r="C139" s="23" t="s">
        <v>315</v>
      </c>
      <c r="D139" s="23">
        <v>4154</v>
      </c>
    </row>
    <row r="140" spans="1:4" x14ac:dyDescent="0.25">
      <c r="A140" s="23" t="s">
        <v>306</v>
      </c>
      <c r="B140" s="23" t="s">
        <v>82</v>
      </c>
      <c r="C140" s="23" t="s">
        <v>315</v>
      </c>
      <c r="D140" s="23">
        <v>829</v>
      </c>
    </row>
    <row r="141" spans="1:4" x14ac:dyDescent="0.25">
      <c r="A141" s="23" t="s">
        <v>306</v>
      </c>
      <c r="B141" s="23" t="s">
        <v>152</v>
      </c>
      <c r="C141" s="23" t="s">
        <v>315</v>
      </c>
      <c r="D141" s="23">
        <v>2462</v>
      </c>
    </row>
    <row r="142" spans="1:4" x14ac:dyDescent="0.25">
      <c r="A142" s="23" t="s">
        <v>306</v>
      </c>
      <c r="B142" s="23" t="s">
        <v>153</v>
      </c>
      <c r="C142" s="23" t="s">
        <v>315</v>
      </c>
      <c r="D142" s="23">
        <v>1228</v>
      </c>
    </row>
    <row r="143" spans="1:4" x14ac:dyDescent="0.25">
      <c r="A143" s="23" t="s">
        <v>306</v>
      </c>
      <c r="B143" s="23" t="s">
        <v>81</v>
      </c>
      <c r="C143" s="23" t="s">
        <v>315</v>
      </c>
      <c r="D143" s="23">
        <v>136</v>
      </c>
    </row>
    <row r="144" spans="1:4" x14ac:dyDescent="0.25">
      <c r="A144" s="23" t="s">
        <v>306</v>
      </c>
      <c r="B144" s="23" t="s">
        <v>77</v>
      </c>
      <c r="C144" s="23" t="s">
        <v>315</v>
      </c>
      <c r="D144" s="23">
        <v>638</v>
      </c>
    </row>
    <row r="145" spans="1:4" x14ac:dyDescent="0.25">
      <c r="A145" s="23" t="s">
        <v>306</v>
      </c>
      <c r="B145" s="23" t="s">
        <v>154</v>
      </c>
      <c r="C145" s="23" t="s">
        <v>315</v>
      </c>
      <c r="D145" s="23">
        <v>656</v>
      </c>
    </row>
    <row r="146" spans="1:4" x14ac:dyDescent="0.25">
      <c r="A146" s="23" t="s">
        <v>306</v>
      </c>
      <c r="B146" s="23" t="s">
        <v>155</v>
      </c>
      <c r="C146" s="23" t="s">
        <v>315</v>
      </c>
      <c r="D146" s="23">
        <v>788</v>
      </c>
    </row>
    <row r="147" spans="1:4" x14ac:dyDescent="0.25">
      <c r="A147" s="23" t="s">
        <v>306</v>
      </c>
      <c r="B147" s="23" t="s">
        <v>156</v>
      </c>
      <c r="C147" s="23" t="s">
        <v>315</v>
      </c>
      <c r="D147" s="23">
        <v>460</v>
      </c>
    </row>
    <row r="148" spans="1:4" x14ac:dyDescent="0.25">
      <c r="A148" s="23" t="s">
        <v>306</v>
      </c>
      <c r="B148" s="23" t="s">
        <v>157</v>
      </c>
      <c r="C148" s="23" t="s">
        <v>315</v>
      </c>
      <c r="D148" s="23">
        <v>1279</v>
      </c>
    </row>
    <row r="149" spans="1:4" x14ac:dyDescent="0.25">
      <c r="A149" s="23" t="s">
        <v>306</v>
      </c>
      <c r="B149" s="23" t="s">
        <v>80</v>
      </c>
      <c r="C149" s="23" t="s">
        <v>315</v>
      </c>
      <c r="D149" s="23">
        <v>242</v>
      </c>
    </row>
    <row r="150" spans="1:4" x14ac:dyDescent="0.25">
      <c r="A150" s="23" t="s">
        <v>306</v>
      </c>
      <c r="B150" s="23" t="s">
        <v>84</v>
      </c>
      <c r="C150" s="23" t="s">
        <v>310</v>
      </c>
      <c r="D150" s="23">
        <v>515</v>
      </c>
    </row>
    <row r="151" spans="1:4" x14ac:dyDescent="0.25">
      <c r="A151" s="23" t="s">
        <v>306</v>
      </c>
      <c r="B151" s="23" t="s">
        <v>83</v>
      </c>
      <c r="C151" s="23" t="s">
        <v>310</v>
      </c>
      <c r="D151" s="23">
        <v>1244</v>
      </c>
    </row>
    <row r="152" spans="1:4" x14ac:dyDescent="0.25">
      <c r="A152" s="23" t="s">
        <v>306</v>
      </c>
      <c r="B152" s="23" t="s">
        <v>151</v>
      </c>
      <c r="C152" s="23" t="s">
        <v>310</v>
      </c>
      <c r="D152" s="23">
        <v>543</v>
      </c>
    </row>
    <row r="153" spans="1:4" x14ac:dyDescent="0.25">
      <c r="A153" s="23" t="s">
        <v>306</v>
      </c>
      <c r="B153" s="23" t="s">
        <v>82</v>
      </c>
      <c r="C153" s="23" t="s">
        <v>310</v>
      </c>
      <c r="D153" s="23">
        <v>414</v>
      </c>
    </row>
    <row r="154" spans="1:4" x14ac:dyDescent="0.25">
      <c r="A154" s="23" t="s">
        <v>306</v>
      </c>
      <c r="B154" s="23" t="s">
        <v>152</v>
      </c>
      <c r="C154" s="23" t="s">
        <v>310</v>
      </c>
      <c r="D154" s="23">
        <v>209</v>
      </c>
    </row>
    <row r="155" spans="1:4" x14ac:dyDescent="0.25">
      <c r="A155" s="23" t="s">
        <v>306</v>
      </c>
      <c r="B155" s="23" t="s">
        <v>81</v>
      </c>
      <c r="C155" s="23" t="s">
        <v>310</v>
      </c>
      <c r="D155" s="23">
        <v>724</v>
      </c>
    </row>
    <row r="156" spans="1:4" x14ac:dyDescent="0.25">
      <c r="A156" s="23" t="s">
        <v>306</v>
      </c>
      <c r="B156" s="23" t="s">
        <v>154</v>
      </c>
      <c r="C156" s="23" t="s">
        <v>310</v>
      </c>
      <c r="D156" s="23">
        <v>92</v>
      </c>
    </row>
    <row r="157" spans="1:4" x14ac:dyDescent="0.25">
      <c r="A157" s="23" t="s">
        <v>306</v>
      </c>
      <c r="B157" s="23" t="s">
        <v>155</v>
      </c>
      <c r="C157" s="23" t="s">
        <v>310</v>
      </c>
      <c r="D157" s="23">
        <v>875</v>
      </c>
    </row>
    <row r="158" spans="1:4" x14ac:dyDescent="0.25">
      <c r="A158" s="23" t="s">
        <v>306</v>
      </c>
      <c r="B158" s="23" t="s">
        <v>157</v>
      </c>
      <c r="C158" s="23" t="s">
        <v>310</v>
      </c>
      <c r="D158" s="23">
        <v>444</v>
      </c>
    </row>
    <row r="159" spans="1:4" x14ac:dyDescent="0.25">
      <c r="A159" s="23" t="s">
        <v>306</v>
      </c>
      <c r="B159" s="23" t="s">
        <v>84</v>
      </c>
      <c r="C159" s="23" t="s">
        <v>307</v>
      </c>
      <c r="D159" s="23">
        <v>2920</v>
      </c>
    </row>
    <row r="160" spans="1:4" x14ac:dyDescent="0.25">
      <c r="A160" s="23" t="s">
        <v>306</v>
      </c>
      <c r="B160" s="23" t="s">
        <v>83</v>
      </c>
      <c r="C160" s="23" t="s">
        <v>307</v>
      </c>
      <c r="D160" s="23">
        <v>2344</v>
      </c>
    </row>
    <row r="161" spans="1:4" x14ac:dyDescent="0.25">
      <c r="A161" s="23" t="s">
        <v>306</v>
      </c>
      <c r="B161" s="23" t="s">
        <v>151</v>
      </c>
      <c r="C161" s="23" t="s">
        <v>307</v>
      </c>
      <c r="D161" s="23">
        <v>1525</v>
      </c>
    </row>
    <row r="162" spans="1:4" x14ac:dyDescent="0.25">
      <c r="A162" s="23" t="s">
        <v>306</v>
      </c>
      <c r="B162" s="23" t="s">
        <v>82</v>
      </c>
      <c r="C162" s="23" t="s">
        <v>307</v>
      </c>
      <c r="D162" s="23">
        <v>687</v>
      </c>
    </row>
    <row r="163" spans="1:4" x14ac:dyDescent="0.25">
      <c r="A163" s="23" t="s">
        <v>306</v>
      </c>
      <c r="B163" s="23" t="s">
        <v>152</v>
      </c>
      <c r="C163" s="23" t="s">
        <v>307</v>
      </c>
      <c r="D163" s="23">
        <v>1507</v>
      </c>
    </row>
    <row r="164" spans="1:4" x14ac:dyDescent="0.25">
      <c r="A164" s="23" t="s">
        <v>306</v>
      </c>
      <c r="B164" s="23" t="s">
        <v>153</v>
      </c>
      <c r="C164" s="23" t="s">
        <v>307</v>
      </c>
      <c r="D164" s="23">
        <v>1020</v>
      </c>
    </row>
    <row r="165" spans="1:4" x14ac:dyDescent="0.25">
      <c r="A165" s="23" t="s">
        <v>306</v>
      </c>
      <c r="B165" s="23" t="s">
        <v>81</v>
      </c>
      <c r="C165" s="23" t="s">
        <v>307</v>
      </c>
      <c r="D165" s="23">
        <v>308</v>
      </c>
    </row>
    <row r="166" spans="1:4" x14ac:dyDescent="0.25">
      <c r="A166" s="23" t="s">
        <v>306</v>
      </c>
      <c r="B166" s="23" t="s">
        <v>154</v>
      </c>
      <c r="C166" s="23" t="s">
        <v>307</v>
      </c>
      <c r="D166" s="23">
        <v>26</v>
      </c>
    </row>
    <row r="167" spans="1:4" x14ac:dyDescent="0.25">
      <c r="A167" s="23" t="s">
        <v>306</v>
      </c>
      <c r="B167" s="23" t="s">
        <v>155</v>
      </c>
      <c r="C167" s="23" t="s">
        <v>307</v>
      </c>
      <c r="D167" s="23">
        <v>855</v>
      </c>
    </row>
    <row r="168" spans="1:4" x14ac:dyDescent="0.25">
      <c r="A168" s="23" t="s">
        <v>306</v>
      </c>
      <c r="B168" s="23" t="s">
        <v>157</v>
      </c>
      <c r="C168" s="23" t="s">
        <v>307</v>
      </c>
      <c r="D168" s="23">
        <v>862</v>
      </c>
    </row>
    <row r="169" spans="1:4" x14ac:dyDescent="0.25">
      <c r="A169" s="23" t="s">
        <v>306</v>
      </c>
      <c r="B169" s="23" t="s">
        <v>197</v>
      </c>
      <c r="C169" s="23" t="s">
        <v>313</v>
      </c>
      <c r="D169" s="23">
        <v>2903</v>
      </c>
    </row>
    <row r="170" spans="1:4" x14ac:dyDescent="0.25">
      <c r="A170" s="23" t="s">
        <v>306</v>
      </c>
      <c r="B170" s="23" t="s">
        <v>198</v>
      </c>
      <c r="C170" s="23" t="s">
        <v>313</v>
      </c>
      <c r="D170" s="23">
        <v>1210</v>
      </c>
    </row>
    <row r="171" spans="1:4" x14ac:dyDescent="0.25">
      <c r="A171" s="23" t="s">
        <v>306</v>
      </c>
      <c r="B171" s="23" t="s">
        <v>192</v>
      </c>
      <c r="C171" s="23" t="s">
        <v>314</v>
      </c>
      <c r="D171" s="23">
        <v>1359</v>
      </c>
    </row>
    <row r="172" spans="1:4" x14ac:dyDescent="0.25">
      <c r="A172" s="23" t="s">
        <v>306</v>
      </c>
      <c r="B172" s="23" t="s">
        <v>158</v>
      </c>
      <c r="C172" s="23" t="s">
        <v>317</v>
      </c>
      <c r="D172" s="23">
        <v>957</v>
      </c>
    </row>
    <row r="173" spans="1:4" x14ac:dyDescent="0.25">
      <c r="A173" s="23" t="s">
        <v>306</v>
      </c>
      <c r="B173" s="23" t="s">
        <v>179</v>
      </c>
      <c r="C173" s="23" t="s">
        <v>316</v>
      </c>
      <c r="D173" s="23">
        <v>121</v>
      </c>
    </row>
    <row r="174" spans="1:4" x14ac:dyDescent="0.25">
      <c r="A174" s="23" t="s">
        <v>306</v>
      </c>
      <c r="B174" s="23" t="s">
        <v>180</v>
      </c>
      <c r="C174" s="23" t="s">
        <v>316</v>
      </c>
      <c r="D174" s="23">
        <v>1125</v>
      </c>
    </row>
    <row r="175" spans="1:4" x14ac:dyDescent="0.25">
      <c r="A175" s="23" t="s">
        <v>306</v>
      </c>
      <c r="B175" s="23" t="s">
        <v>181</v>
      </c>
      <c r="C175" s="23" t="s">
        <v>316</v>
      </c>
      <c r="D175" s="23">
        <v>19</v>
      </c>
    </row>
    <row r="176" spans="1:4" x14ac:dyDescent="0.25">
      <c r="A176" s="23" t="s">
        <v>306</v>
      </c>
      <c r="B176" s="23" t="s">
        <v>194</v>
      </c>
      <c r="C176" s="23" t="s">
        <v>318</v>
      </c>
      <c r="D176" s="23">
        <v>621</v>
      </c>
    </row>
    <row r="177" spans="1:4" x14ac:dyDescent="0.25">
      <c r="A177" s="23" t="s">
        <v>306</v>
      </c>
      <c r="B177" s="23" t="s">
        <v>183</v>
      </c>
      <c r="C177" s="23" t="s">
        <v>315</v>
      </c>
      <c r="D177" s="23">
        <v>230</v>
      </c>
    </row>
    <row r="178" spans="1:4" x14ac:dyDescent="0.25">
      <c r="A178" s="23" t="s">
        <v>306</v>
      </c>
      <c r="B178" s="23" t="s">
        <v>195</v>
      </c>
      <c r="C178" s="23" t="s">
        <v>308</v>
      </c>
      <c r="D178" s="23">
        <v>688</v>
      </c>
    </row>
    <row r="179" spans="1:4" x14ac:dyDescent="0.25">
      <c r="A179" s="23" t="s">
        <v>306</v>
      </c>
      <c r="B179" s="23" t="s">
        <v>187</v>
      </c>
      <c r="C179" s="23" t="s">
        <v>307</v>
      </c>
      <c r="D179" s="23">
        <v>577</v>
      </c>
    </row>
    <row r="180" spans="1:4" x14ac:dyDescent="0.25">
      <c r="A180" s="23" t="s">
        <v>306</v>
      </c>
      <c r="B180" s="23" t="s">
        <v>202</v>
      </c>
      <c r="C180" s="23" t="s">
        <v>309</v>
      </c>
      <c r="D180" s="23">
        <v>20</v>
      </c>
    </row>
    <row r="181" spans="1:4" x14ac:dyDescent="0.25">
      <c r="A181" s="23" t="s">
        <v>306</v>
      </c>
      <c r="B181" s="23" t="s">
        <v>203</v>
      </c>
      <c r="C181" s="23" t="s">
        <v>309</v>
      </c>
      <c r="D181" s="23">
        <v>548</v>
      </c>
    </row>
    <row r="182" spans="1:4" x14ac:dyDescent="0.25">
      <c r="A182" s="23" t="s">
        <v>306</v>
      </c>
      <c r="B182" s="23" t="s">
        <v>185</v>
      </c>
      <c r="C182" s="23" t="s">
        <v>310</v>
      </c>
      <c r="D182" s="23">
        <v>436</v>
      </c>
    </row>
    <row r="183" spans="1:4" x14ac:dyDescent="0.25">
      <c r="A183" s="23" t="s">
        <v>306</v>
      </c>
      <c r="B183" s="23" t="s">
        <v>200</v>
      </c>
      <c r="C183" s="23" t="s">
        <v>311</v>
      </c>
      <c r="D183" s="23">
        <v>18</v>
      </c>
    </row>
    <row r="184" spans="1:4" x14ac:dyDescent="0.25">
      <c r="A184" s="23" t="s">
        <v>306</v>
      </c>
      <c r="B184" s="23" t="s">
        <v>201</v>
      </c>
      <c r="C184" s="23" t="s">
        <v>311</v>
      </c>
      <c r="D184" s="23">
        <v>310</v>
      </c>
    </row>
    <row r="185" spans="1:4" x14ac:dyDescent="0.25">
      <c r="A185" s="23" t="s">
        <v>306</v>
      </c>
      <c r="B185" s="23" t="s">
        <v>189</v>
      </c>
      <c r="C185" s="23" t="s">
        <v>312</v>
      </c>
      <c r="D185" s="23">
        <v>6656</v>
      </c>
    </row>
    <row r="186" spans="1:4" x14ac:dyDescent="0.25">
      <c r="A186" s="23" t="s">
        <v>306</v>
      </c>
      <c r="B186" s="23" t="s">
        <v>77</v>
      </c>
      <c r="C186" s="23" t="s">
        <v>310</v>
      </c>
      <c r="D186" s="23">
        <v>114</v>
      </c>
    </row>
    <row r="187" spans="1:4" x14ac:dyDescent="0.25">
      <c r="A187" s="23" t="s">
        <v>306</v>
      </c>
      <c r="B187" s="23" t="s">
        <v>155</v>
      </c>
      <c r="C187" s="23" t="s">
        <v>308</v>
      </c>
      <c r="D187" s="23">
        <v>2907</v>
      </c>
    </row>
    <row r="188" spans="1:4" x14ac:dyDescent="0.25">
      <c r="A188" s="23" t="s">
        <v>306</v>
      </c>
      <c r="B188" s="23" t="s">
        <v>190</v>
      </c>
      <c r="C188" s="23" t="s">
        <v>312</v>
      </c>
      <c r="D188" s="23">
        <v>1272</v>
      </c>
    </row>
    <row r="189" spans="1:4" x14ac:dyDescent="0.25">
      <c r="A189" s="23" t="s">
        <v>306</v>
      </c>
      <c r="B189" s="23" t="s">
        <v>156</v>
      </c>
      <c r="C189" s="23" t="s">
        <v>309</v>
      </c>
      <c r="D189" s="23">
        <v>508</v>
      </c>
    </row>
    <row r="190" spans="1:4" x14ac:dyDescent="0.25">
      <c r="A190" s="23" t="s">
        <v>306</v>
      </c>
      <c r="B190" s="23" t="s">
        <v>191</v>
      </c>
      <c r="C190" s="23" t="s">
        <v>312</v>
      </c>
      <c r="D190" s="23">
        <v>8546</v>
      </c>
    </row>
    <row r="191" spans="1:4" x14ac:dyDescent="0.25">
      <c r="A191" s="23" t="s">
        <v>306</v>
      </c>
      <c r="B191" s="23" t="s">
        <v>153</v>
      </c>
      <c r="C191" s="23" t="s">
        <v>310</v>
      </c>
      <c r="D191" s="23">
        <v>676</v>
      </c>
    </row>
    <row r="192" spans="1:4" x14ac:dyDescent="0.25">
      <c r="A192" s="23" t="s">
        <v>306</v>
      </c>
      <c r="B192" s="23" t="s">
        <v>164</v>
      </c>
      <c r="C192" s="23" t="s">
        <v>312</v>
      </c>
      <c r="D192" s="23">
        <v>291</v>
      </c>
    </row>
    <row r="193" spans="1:4" x14ac:dyDescent="0.25">
      <c r="A193" s="23" t="s">
        <v>306</v>
      </c>
      <c r="B193" s="23" t="s">
        <v>156</v>
      </c>
      <c r="C193" s="23" t="s">
        <v>318</v>
      </c>
      <c r="D193" s="23">
        <v>1372</v>
      </c>
    </row>
    <row r="194" spans="1:4" x14ac:dyDescent="0.25">
      <c r="A194" s="23" t="s">
        <v>306</v>
      </c>
      <c r="B194" s="23" t="s">
        <v>150</v>
      </c>
      <c r="C194" s="23" t="s">
        <v>316</v>
      </c>
      <c r="D194" s="23">
        <v>53</v>
      </c>
    </row>
    <row r="195" spans="1:4" x14ac:dyDescent="0.25">
      <c r="A195" s="23" t="s">
        <v>306</v>
      </c>
      <c r="B195" s="23" t="s">
        <v>150</v>
      </c>
      <c r="C195" s="23" t="s">
        <v>315</v>
      </c>
      <c r="D195" s="23">
        <v>170</v>
      </c>
    </row>
    <row r="196" spans="1:4" x14ac:dyDescent="0.25">
      <c r="A196" s="23" t="s">
        <v>306</v>
      </c>
      <c r="B196" s="23" t="s">
        <v>150</v>
      </c>
      <c r="C196" s="23" t="s">
        <v>312</v>
      </c>
      <c r="D196" s="23">
        <v>2161</v>
      </c>
    </row>
    <row r="197" spans="1:4" x14ac:dyDescent="0.25">
      <c r="A197" s="23" t="s">
        <v>306</v>
      </c>
      <c r="B197" s="23" t="s">
        <v>150</v>
      </c>
      <c r="C197" s="23" t="s">
        <v>314</v>
      </c>
      <c r="D197" s="23">
        <v>305</v>
      </c>
    </row>
    <row r="198" spans="1:4" x14ac:dyDescent="0.25">
      <c r="A198" s="23" t="s">
        <v>306</v>
      </c>
      <c r="B198" s="23" t="s">
        <v>150</v>
      </c>
      <c r="C198" s="23" t="s">
        <v>313</v>
      </c>
      <c r="D198" s="23">
        <v>1500</v>
      </c>
    </row>
    <row r="199" spans="1:4" x14ac:dyDescent="0.25">
      <c r="A199" s="23" t="s">
        <v>306</v>
      </c>
      <c r="B199" s="23" t="s">
        <v>79</v>
      </c>
      <c r="C199" s="23" t="s">
        <v>312</v>
      </c>
      <c r="D199" s="23">
        <v>1550</v>
      </c>
    </row>
    <row r="200" spans="1:4" x14ac:dyDescent="0.25">
      <c r="A200" s="23" t="s">
        <v>306</v>
      </c>
      <c r="B200" s="23" t="s">
        <v>79</v>
      </c>
      <c r="C200" s="23" t="s">
        <v>313</v>
      </c>
      <c r="D200" s="23">
        <v>380</v>
      </c>
    </row>
    <row r="201" spans="1:4" x14ac:dyDescent="0.25">
      <c r="A201" s="23" t="s">
        <v>306</v>
      </c>
      <c r="B201" s="23" t="s">
        <v>149</v>
      </c>
      <c r="C201" s="23" t="s">
        <v>314</v>
      </c>
      <c r="D201" s="23">
        <v>429</v>
      </c>
    </row>
    <row r="202" spans="1:4" x14ac:dyDescent="0.25">
      <c r="A202" s="23" t="s">
        <v>306</v>
      </c>
      <c r="B202" s="23" t="s">
        <v>149</v>
      </c>
      <c r="C202" s="23" t="s">
        <v>316</v>
      </c>
      <c r="D202" s="23">
        <v>487</v>
      </c>
    </row>
    <row r="203" spans="1:4" x14ac:dyDescent="0.25">
      <c r="A203" s="23" t="s">
        <v>306</v>
      </c>
      <c r="B203" s="23" t="s">
        <v>149</v>
      </c>
      <c r="C203" s="23" t="s">
        <v>312</v>
      </c>
      <c r="D203" s="23">
        <v>7454</v>
      </c>
    </row>
    <row r="204" spans="1:4" x14ac:dyDescent="0.25">
      <c r="A204" s="23" t="s">
        <v>306</v>
      </c>
      <c r="B204" s="23" t="s">
        <v>149</v>
      </c>
      <c r="C204" s="23" t="s">
        <v>313</v>
      </c>
      <c r="D204" s="23">
        <v>1661</v>
      </c>
    </row>
    <row r="205" spans="1:4" x14ac:dyDescent="0.25">
      <c r="A205" s="23" t="s">
        <v>306</v>
      </c>
      <c r="B205" s="23" t="s">
        <v>149</v>
      </c>
      <c r="C205" s="23" t="s">
        <v>315</v>
      </c>
      <c r="D205" s="23">
        <v>678</v>
      </c>
    </row>
    <row r="206" spans="1:4" x14ac:dyDescent="0.25">
      <c r="A206" s="23" t="s">
        <v>306</v>
      </c>
      <c r="B206" s="23" t="s">
        <v>159</v>
      </c>
      <c r="C206" s="23" t="s">
        <v>312</v>
      </c>
      <c r="D206" s="23">
        <v>3539</v>
      </c>
    </row>
    <row r="207" spans="1:4" x14ac:dyDescent="0.25">
      <c r="A207" s="23" t="s">
        <v>306</v>
      </c>
      <c r="B207" s="23" t="s">
        <v>159</v>
      </c>
      <c r="C207" s="23" t="s">
        <v>313</v>
      </c>
      <c r="D207" s="23">
        <v>577</v>
      </c>
    </row>
    <row r="208" spans="1:4" x14ac:dyDescent="0.25">
      <c r="A208" s="23" t="s">
        <v>306</v>
      </c>
      <c r="B208" s="23" t="s">
        <v>159</v>
      </c>
      <c r="C208" s="23" t="s">
        <v>314</v>
      </c>
      <c r="D208" s="23">
        <v>104</v>
      </c>
    </row>
    <row r="209" spans="1:4" x14ac:dyDescent="0.25">
      <c r="A209" s="23" t="s">
        <v>306</v>
      </c>
      <c r="B209" s="23" t="s">
        <v>159</v>
      </c>
      <c r="C209" s="23" t="s">
        <v>317</v>
      </c>
      <c r="D209" s="23">
        <v>57</v>
      </c>
    </row>
    <row r="210" spans="1:4" x14ac:dyDescent="0.25">
      <c r="A210" s="23" t="s">
        <v>306</v>
      </c>
      <c r="B210" s="23" t="s">
        <v>159</v>
      </c>
      <c r="C210" s="23" t="s">
        <v>316</v>
      </c>
      <c r="D210" s="23">
        <v>89</v>
      </c>
    </row>
    <row r="211" spans="1:4" x14ac:dyDescent="0.25">
      <c r="A211" s="23" t="s">
        <v>306</v>
      </c>
      <c r="B211" s="23" t="s">
        <v>159</v>
      </c>
      <c r="C211" s="23" t="s">
        <v>318</v>
      </c>
      <c r="D211" s="23">
        <v>19</v>
      </c>
    </row>
    <row r="212" spans="1:4" x14ac:dyDescent="0.25">
      <c r="A212" s="23" t="s">
        <v>306</v>
      </c>
      <c r="B212" s="23" t="s">
        <v>159</v>
      </c>
      <c r="C212" s="23" t="s">
        <v>315</v>
      </c>
      <c r="D212" s="23">
        <v>191</v>
      </c>
    </row>
    <row r="213" spans="1:4" x14ac:dyDescent="0.25">
      <c r="A213" s="23" t="s">
        <v>306</v>
      </c>
      <c r="B213" s="23" t="s">
        <v>199</v>
      </c>
      <c r="C213" s="23" t="s">
        <v>313</v>
      </c>
      <c r="D213" s="23">
        <v>3154</v>
      </c>
    </row>
    <row r="214" spans="1:4" x14ac:dyDescent="0.25">
      <c r="A214" s="23" t="s">
        <v>306</v>
      </c>
      <c r="B214" s="23" t="s">
        <v>76</v>
      </c>
      <c r="C214" s="23" t="s">
        <v>307</v>
      </c>
      <c r="D214" s="23">
        <v>33</v>
      </c>
    </row>
    <row r="215" spans="1:4" x14ac:dyDescent="0.25">
      <c r="A215" s="23" t="s">
        <v>306</v>
      </c>
      <c r="B215" s="23" t="s">
        <v>169</v>
      </c>
      <c r="C215" s="23" t="s">
        <v>313</v>
      </c>
      <c r="D215" s="23">
        <v>17</v>
      </c>
    </row>
    <row r="216" spans="1:4" x14ac:dyDescent="0.25">
      <c r="A216" s="23" t="s">
        <v>306</v>
      </c>
      <c r="B216" s="23" t="s">
        <v>169</v>
      </c>
      <c r="C216" s="23" t="s">
        <v>312</v>
      </c>
      <c r="D216" s="23">
        <v>401</v>
      </c>
    </row>
    <row r="217" spans="1:4" x14ac:dyDescent="0.25">
      <c r="A217" s="23" t="s">
        <v>306</v>
      </c>
      <c r="B217" s="23" t="s">
        <v>193</v>
      </c>
      <c r="C217" s="23" t="s">
        <v>314</v>
      </c>
      <c r="D217" s="23">
        <v>0</v>
      </c>
    </row>
    <row r="218" spans="1:4" x14ac:dyDescent="0.25">
      <c r="A218" s="23" t="s">
        <v>306</v>
      </c>
      <c r="B218" s="23" t="s">
        <v>188</v>
      </c>
      <c r="C218" s="23" t="s">
        <v>307</v>
      </c>
      <c r="D218" s="23">
        <v>665</v>
      </c>
    </row>
    <row r="219" spans="1:4" x14ac:dyDescent="0.25">
      <c r="A219" s="23" t="s">
        <v>306</v>
      </c>
      <c r="B219" s="23" t="s">
        <v>196</v>
      </c>
      <c r="C219" s="23" t="s">
        <v>308</v>
      </c>
      <c r="D219" s="23">
        <v>529</v>
      </c>
    </row>
    <row r="220" spans="1:4" x14ac:dyDescent="0.25">
      <c r="A220" s="23" t="s">
        <v>306</v>
      </c>
      <c r="B220" s="23" t="s">
        <v>186</v>
      </c>
      <c r="C220" s="23" t="s">
        <v>310</v>
      </c>
      <c r="D220" s="23">
        <v>338</v>
      </c>
    </row>
    <row r="221" spans="1:4" x14ac:dyDescent="0.25">
      <c r="A221" s="23" t="s">
        <v>306</v>
      </c>
      <c r="B221" s="23" t="s">
        <v>184</v>
      </c>
      <c r="C221" s="23" t="s">
        <v>315</v>
      </c>
      <c r="D221" s="23">
        <v>0</v>
      </c>
    </row>
    <row r="222" spans="1:4" x14ac:dyDescent="0.25">
      <c r="A222" s="23" t="s">
        <v>306</v>
      </c>
      <c r="B222" s="23" t="s">
        <v>160</v>
      </c>
      <c r="C222" s="23" t="s">
        <v>317</v>
      </c>
      <c r="D222" s="23">
        <v>4</v>
      </c>
    </row>
    <row r="223" spans="1:4" x14ac:dyDescent="0.25">
      <c r="A223" s="23" t="s">
        <v>306</v>
      </c>
      <c r="B223" s="23" t="s">
        <v>182</v>
      </c>
      <c r="C223" s="23" t="s">
        <v>316</v>
      </c>
      <c r="D223" s="23">
        <v>72</v>
      </c>
    </row>
    <row r="224" spans="1:4" x14ac:dyDescent="0.25">
      <c r="A224" s="23" t="s">
        <v>319</v>
      </c>
      <c r="B224" s="23" t="s">
        <v>156</v>
      </c>
      <c r="C224" s="23" t="s">
        <v>307</v>
      </c>
      <c r="D224" s="23">
        <v>312</v>
      </c>
    </row>
    <row r="225" spans="1:4" x14ac:dyDescent="0.25">
      <c r="A225" s="23" t="s">
        <v>319</v>
      </c>
      <c r="B225" s="23" t="s">
        <v>159</v>
      </c>
      <c r="C225" s="23" t="s">
        <v>308</v>
      </c>
      <c r="D225" s="23">
        <v>72</v>
      </c>
    </row>
    <row r="226" spans="1:4" x14ac:dyDescent="0.25">
      <c r="A226" s="23" t="s">
        <v>319</v>
      </c>
      <c r="B226" s="23" t="s">
        <v>159</v>
      </c>
      <c r="C226" s="23" t="s">
        <v>307</v>
      </c>
      <c r="D226" s="23">
        <v>1176</v>
      </c>
    </row>
    <row r="227" spans="1:4" x14ac:dyDescent="0.25">
      <c r="A227" s="23" t="s">
        <v>319</v>
      </c>
      <c r="B227" s="23" t="s">
        <v>159</v>
      </c>
      <c r="C227" s="23" t="s">
        <v>309</v>
      </c>
      <c r="D227" s="23">
        <v>155</v>
      </c>
    </row>
    <row r="228" spans="1:4" x14ac:dyDescent="0.25">
      <c r="A228" s="23" t="s">
        <v>319</v>
      </c>
      <c r="B228" s="23" t="s">
        <v>159</v>
      </c>
      <c r="C228" s="23" t="s">
        <v>310</v>
      </c>
      <c r="D228" s="23">
        <v>573</v>
      </c>
    </row>
    <row r="229" spans="1:4" x14ac:dyDescent="0.25">
      <c r="A229" s="23" t="s">
        <v>319</v>
      </c>
      <c r="B229" s="23" t="s">
        <v>159</v>
      </c>
      <c r="C229" s="23" t="s">
        <v>311</v>
      </c>
      <c r="D229" s="23">
        <v>135</v>
      </c>
    </row>
    <row r="230" spans="1:4" x14ac:dyDescent="0.25">
      <c r="A230" s="23" t="s">
        <v>319</v>
      </c>
      <c r="B230" s="23" t="s">
        <v>76</v>
      </c>
      <c r="C230" s="23" t="s">
        <v>312</v>
      </c>
      <c r="D230" s="23">
        <v>2243</v>
      </c>
    </row>
    <row r="231" spans="1:4" x14ac:dyDescent="0.25">
      <c r="A231" s="23" t="s">
        <v>319</v>
      </c>
      <c r="B231" s="23" t="s">
        <v>76</v>
      </c>
      <c r="C231" s="23" t="s">
        <v>313</v>
      </c>
      <c r="D231" s="23">
        <v>1958</v>
      </c>
    </row>
    <row r="232" spans="1:4" x14ac:dyDescent="0.25">
      <c r="A232" s="23" t="s">
        <v>319</v>
      </c>
      <c r="B232" s="23" t="s">
        <v>76</v>
      </c>
      <c r="C232" s="23" t="s">
        <v>314</v>
      </c>
      <c r="D232" s="23">
        <v>354</v>
      </c>
    </row>
    <row r="233" spans="1:4" x14ac:dyDescent="0.25">
      <c r="A233" s="23" t="s">
        <v>319</v>
      </c>
      <c r="B233" s="23" t="s">
        <v>76</v>
      </c>
      <c r="C233" s="23" t="s">
        <v>317</v>
      </c>
      <c r="D233" s="23">
        <v>529</v>
      </c>
    </row>
    <row r="234" spans="1:4" x14ac:dyDescent="0.25">
      <c r="A234" s="23" t="s">
        <v>319</v>
      </c>
      <c r="B234" s="23" t="s">
        <v>76</v>
      </c>
      <c r="C234" s="23" t="s">
        <v>315</v>
      </c>
      <c r="D234" s="23">
        <v>395</v>
      </c>
    </row>
    <row r="235" spans="1:4" x14ac:dyDescent="0.25">
      <c r="A235" s="23" t="s">
        <v>319</v>
      </c>
      <c r="B235" s="23" t="s">
        <v>76</v>
      </c>
      <c r="C235" s="23" t="s">
        <v>308</v>
      </c>
      <c r="D235" s="23">
        <v>536</v>
      </c>
    </row>
    <row r="236" spans="1:4" x14ac:dyDescent="0.25">
      <c r="A236" s="23" t="s">
        <v>319</v>
      </c>
      <c r="B236" s="23" t="s">
        <v>76</v>
      </c>
      <c r="C236" s="23" t="s">
        <v>311</v>
      </c>
      <c r="D236" s="23">
        <v>105</v>
      </c>
    </row>
    <row r="237" spans="1:4" x14ac:dyDescent="0.25">
      <c r="A237" s="23" t="s">
        <v>319</v>
      </c>
      <c r="B237" s="23" t="s">
        <v>165</v>
      </c>
      <c r="C237" s="23" t="s">
        <v>312</v>
      </c>
      <c r="D237" s="23">
        <v>9808</v>
      </c>
    </row>
    <row r="238" spans="1:4" x14ac:dyDescent="0.25">
      <c r="A238" s="23" t="s">
        <v>319</v>
      </c>
      <c r="B238" s="23" t="s">
        <v>77</v>
      </c>
      <c r="C238" s="23" t="s">
        <v>307</v>
      </c>
      <c r="D238" s="23">
        <v>759</v>
      </c>
    </row>
    <row r="239" spans="1:4" x14ac:dyDescent="0.25">
      <c r="A239" s="23" t="s">
        <v>319</v>
      </c>
      <c r="B239" s="23" t="s">
        <v>76</v>
      </c>
      <c r="C239" s="23" t="s">
        <v>316</v>
      </c>
      <c r="D239" s="23">
        <v>2301</v>
      </c>
    </row>
    <row r="240" spans="1:4" x14ac:dyDescent="0.25">
      <c r="A240" s="23" t="s">
        <v>319</v>
      </c>
      <c r="B240" s="23" t="s">
        <v>149</v>
      </c>
      <c r="C240" s="23" t="s">
        <v>310</v>
      </c>
      <c r="D240" s="23">
        <v>91</v>
      </c>
    </row>
    <row r="241" spans="1:4" x14ac:dyDescent="0.25">
      <c r="A241" s="23" t="s">
        <v>319</v>
      </c>
      <c r="B241" s="23" t="s">
        <v>149</v>
      </c>
      <c r="C241" s="23" t="s">
        <v>309</v>
      </c>
      <c r="D241" s="23">
        <v>564</v>
      </c>
    </row>
    <row r="242" spans="1:4" x14ac:dyDescent="0.25">
      <c r="A242" s="23" t="s">
        <v>319</v>
      </c>
      <c r="B242" s="23" t="s">
        <v>149</v>
      </c>
      <c r="C242" s="23" t="s">
        <v>317</v>
      </c>
      <c r="D242" s="23">
        <v>315</v>
      </c>
    </row>
    <row r="243" spans="1:4" x14ac:dyDescent="0.25">
      <c r="A243" s="23" t="s">
        <v>319</v>
      </c>
      <c r="B243" s="23" t="s">
        <v>150</v>
      </c>
      <c r="C243" s="23" t="s">
        <v>317</v>
      </c>
      <c r="D243" s="23">
        <v>624</v>
      </c>
    </row>
    <row r="244" spans="1:4" x14ac:dyDescent="0.25">
      <c r="A244" s="23" t="s">
        <v>319</v>
      </c>
      <c r="B244" s="23" t="s">
        <v>150</v>
      </c>
      <c r="C244" s="23" t="s">
        <v>307</v>
      </c>
      <c r="D244" s="23">
        <v>386</v>
      </c>
    </row>
    <row r="245" spans="1:4" x14ac:dyDescent="0.25">
      <c r="A245" s="23" t="s">
        <v>319</v>
      </c>
      <c r="B245" s="23" t="s">
        <v>149</v>
      </c>
      <c r="C245" s="23" t="s">
        <v>307</v>
      </c>
      <c r="D245" s="23">
        <v>959</v>
      </c>
    </row>
    <row r="246" spans="1:4" x14ac:dyDescent="0.25">
      <c r="A246" s="23" t="s">
        <v>319</v>
      </c>
      <c r="B246" s="23" t="s">
        <v>150</v>
      </c>
      <c r="C246" s="23" t="s">
        <v>318</v>
      </c>
      <c r="D246" s="23">
        <v>538</v>
      </c>
    </row>
    <row r="247" spans="1:4" x14ac:dyDescent="0.25">
      <c r="A247" s="23" t="s">
        <v>319</v>
      </c>
      <c r="B247" s="23" t="s">
        <v>149</v>
      </c>
      <c r="C247" s="23" t="s">
        <v>318</v>
      </c>
      <c r="D247" s="23">
        <v>132</v>
      </c>
    </row>
    <row r="248" spans="1:4" x14ac:dyDescent="0.25">
      <c r="A248" s="23" t="s">
        <v>319</v>
      </c>
      <c r="B248" s="23" t="s">
        <v>162</v>
      </c>
      <c r="C248" s="23" t="s">
        <v>318</v>
      </c>
      <c r="D248" s="23">
        <v>259</v>
      </c>
    </row>
    <row r="249" spans="1:4" x14ac:dyDescent="0.25">
      <c r="A249" s="23" t="s">
        <v>319</v>
      </c>
      <c r="B249" s="23" t="s">
        <v>163</v>
      </c>
      <c r="C249" s="23" t="s">
        <v>318</v>
      </c>
      <c r="D249" s="23">
        <v>76</v>
      </c>
    </row>
    <row r="250" spans="1:4" x14ac:dyDescent="0.25">
      <c r="A250" s="23" t="s">
        <v>319</v>
      </c>
      <c r="B250" s="23" t="s">
        <v>76</v>
      </c>
      <c r="C250" s="23" t="s">
        <v>318</v>
      </c>
      <c r="D250" s="23">
        <v>41</v>
      </c>
    </row>
    <row r="251" spans="1:4" x14ac:dyDescent="0.25">
      <c r="A251" s="23" t="s">
        <v>319</v>
      </c>
      <c r="B251" s="23" t="s">
        <v>166</v>
      </c>
      <c r="C251" s="23" t="s">
        <v>310</v>
      </c>
      <c r="D251" s="23">
        <v>0</v>
      </c>
    </row>
    <row r="252" spans="1:4" x14ac:dyDescent="0.25">
      <c r="A252" s="23" t="s">
        <v>319</v>
      </c>
      <c r="B252" s="23" t="s">
        <v>166</v>
      </c>
      <c r="C252" s="23" t="s">
        <v>312</v>
      </c>
      <c r="D252" s="23">
        <v>706</v>
      </c>
    </row>
    <row r="253" spans="1:4" x14ac:dyDescent="0.25">
      <c r="A253" s="23" t="s">
        <v>319</v>
      </c>
      <c r="B253" s="23" t="s">
        <v>166</v>
      </c>
      <c r="C253" s="23" t="s">
        <v>318</v>
      </c>
      <c r="D253" s="23">
        <v>142</v>
      </c>
    </row>
    <row r="254" spans="1:4" x14ac:dyDescent="0.25">
      <c r="A254" s="23" t="s">
        <v>319</v>
      </c>
      <c r="B254" s="23" t="s">
        <v>166</v>
      </c>
      <c r="C254" s="23" t="s">
        <v>311</v>
      </c>
      <c r="D254" s="23">
        <v>0</v>
      </c>
    </row>
    <row r="255" spans="1:4" x14ac:dyDescent="0.25">
      <c r="A255" s="23" t="s">
        <v>319</v>
      </c>
      <c r="B255" s="23" t="s">
        <v>84</v>
      </c>
      <c r="C255" s="23" t="s">
        <v>312</v>
      </c>
      <c r="D255" s="23">
        <v>62212</v>
      </c>
    </row>
    <row r="256" spans="1:4" x14ac:dyDescent="0.25">
      <c r="A256" s="23" t="s">
        <v>319</v>
      </c>
      <c r="B256" s="23" t="s">
        <v>83</v>
      </c>
      <c r="C256" s="23" t="s">
        <v>312</v>
      </c>
      <c r="D256" s="23">
        <v>100712</v>
      </c>
    </row>
    <row r="257" spans="1:4" x14ac:dyDescent="0.25">
      <c r="A257" s="23" t="s">
        <v>319</v>
      </c>
      <c r="B257" s="23" t="s">
        <v>80</v>
      </c>
      <c r="C257" s="23" t="s">
        <v>312</v>
      </c>
      <c r="D257" s="23">
        <v>22017</v>
      </c>
    </row>
    <row r="258" spans="1:4" x14ac:dyDescent="0.25">
      <c r="A258" s="23" t="s">
        <v>319</v>
      </c>
      <c r="B258" s="23" t="s">
        <v>152</v>
      </c>
      <c r="C258" s="23" t="s">
        <v>312</v>
      </c>
      <c r="D258" s="23">
        <v>43117</v>
      </c>
    </row>
    <row r="259" spans="1:4" x14ac:dyDescent="0.25">
      <c r="A259" s="23" t="s">
        <v>319</v>
      </c>
      <c r="B259" s="23" t="s">
        <v>151</v>
      </c>
      <c r="C259" s="23" t="s">
        <v>312</v>
      </c>
      <c r="D259" s="23">
        <v>95200</v>
      </c>
    </row>
    <row r="260" spans="1:4" x14ac:dyDescent="0.25">
      <c r="A260" s="23" t="s">
        <v>319</v>
      </c>
      <c r="B260" s="23" t="s">
        <v>161</v>
      </c>
      <c r="C260" s="23" t="s">
        <v>312</v>
      </c>
      <c r="D260" s="23">
        <v>288</v>
      </c>
    </row>
    <row r="261" spans="1:4" x14ac:dyDescent="0.25">
      <c r="A261" s="23" t="s">
        <v>319</v>
      </c>
      <c r="B261" s="23" t="s">
        <v>162</v>
      </c>
      <c r="C261" s="23" t="s">
        <v>312</v>
      </c>
      <c r="D261" s="23">
        <v>2427</v>
      </c>
    </row>
    <row r="262" spans="1:4" x14ac:dyDescent="0.25">
      <c r="A262" s="23" t="s">
        <v>319</v>
      </c>
      <c r="B262" s="23" t="s">
        <v>82</v>
      </c>
      <c r="C262" s="23" t="s">
        <v>312</v>
      </c>
      <c r="D262" s="23">
        <v>24340</v>
      </c>
    </row>
    <row r="263" spans="1:4" x14ac:dyDescent="0.25">
      <c r="A263" s="23" t="s">
        <v>319</v>
      </c>
      <c r="B263" s="23" t="s">
        <v>155</v>
      </c>
      <c r="C263" s="23" t="s">
        <v>312</v>
      </c>
      <c r="D263" s="23">
        <v>36895</v>
      </c>
    </row>
    <row r="264" spans="1:4" x14ac:dyDescent="0.25">
      <c r="A264" s="23" t="s">
        <v>319</v>
      </c>
      <c r="B264" s="23" t="s">
        <v>81</v>
      </c>
      <c r="C264" s="23" t="s">
        <v>312</v>
      </c>
      <c r="D264" s="23">
        <v>22240</v>
      </c>
    </row>
    <row r="265" spans="1:4" x14ac:dyDescent="0.25">
      <c r="A265" s="23" t="s">
        <v>319</v>
      </c>
      <c r="B265" s="23" t="s">
        <v>77</v>
      </c>
      <c r="C265" s="23" t="s">
        <v>312</v>
      </c>
      <c r="D265" s="23">
        <v>26229</v>
      </c>
    </row>
    <row r="266" spans="1:4" x14ac:dyDescent="0.25">
      <c r="A266" s="23" t="s">
        <v>319</v>
      </c>
      <c r="B266" s="23" t="s">
        <v>154</v>
      </c>
      <c r="C266" s="23" t="s">
        <v>312</v>
      </c>
      <c r="D266" s="23">
        <v>33909</v>
      </c>
    </row>
    <row r="267" spans="1:4" x14ac:dyDescent="0.25">
      <c r="A267" s="23" t="s">
        <v>319</v>
      </c>
      <c r="B267" s="23" t="s">
        <v>153</v>
      </c>
      <c r="C267" s="23" t="s">
        <v>312</v>
      </c>
      <c r="D267" s="23">
        <v>46075</v>
      </c>
    </row>
    <row r="268" spans="1:4" x14ac:dyDescent="0.25">
      <c r="A268" s="23" t="s">
        <v>319</v>
      </c>
      <c r="B268" s="23" t="s">
        <v>78</v>
      </c>
      <c r="C268" s="23" t="s">
        <v>312</v>
      </c>
      <c r="D268" s="23">
        <v>5018</v>
      </c>
    </row>
    <row r="269" spans="1:4" x14ac:dyDescent="0.25">
      <c r="A269" s="23" t="s">
        <v>319</v>
      </c>
      <c r="B269" s="23" t="s">
        <v>156</v>
      </c>
      <c r="C269" s="23" t="s">
        <v>312</v>
      </c>
      <c r="D269" s="23">
        <v>16767</v>
      </c>
    </row>
    <row r="270" spans="1:4" x14ac:dyDescent="0.25">
      <c r="A270" s="23" t="s">
        <v>319</v>
      </c>
      <c r="B270" s="23" t="s">
        <v>157</v>
      </c>
      <c r="C270" s="23" t="s">
        <v>312</v>
      </c>
      <c r="D270" s="23">
        <v>79584</v>
      </c>
    </row>
    <row r="271" spans="1:4" x14ac:dyDescent="0.25">
      <c r="A271" s="23" t="s">
        <v>319</v>
      </c>
      <c r="B271" s="23" t="s">
        <v>163</v>
      </c>
      <c r="C271" s="23" t="s">
        <v>312</v>
      </c>
      <c r="D271" s="23">
        <v>1577</v>
      </c>
    </row>
    <row r="272" spans="1:4" x14ac:dyDescent="0.25">
      <c r="A272" s="23" t="s">
        <v>319</v>
      </c>
      <c r="B272" s="23" t="s">
        <v>84</v>
      </c>
      <c r="C272" s="23" t="s">
        <v>314</v>
      </c>
      <c r="D272" s="23">
        <v>5354</v>
      </c>
    </row>
    <row r="273" spans="1:4" x14ac:dyDescent="0.25">
      <c r="A273" s="23" t="s">
        <v>319</v>
      </c>
      <c r="B273" s="23" t="s">
        <v>83</v>
      </c>
      <c r="C273" s="23" t="s">
        <v>314</v>
      </c>
      <c r="D273" s="23">
        <v>7703</v>
      </c>
    </row>
    <row r="274" spans="1:4" x14ac:dyDescent="0.25">
      <c r="A274" s="23" t="s">
        <v>319</v>
      </c>
      <c r="B274" s="23" t="s">
        <v>151</v>
      </c>
      <c r="C274" s="23" t="s">
        <v>314</v>
      </c>
      <c r="D274" s="23">
        <v>4346</v>
      </c>
    </row>
    <row r="275" spans="1:4" x14ac:dyDescent="0.25">
      <c r="A275" s="23" t="s">
        <v>319</v>
      </c>
      <c r="B275" s="23" t="s">
        <v>82</v>
      </c>
      <c r="C275" s="23" t="s">
        <v>314</v>
      </c>
      <c r="D275" s="23">
        <v>3616</v>
      </c>
    </row>
    <row r="276" spans="1:4" x14ac:dyDescent="0.25">
      <c r="A276" s="23" t="s">
        <v>319</v>
      </c>
      <c r="B276" s="23" t="s">
        <v>152</v>
      </c>
      <c r="C276" s="23" t="s">
        <v>314</v>
      </c>
      <c r="D276" s="23">
        <v>2033</v>
      </c>
    </row>
    <row r="277" spans="1:4" x14ac:dyDescent="0.25">
      <c r="A277" s="23" t="s">
        <v>319</v>
      </c>
      <c r="B277" s="23" t="s">
        <v>161</v>
      </c>
      <c r="C277" s="23" t="s">
        <v>314</v>
      </c>
      <c r="D277" s="23">
        <v>0</v>
      </c>
    </row>
    <row r="278" spans="1:4" x14ac:dyDescent="0.25">
      <c r="A278" s="23" t="s">
        <v>319</v>
      </c>
      <c r="B278" s="23" t="s">
        <v>153</v>
      </c>
      <c r="C278" s="23" t="s">
        <v>314</v>
      </c>
      <c r="D278" s="23">
        <v>5983</v>
      </c>
    </row>
    <row r="279" spans="1:4" x14ac:dyDescent="0.25">
      <c r="A279" s="23" t="s">
        <v>319</v>
      </c>
      <c r="B279" s="23" t="s">
        <v>81</v>
      </c>
      <c r="C279" s="23" t="s">
        <v>314</v>
      </c>
      <c r="D279" s="23">
        <v>2185</v>
      </c>
    </row>
    <row r="280" spans="1:4" x14ac:dyDescent="0.25">
      <c r="A280" s="23" t="s">
        <v>319</v>
      </c>
      <c r="B280" s="23" t="s">
        <v>77</v>
      </c>
      <c r="C280" s="23" t="s">
        <v>314</v>
      </c>
      <c r="D280" s="23">
        <v>4620</v>
      </c>
    </row>
    <row r="281" spans="1:4" x14ac:dyDescent="0.25">
      <c r="A281" s="23" t="s">
        <v>319</v>
      </c>
      <c r="B281" s="23" t="s">
        <v>78</v>
      </c>
      <c r="C281" s="23" t="s">
        <v>314</v>
      </c>
      <c r="D281" s="23">
        <v>259</v>
      </c>
    </row>
    <row r="282" spans="1:4" x14ac:dyDescent="0.25">
      <c r="A282" s="23" t="s">
        <v>319</v>
      </c>
      <c r="B282" s="23" t="s">
        <v>154</v>
      </c>
      <c r="C282" s="23" t="s">
        <v>314</v>
      </c>
      <c r="D282" s="23">
        <v>1478</v>
      </c>
    </row>
    <row r="283" spans="1:4" x14ac:dyDescent="0.25">
      <c r="A283" s="23" t="s">
        <v>319</v>
      </c>
      <c r="B283" s="23" t="s">
        <v>162</v>
      </c>
      <c r="C283" s="23" t="s">
        <v>314</v>
      </c>
      <c r="D283" s="23">
        <v>237</v>
      </c>
    </row>
    <row r="284" spans="1:4" x14ac:dyDescent="0.25">
      <c r="A284" s="23" t="s">
        <v>319</v>
      </c>
      <c r="B284" s="23" t="s">
        <v>155</v>
      </c>
      <c r="C284" s="23" t="s">
        <v>314</v>
      </c>
      <c r="D284" s="23">
        <v>3598</v>
      </c>
    </row>
    <row r="285" spans="1:4" x14ac:dyDescent="0.25">
      <c r="A285" s="23" t="s">
        <v>319</v>
      </c>
      <c r="B285" s="23" t="s">
        <v>156</v>
      </c>
      <c r="C285" s="23" t="s">
        <v>314</v>
      </c>
      <c r="D285" s="23">
        <v>1402</v>
      </c>
    </row>
    <row r="286" spans="1:4" x14ac:dyDescent="0.25">
      <c r="A286" s="23" t="s">
        <v>319</v>
      </c>
      <c r="B286" s="23" t="s">
        <v>157</v>
      </c>
      <c r="C286" s="23" t="s">
        <v>314</v>
      </c>
      <c r="D286" s="23">
        <v>5425</v>
      </c>
    </row>
    <row r="287" spans="1:4" x14ac:dyDescent="0.25">
      <c r="A287" s="23" t="s">
        <v>319</v>
      </c>
      <c r="B287" s="23" t="s">
        <v>80</v>
      </c>
      <c r="C287" s="23" t="s">
        <v>314</v>
      </c>
      <c r="D287" s="23">
        <v>745</v>
      </c>
    </row>
    <row r="288" spans="1:4" x14ac:dyDescent="0.25">
      <c r="A288" s="23" t="s">
        <v>319</v>
      </c>
      <c r="B288" s="23" t="s">
        <v>163</v>
      </c>
      <c r="C288" s="23" t="s">
        <v>314</v>
      </c>
      <c r="D288" s="23">
        <v>118</v>
      </c>
    </row>
    <row r="289" spans="1:4" x14ac:dyDescent="0.25">
      <c r="A289" s="23" t="s">
        <v>319</v>
      </c>
      <c r="B289" s="23" t="s">
        <v>84</v>
      </c>
      <c r="C289" s="23" t="s">
        <v>318</v>
      </c>
      <c r="D289" s="23">
        <v>6559</v>
      </c>
    </row>
    <row r="290" spans="1:4" x14ac:dyDescent="0.25">
      <c r="A290" s="23" t="s">
        <v>319</v>
      </c>
      <c r="B290" s="23" t="s">
        <v>83</v>
      </c>
      <c r="C290" s="23" t="s">
        <v>318</v>
      </c>
      <c r="D290" s="23">
        <v>9591</v>
      </c>
    </row>
    <row r="291" spans="1:4" x14ac:dyDescent="0.25">
      <c r="A291" s="23" t="s">
        <v>319</v>
      </c>
      <c r="B291" s="23" t="s">
        <v>151</v>
      </c>
      <c r="C291" s="23" t="s">
        <v>318</v>
      </c>
      <c r="D291" s="23">
        <v>6845</v>
      </c>
    </row>
    <row r="292" spans="1:4" x14ac:dyDescent="0.25">
      <c r="A292" s="23" t="s">
        <v>319</v>
      </c>
      <c r="B292" s="23" t="s">
        <v>82</v>
      </c>
      <c r="C292" s="23" t="s">
        <v>318</v>
      </c>
      <c r="D292" s="23">
        <v>3026</v>
      </c>
    </row>
    <row r="293" spans="1:4" x14ac:dyDescent="0.25">
      <c r="A293" s="23" t="s">
        <v>319</v>
      </c>
      <c r="B293" s="23" t="s">
        <v>152</v>
      </c>
      <c r="C293" s="23" t="s">
        <v>318</v>
      </c>
      <c r="D293" s="23">
        <v>1927</v>
      </c>
    </row>
    <row r="294" spans="1:4" x14ac:dyDescent="0.25">
      <c r="A294" s="23" t="s">
        <v>319</v>
      </c>
      <c r="B294" s="23" t="s">
        <v>161</v>
      </c>
      <c r="C294" s="23" t="s">
        <v>318</v>
      </c>
      <c r="D294" s="23">
        <v>12</v>
      </c>
    </row>
    <row r="295" spans="1:4" x14ac:dyDescent="0.25">
      <c r="A295" s="23" t="s">
        <v>319</v>
      </c>
      <c r="B295" s="23" t="s">
        <v>153</v>
      </c>
      <c r="C295" s="23" t="s">
        <v>318</v>
      </c>
      <c r="D295" s="23">
        <v>6082</v>
      </c>
    </row>
    <row r="296" spans="1:4" x14ac:dyDescent="0.25">
      <c r="A296" s="23" t="s">
        <v>319</v>
      </c>
      <c r="B296" s="23" t="s">
        <v>81</v>
      </c>
      <c r="C296" s="23" t="s">
        <v>318</v>
      </c>
      <c r="D296" s="23">
        <v>1669</v>
      </c>
    </row>
    <row r="297" spans="1:4" x14ac:dyDescent="0.25">
      <c r="A297" s="23" t="s">
        <v>319</v>
      </c>
      <c r="B297" s="23" t="s">
        <v>77</v>
      </c>
      <c r="C297" s="23" t="s">
        <v>318</v>
      </c>
      <c r="D297" s="23">
        <v>2000</v>
      </c>
    </row>
    <row r="298" spans="1:4" x14ac:dyDescent="0.25">
      <c r="A298" s="23" t="s">
        <v>319</v>
      </c>
      <c r="B298" s="23" t="s">
        <v>78</v>
      </c>
      <c r="C298" s="23" t="s">
        <v>318</v>
      </c>
      <c r="D298" s="23">
        <v>0</v>
      </c>
    </row>
    <row r="299" spans="1:4" x14ac:dyDescent="0.25">
      <c r="A299" s="23" t="s">
        <v>319</v>
      </c>
      <c r="B299" s="23" t="s">
        <v>154</v>
      </c>
      <c r="C299" s="23" t="s">
        <v>318</v>
      </c>
      <c r="D299" s="23">
        <v>2202</v>
      </c>
    </row>
    <row r="300" spans="1:4" x14ac:dyDescent="0.25">
      <c r="A300" s="23" t="s">
        <v>319</v>
      </c>
      <c r="B300" s="23" t="s">
        <v>155</v>
      </c>
      <c r="C300" s="23" t="s">
        <v>318</v>
      </c>
      <c r="D300" s="23">
        <v>2341</v>
      </c>
    </row>
    <row r="301" spans="1:4" x14ac:dyDescent="0.25">
      <c r="A301" s="23" t="s">
        <v>319</v>
      </c>
      <c r="B301" s="23" t="s">
        <v>157</v>
      </c>
      <c r="C301" s="23" t="s">
        <v>318</v>
      </c>
      <c r="D301" s="23">
        <v>2970</v>
      </c>
    </row>
    <row r="302" spans="1:4" x14ac:dyDescent="0.25">
      <c r="A302" s="23" t="s">
        <v>319</v>
      </c>
      <c r="B302" s="23" t="s">
        <v>80</v>
      </c>
      <c r="C302" s="23" t="s">
        <v>318</v>
      </c>
      <c r="D302" s="23">
        <v>2194</v>
      </c>
    </row>
    <row r="303" spans="1:4" x14ac:dyDescent="0.25">
      <c r="A303" s="23" t="s">
        <v>319</v>
      </c>
      <c r="B303" s="23" t="s">
        <v>84</v>
      </c>
      <c r="C303" s="23" t="s">
        <v>308</v>
      </c>
      <c r="D303" s="23">
        <v>5113</v>
      </c>
    </row>
    <row r="304" spans="1:4" x14ac:dyDescent="0.25">
      <c r="A304" s="23" t="s">
        <v>319</v>
      </c>
      <c r="B304" s="23" t="s">
        <v>83</v>
      </c>
      <c r="C304" s="23" t="s">
        <v>308</v>
      </c>
      <c r="D304" s="23">
        <v>5414</v>
      </c>
    </row>
    <row r="305" spans="1:4" x14ac:dyDescent="0.25">
      <c r="A305" s="23" t="s">
        <v>319</v>
      </c>
      <c r="B305" s="23" t="s">
        <v>151</v>
      </c>
      <c r="C305" s="23" t="s">
        <v>308</v>
      </c>
      <c r="D305" s="23">
        <v>9880</v>
      </c>
    </row>
    <row r="306" spans="1:4" x14ac:dyDescent="0.25">
      <c r="A306" s="23" t="s">
        <v>319</v>
      </c>
      <c r="B306" s="23" t="s">
        <v>82</v>
      </c>
      <c r="C306" s="23" t="s">
        <v>308</v>
      </c>
      <c r="D306" s="23">
        <v>4856</v>
      </c>
    </row>
    <row r="307" spans="1:4" x14ac:dyDescent="0.25">
      <c r="A307" s="23" t="s">
        <v>319</v>
      </c>
      <c r="B307" s="23" t="s">
        <v>152</v>
      </c>
      <c r="C307" s="23" t="s">
        <v>308</v>
      </c>
      <c r="D307" s="23">
        <v>1966</v>
      </c>
    </row>
    <row r="308" spans="1:4" x14ac:dyDescent="0.25">
      <c r="A308" s="23" t="s">
        <v>319</v>
      </c>
      <c r="B308" s="23" t="s">
        <v>161</v>
      </c>
      <c r="C308" s="23" t="s">
        <v>308</v>
      </c>
      <c r="D308" s="23">
        <v>0</v>
      </c>
    </row>
    <row r="309" spans="1:4" x14ac:dyDescent="0.25">
      <c r="A309" s="23" t="s">
        <v>319</v>
      </c>
      <c r="B309" s="23" t="s">
        <v>153</v>
      </c>
      <c r="C309" s="23" t="s">
        <v>308</v>
      </c>
      <c r="D309" s="23">
        <v>6218</v>
      </c>
    </row>
    <row r="310" spans="1:4" x14ac:dyDescent="0.25">
      <c r="A310" s="23" t="s">
        <v>319</v>
      </c>
      <c r="B310" s="23" t="s">
        <v>81</v>
      </c>
      <c r="C310" s="23" t="s">
        <v>308</v>
      </c>
      <c r="D310" s="23">
        <v>2812</v>
      </c>
    </row>
    <row r="311" spans="1:4" x14ac:dyDescent="0.25">
      <c r="A311" s="23" t="s">
        <v>319</v>
      </c>
      <c r="B311" s="23" t="s">
        <v>77</v>
      </c>
      <c r="C311" s="23" t="s">
        <v>308</v>
      </c>
      <c r="D311" s="23">
        <v>453</v>
      </c>
    </row>
    <row r="312" spans="1:4" x14ac:dyDescent="0.25">
      <c r="A312" s="23" t="s">
        <v>319</v>
      </c>
      <c r="B312" s="23" t="s">
        <v>78</v>
      </c>
      <c r="C312" s="23" t="s">
        <v>308</v>
      </c>
      <c r="D312" s="23">
        <v>1437</v>
      </c>
    </row>
    <row r="313" spans="1:4" x14ac:dyDescent="0.25">
      <c r="A313" s="23" t="s">
        <v>319</v>
      </c>
      <c r="B313" s="23" t="s">
        <v>154</v>
      </c>
      <c r="C313" s="23" t="s">
        <v>308</v>
      </c>
      <c r="D313" s="23">
        <v>408</v>
      </c>
    </row>
    <row r="314" spans="1:4" x14ac:dyDescent="0.25">
      <c r="A314" s="23" t="s">
        <v>319</v>
      </c>
      <c r="B314" s="23" t="s">
        <v>162</v>
      </c>
      <c r="C314" s="23" t="s">
        <v>308</v>
      </c>
      <c r="D314" s="23">
        <v>1271</v>
      </c>
    </row>
    <row r="315" spans="1:4" x14ac:dyDescent="0.25">
      <c r="A315" s="23" t="s">
        <v>319</v>
      </c>
      <c r="B315" s="23" t="s">
        <v>157</v>
      </c>
      <c r="C315" s="23" t="s">
        <v>308</v>
      </c>
      <c r="D315" s="23">
        <v>3363</v>
      </c>
    </row>
    <row r="316" spans="1:4" x14ac:dyDescent="0.25">
      <c r="A316" s="23" t="s">
        <v>319</v>
      </c>
      <c r="B316" s="23" t="s">
        <v>84</v>
      </c>
      <c r="C316" s="23" t="s">
        <v>313</v>
      </c>
      <c r="D316" s="23">
        <v>13780</v>
      </c>
    </row>
    <row r="317" spans="1:4" x14ac:dyDescent="0.25">
      <c r="A317" s="23" t="s">
        <v>319</v>
      </c>
      <c r="B317" s="23" t="s">
        <v>83</v>
      </c>
      <c r="C317" s="23" t="s">
        <v>313</v>
      </c>
      <c r="D317" s="23">
        <v>26384</v>
      </c>
    </row>
    <row r="318" spans="1:4" x14ac:dyDescent="0.25">
      <c r="A318" s="23" t="s">
        <v>319</v>
      </c>
      <c r="B318" s="23" t="s">
        <v>151</v>
      </c>
      <c r="C318" s="23" t="s">
        <v>313</v>
      </c>
      <c r="D318" s="23">
        <v>13836</v>
      </c>
    </row>
    <row r="319" spans="1:4" x14ac:dyDescent="0.25">
      <c r="A319" s="23" t="s">
        <v>319</v>
      </c>
      <c r="B319" s="23" t="s">
        <v>82</v>
      </c>
      <c r="C319" s="23" t="s">
        <v>313</v>
      </c>
      <c r="D319" s="23">
        <v>13437</v>
      </c>
    </row>
    <row r="320" spans="1:4" x14ac:dyDescent="0.25">
      <c r="A320" s="23" t="s">
        <v>319</v>
      </c>
      <c r="B320" s="23" t="s">
        <v>152</v>
      </c>
      <c r="C320" s="23" t="s">
        <v>313</v>
      </c>
      <c r="D320" s="23">
        <v>10031</v>
      </c>
    </row>
    <row r="321" spans="1:4" x14ac:dyDescent="0.25">
      <c r="A321" s="23" t="s">
        <v>319</v>
      </c>
      <c r="B321" s="23" t="s">
        <v>161</v>
      </c>
      <c r="C321" s="23" t="s">
        <v>313</v>
      </c>
      <c r="D321" s="23">
        <v>141</v>
      </c>
    </row>
    <row r="322" spans="1:4" x14ac:dyDescent="0.25">
      <c r="A322" s="23" t="s">
        <v>319</v>
      </c>
      <c r="B322" s="23" t="s">
        <v>153</v>
      </c>
      <c r="C322" s="23" t="s">
        <v>313</v>
      </c>
      <c r="D322" s="23">
        <v>18026</v>
      </c>
    </row>
    <row r="323" spans="1:4" x14ac:dyDescent="0.25">
      <c r="A323" s="23" t="s">
        <v>319</v>
      </c>
      <c r="B323" s="23" t="s">
        <v>81</v>
      </c>
      <c r="C323" s="23" t="s">
        <v>313</v>
      </c>
      <c r="D323" s="23">
        <v>7256</v>
      </c>
    </row>
    <row r="324" spans="1:4" x14ac:dyDescent="0.25">
      <c r="A324" s="23" t="s">
        <v>319</v>
      </c>
      <c r="B324" s="23" t="s">
        <v>77</v>
      </c>
      <c r="C324" s="23" t="s">
        <v>313</v>
      </c>
      <c r="D324" s="23">
        <v>10951</v>
      </c>
    </row>
    <row r="325" spans="1:4" x14ac:dyDescent="0.25">
      <c r="A325" s="23" t="s">
        <v>319</v>
      </c>
      <c r="B325" s="23" t="s">
        <v>78</v>
      </c>
      <c r="C325" s="23" t="s">
        <v>313</v>
      </c>
      <c r="D325" s="23">
        <v>2761</v>
      </c>
    </row>
    <row r="326" spans="1:4" x14ac:dyDescent="0.25">
      <c r="A326" s="23" t="s">
        <v>319</v>
      </c>
      <c r="B326" s="23" t="s">
        <v>154</v>
      </c>
      <c r="C326" s="23" t="s">
        <v>313</v>
      </c>
      <c r="D326" s="23">
        <v>9400</v>
      </c>
    </row>
    <row r="327" spans="1:4" x14ac:dyDescent="0.25">
      <c r="A327" s="23" t="s">
        <v>319</v>
      </c>
      <c r="B327" s="23" t="s">
        <v>162</v>
      </c>
      <c r="C327" s="23" t="s">
        <v>313</v>
      </c>
      <c r="D327" s="23">
        <v>368</v>
      </c>
    </row>
    <row r="328" spans="1:4" x14ac:dyDescent="0.25">
      <c r="A328" s="23" t="s">
        <v>319</v>
      </c>
      <c r="B328" s="23" t="s">
        <v>155</v>
      </c>
      <c r="C328" s="23" t="s">
        <v>313</v>
      </c>
      <c r="D328" s="23">
        <v>4531</v>
      </c>
    </row>
    <row r="329" spans="1:4" x14ac:dyDescent="0.25">
      <c r="A329" s="23" t="s">
        <v>319</v>
      </c>
      <c r="B329" s="23" t="s">
        <v>156</v>
      </c>
      <c r="C329" s="23" t="s">
        <v>313</v>
      </c>
      <c r="D329" s="23">
        <v>5850</v>
      </c>
    </row>
    <row r="330" spans="1:4" x14ac:dyDescent="0.25">
      <c r="A330" s="23" t="s">
        <v>319</v>
      </c>
      <c r="B330" s="23" t="s">
        <v>157</v>
      </c>
      <c r="C330" s="23" t="s">
        <v>313</v>
      </c>
      <c r="D330" s="23">
        <v>38657</v>
      </c>
    </row>
    <row r="331" spans="1:4" x14ac:dyDescent="0.25">
      <c r="A331" s="23" t="s">
        <v>319</v>
      </c>
      <c r="B331" s="23" t="s">
        <v>80</v>
      </c>
      <c r="C331" s="23" t="s">
        <v>313</v>
      </c>
      <c r="D331" s="23">
        <v>7587</v>
      </c>
    </row>
    <row r="332" spans="1:4" x14ac:dyDescent="0.25">
      <c r="A332" s="23" t="s">
        <v>319</v>
      </c>
      <c r="B332" s="23" t="s">
        <v>163</v>
      </c>
      <c r="C332" s="23" t="s">
        <v>313</v>
      </c>
      <c r="D332" s="23">
        <v>70</v>
      </c>
    </row>
    <row r="333" spans="1:4" x14ac:dyDescent="0.25">
      <c r="A333" s="23" t="s">
        <v>319</v>
      </c>
      <c r="B333" s="23" t="s">
        <v>84</v>
      </c>
      <c r="C333" s="23" t="s">
        <v>311</v>
      </c>
      <c r="D333" s="23">
        <v>2728</v>
      </c>
    </row>
    <row r="334" spans="1:4" x14ac:dyDescent="0.25">
      <c r="A334" s="23" t="s">
        <v>319</v>
      </c>
      <c r="B334" s="23" t="s">
        <v>83</v>
      </c>
      <c r="C334" s="23" t="s">
        <v>311</v>
      </c>
      <c r="D334" s="23">
        <v>3363</v>
      </c>
    </row>
    <row r="335" spans="1:4" x14ac:dyDescent="0.25">
      <c r="A335" s="23" t="s">
        <v>319</v>
      </c>
      <c r="B335" s="23" t="s">
        <v>151</v>
      </c>
      <c r="C335" s="23" t="s">
        <v>311</v>
      </c>
      <c r="D335" s="23">
        <v>2816</v>
      </c>
    </row>
    <row r="336" spans="1:4" x14ac:dyDescent="0.25">
      <c r="A336" s="23" t="s">
        <v>319</v>
      </c>
      <c r="B336" s="23" t="s">
        <v>82</v>
      </c>
      <c r="C336" s="23" t="s">
        <v>311</v>
      </c>
      <c r="D336" s="23">
        <v>313</v>
      </c>
    </row>
    <row r="337" spans="1:4" x14ac:dyDescent="0.25">
      <c r="A337" s="23" t="s">
        <v>319</v>
      </c>
      <c r="B337" s="23" t="s">
        <v>152</v>
      </c>
      <c r="C337" s="23" t="s">
        <v>311</v>
      </c>
      <c r="D337" s="23">
        <v>282</v>
      </c>
    </row>
    <row r="338" spans="1:4" x14ac:dyDescent="0.25">
      <c r="A338" s="23" t="s">
        <v>319</v>
      </c>
      <c r="B338" s="23" t="s">
        <v>161</v>
      </c>
      <c r="C338" s="23" t="s">
        <v>311</v>
      </c>
      <c r="D338" s="23">
        <v>0</v>
      </c>
    </row>
    <row r="339" spans="1:4" x14ac:dyDescent="0.25">
      <c r="A339" s="23" t="s">
        <v>319</v>
      </c>
      <c r="B339" s="23" t="s">
        <v>153</v>
      </c>
      <c r="C339" s="23" t="s">
        <v>311</v>
      </c>
      <c r="D339" s="23">
        <v>1730</v>
      </c>
    </row>
    <row r="340" spans="1:4" x14ac:dyDescent="0.25">
      <c r="A340" s="23" t="s">
        <v>319</v>
      </c>
      <c r="B340" s="23" t="s">
        <v>81</v>
      </c>
      <c r="C340" s="23" t="s">
        <v>311</v>
      </c>
      <c r="D340" s="23">
        <v>2521</v>
      </c>
    </row>
    <row r="341" spans="1:4" x14ac:dyDescent="0.25">
      <c r="A341" s="23" t="s">
        <v>319</v>
      </c>
      <c r="B341" s="23" t="s">
        <v>77</v>
      </c>
      <c r="C341" s="23" t="s">
        <v>311</v>
      </c>
      <c r="D341" s="23">
        <v>707</v>
      </c>
    </row>
    <row r="342" spans="1:4" x14ac:dyDescent="0.25">
      <c r="A342" s="23" t="s">
        <v>319</v>
      </c>
      <c r="B342" s="23" t="s">
        <v>78</v>
      </c>
      <c r="C342" s="23" t="s">
        <v>311</v>
      </c>
      <c r="D342" s="23">
        <v>0</v>
      </c>
    </row>
    <row r="343" spans="1:4" x14ac:dyDescent="0.25">
      <c r="A343" s="23" t="s">
        <v>319</v>
      </c>
      <c r="B343" s="23" t="s">
        <v>154</v>
      </c>
      <c r="C343" s="23" t="s">
        <v>311</v>
      </c>
      <c r="D343" s="23">
        <v>241</v>
      </c>
    </row>
    <row r="344" spans="1:4" x14ac:dyDescent="0.25">
      <c r="A344" s="23" t="s">
        <v>319</v>
      </c>
      <c r="B344" s="23" t="s">
        <v>162</v>
      </c>
      <c r="C344" s="23" t="s">
        <v>311</v>
      </c>
      <c r="D344" s="23">
        <v>117</v>
      </c>
    </row>
    <row r="345" spans="1:4" x14ac:dyDescent="0.25">
      <c r="A345" s="23" t="s">
        <v>319</v>
      </c>
      <c r="B345" s="23" t="s">
        <v>155</v>
      </c>
      <c r="C345" s="23" t="s">
        <v>311</v>
      </c>
      <c r="D345" s="23">
        <v>1026</v>
      </c>
    </row>
    <row r="346" spans="1:4" x14ac:dyDescent="0.25">
      <c r="A346" s="23" t="s">
        <v>319</v>
      </c>
      <c r="B346" s="23" t="s">
        <v>156</v>
      </c>
      <c r="C346" s="23" t="s">
        <v>311</v>
      </c>
      <c r="D346" s="23">
        <v>614</v>
      </c>
    </row>
    <row r="347" spans="1:4" x14ac:dyDescent="0.25">
      <c r="A347" s="23" t="s">
        <v>319</v>
      </c>
      <c r="B347" s="23" t="s">
        <v>157</v>
      </c>
      <c r="C347" s="23" t="s">
        <v>311</v>
      </c>
      <c r="D347" s="23">
        <v>2532</v>
      </c>
    </row>
    <row r="348" spans="1:4" x14ac:dyDescent="0.25">
      <c r="A348" s="23" t="s">
        <v>319</v>
      </c>
      <c r="B348" s="23" t="s">
        <v>80</v>
      </c>
      <c r="C348" s="23" t="s">
        <v>311</v>
      </c>
      <c r="D348" s="23">
        <v>1413</v>
      </c>
    </row>
    <row r="349" spans="1:4" x14ac:dyDescent="0.25">
      <c r="A349" s="23" t="s">
        <v>319</v>
      </c>
      <c r="B349" s="23" t="s">
        <v>163</v>
      </c>
      <c r="C349" s="23" t="s">
        <v>311</v>
      </c>
      <c r="D349" s="23">
        <v>18</v>
      </c>
    </row>
    <row r="350" spans="1:4" x14ac:dyDescent="0.25">
      <c r="A350" s="23" t="s">
        <v>319</v>
      </c>
      <c r="B350" s="23" t="s">
        <v>84</v>
      </c>
      <c r="C350" s="23" t="s">
        <v>309</v>
      </c>
      <c r="D350" s="23">
        <v>2442</v>
      </c>
    </row>
    <row r="351" spans="1:4" x14ac:dyDescent="0.25">
      <c r="A351" s="23" t="s">
        <v>319</v>
      </c>
      <c r="B351" s="23" t="s">
        <v>83</v>
      </c>
      <c r="C351" s="23" t="s">
        <v>309</v>
      </c>
      <c r="D351" s="23">
        <v>3473</v>
      </c>
    </row>
    <row r="352" spans="1:4" x14ac:dyDescent="0.25">
      <c r="A352" s="23" t="s">
        <v>319</v>
      </c>
      <c r="B352" s="23" t="s">
        <v>151</v>
      </c>
      <c r="C352" s="23" t="s">
        <v>309</v>
      </c>
      <c r="D352" s="23">
        <v>1180</v>
      </c>
    </row>
    <row r="353" spans="1:4" x14ac:dyDescent="0.25">
      <c r="A353" s="23" t="s">
        <v>319</v>
      </c>
      <c r="B353" s="23" t="s">
        <v>82</v>
      </c>
      <c r="C353" s="23" t="s">
        <v>309</v>
      </c>
      <c r="D353" s="23">
        <v>5281</v>
      </c>
    </row>
    <row r="354" spans="1:4" x14ac:dyDescent="0.25">
      <c r="A354" s="23" t="s">
        <v>319</v>
      </c>
      <c r="B354" s="23" t="s">
        <v>152</v>
      </c>
      <c r="C354" s="23" t="s">
        <v>309</v>
      </c>
      <c r="D354" s="23">
        <v>3336</v>
      </c>
    </row>
    <row r="355" spans="1:4" x14ac:dyDescent="0.25">
      <c r="A355" s="23" t="s">
        <v>319</v>
      </c>
      <c r="B355" s="23" t="s">
        <v>161</v>
      </c>
      <c r="C355" s="23" t="s">
        <v>309</v>
      </c>
      <c r="D355" s="23">
        <v>8</v>
      </c>
    </row>
    <row r="356" spans="1:4" x14ac:dyDescent="0.25">
      <c r="A356" s="23" t="s">
        <v>319</v>
      </c>
      <c r="B356" s="23" t="s">
        <v>153</v>
      </c>
      <c r="C356" s="23" t="s">
        <v>309</v>
      </c>
      <c r="D356" s="23">
        <v>648</v>
      </c>
    </row>
    <row r="357" spans="1:4" x14ac:dyDescent="0.25">
      <c r="A357" s="23" t="s">
        <v>319</v>
      </c>
      <c r="B357" s="23" t="s">
        <v>81</v>
      </c>
      <c r="C357" s="23" t="s">
        <v>309</v>
      </c>
      <c r="D357" s="23">
        <v>248</v>
      </c>
    </row>
    <row r="358" spans="1:4" x14ac:dyDescent="0.25">
      <c r="A358" s="23" t="s">
        <v>319</v>
      </c>
      <c r="B358" s="23" t="s">
        <v>77</v>
      </c>
      <c r="C358" s="23" t="s">
        <v>309</v>
      </c>
      <c r="D358" s="23">
        <v>657</v>
      </c>
    </row>
    <row r="359" spans="1:4" x14ac:dyDescent="0.25">
      <c r="A359" s="23" t="s">
        <v>319</v>
      </c>
      <c r="B359" s="23" t="s">
        <v>78</v>
      </c>
      <c r="C359" s="23" t="s">
        <v>309</v>
      </c>
      <c r="D359" s="23">
        <v>0</v>
      </c>
    </row>
    <row r="360" spans="1:4" x14ac:dyDescent="0.25">
      <c r="A360" s="23" t="s">
        <v>319</v>
      </c>
      <c r="B360" s="23" t="s">
        <v>154</v>
      </c>
      <c r="C360" s="23" t="s">
        <v>309</v>
      </c>
      <c r="D360" s="23">
        <v>493</v>
      </c>
    </row>
    <row r="361" spans="1:4" x14ac:dyDescent="0.25">
      <c r="A361" s="23" t="s">
        <v>319</v>
      </c>
      <c r="B361" s="23" t="s">
        <v>162</v>
      </c>
      <c r="C361" s="23" t="s">
        <v>309</v>
      </c>
      <c r="D361" s="23">
        <v>105</v>
      </c>
    </row>
    <row r="362" spans="1:4" x14ac:dyDescent="0.25">
      <c r="A362" s="23" t="s">
        <v>319</v>
      </c>
      <c r="B362" s="23" t="s">
        <v>155</v>
      </c>
      <c r="C362" s="23" t="s">
        <v>309</v>
      </c>
      <c r="D362" s="23">
        <v>2901</v>
      </c>
    </row>
    <row r="363" spans="1:4" x14ac:dyDescent="0.25">
      <c r="A363" s="23" t="s">
        <v>319</v>
      </c>
      <c r="B363" s="23" t="s">
        <v>157</v>
      </c>
      <c r="C363" s="23" t="s">
        <v>309</v>
      </c>
      <c r="D363" s="23">
        <v>8753</v>
      </c>
    </row>
    <row r="364" spans="1:4" x14ac:dyDescent="0.25">
      <c r="A364" s="23" t="s">
        <v>319</v>
      </c>
      <c r="B364" s="23" t="s">
        <v>80</v>
      </c>
      <c r="C364" s="23" t="s">
        <v>309</v>
      </c>
      <c r="D364" s="23">
        <v>1884</v>
      </c>
    </row>
    <row r="365" spans="1:4" x14ac:dyDescent="0.25">
      <c r="A365" s="23" t="s">
        <v>319</v>
      </c>
      <c r="B365" s="23" t="s">
        <v>163</v>
      </c>
      <c r="C365" s="23" t="s">
        <v>309</v>
      </c>
      <c r="D365" s="23">
        <v>95</v>
      </c>
    </row>
    <row r="366" spans="1:4" x14ac:dyDescent="0.25">
      <c r="A366" s="23" t="s">
        <v>319</v>
      </c>
      <c r="B366" s="23" t="s">
        <v>84</v>
      </c>
      <c r="C366" s="23" t="s">
        <v>317</v>
      </c>
      <c r="D366" s="23">
        <v>12397</v>
      </c>
    </row>
    <row r="367" spans="1:4" x14ac:dyDescent="0.25">
      <c r="A367" s="23" t="s">
        <v>319</v>
      </c>
      <c r="B367" s="23" t="s">
        <v>83</v>
      </c>
      <c r="C367" s="23" t="s">
        <v>317</v>
      </c>
      <c r="D367" s="23">
        <v>6112</v>
      </c>
    </row>
    <row r="368" spans="1:4" x14ac:dyDescent="0.25">
      <c r="A368" s="23" t="s">
        <v>319</v>
      </c>
      <c r="B368" s="23" t="s">
        <v>151</v>
      </c>
      <c r="C368" s="23" t="s">
        <v>317</v>
      </c>
      <c r="D368" s="23">
        <v>10371</v>
      </c>
    </row>
    <row r="369" spans="1:4" x14ac:dyDescent="0.25">
      <c r="A369" s="23" t="s">
        <v>319</v>
      </c>
      <c r="B369" s="23" t="s">
        <v>82</v>
      </c>
      <c r="C369" s="23" t="s">
        <v>317</v>
      </c>
      <c r="D369" s="23">
        <v>604</v>
      </c>
    </row>
    <row r="370" spans="1:4" x14ac:dyDescent="0.25">
      <c r="A370" s="23" t="s">
        <v>319</v>
      </c>
      <c r="B370" s="23" t="s">
        <v>152</v>
      </c>
      <c r="C370" s="23" t="s">
        <v>317</v>
      </c>
      <c r="D370" s="23">
        <v>1404</v>
      </c>
    </row>
    <row r="371" spans="1:4" x14ac:dyDescent="0.25">
      <c r="A371" s="23" t="s">
        <v>319</v>
      </c>
      <c r="B371" s="23" t="s">
        <v>161</v>
      </c>
      <c r="C371" s="23" t="s">
        <v>317</v>
      </c>
      <c r="D371" s="23">
        <v>13</v>
      </c>
    </row>
    <row r="372" spans="1:4" x14ac:dyDescent="0.25">
      <c r="A372" s="23" t="s">
        <v>319</v>
      </c>
      <c r="B372" s="23" t="s">
        <v>153</v>
      </c>
      <c r="C372" s="23" t="s">
        <v>317</v>
      </c>
      <c r="D372" s="23">
        <v>3530</v>
      </c>
    </row>
    <row r="373" spans="1:4" x14ac:dyDescent="0.25">
      <c r="A373" s="23" t="s">
        <v>319</v>
      </c>
      <c r="B373" s="23" t="s">
        <v>81</v>
      </c>
      <c r="C373" s="23" t="s">
        <v>317</v>
      </c>
      <c r="D373" s="23">
        <v>3032</v>
      </c>
    </row>
    <row r="374" spans="1:4" x14ac:dyDescent="0.25">
      <c r="A374" s="23" t="s">
        <v>319</v>
      </c>
      <c r="B374" s="23" t="s">
        <v>77</v>
      </c>
      <c r="C374" s="23" t="s">
        <v>317</v>
      </c>
      <c r="D374" s="23">
        <v>2788</v>
      </c>
    </row>
    <row r="375" spans="1:4" x14ac:dyDescent="0.25">
      <c r="A375" s="23" t="s">
        <v>319</v>
      </c>
      <c r="B375" s="23" t="s">
        <v>78</v>
      </c>
      <c r="C375" s="23" t="s">
        <v>317</v>
      </c>
      <c r="D375" s="23">
        <v>271</v>
      </c>
    </row>
    <row r="376" spans="1:4" x14ac:dyDescent="0.25">
      <c r="A376" s="23" t="s">
        <v>319</v>
      </c>
      <c r="B376" s="23" t="s">
        <v>154</v>
      </c>
      <c r="C376" s="23" t="s">
        <v>317</v>
      </c>
      <c r="D376" s="23">
        <v>1034</v>
      </c>
    </row>
    <row r="377" spans="1:4" x14ac:dyDescent="0.25">
      <c r="A377" s="23" t="s">
        <v>319</v>
      </c>
      <c r="B377" s="23" t="s">
        <v>162</v>
      </c>
      <c r="C377" s="23" t="s">
        <v>317</v>
      </c>
      <c r="D377" s="23">
        <v>322</v>
      </c>
    </row>
    <row r="378" spans="1:4" x14ac:dyDescent="0.25">
      <c r="A378" s="23" t="s">
        <v>319</v>
      </c>
      <c r="B378" s="23" t="s">
        <v>155</v>
      </c>
      <c r="C378" s="23" t="s">
        <v>317</v>
      </c>
      <c r="D378" s="23">
        <v>1416</v>
      </c>
    </row>
    <row r="379" spans="1:4" x14ac:dyDescent="0.25">
      <c r="A379" s="23" t="s">
        <v>319</v>
      </c>
      <c r="B379" s="23" t="s">
        <v>156</v>
      </c>
      <c r="C379" s="23" t="s">
        <v>317</v>
      </c>
      <c r="D379" s="23">
        <v>1406</v>
      </c>
    </row>
    <row r="380" spans="1:4" x14ac:dyDescent="0.25">
      <c r="A380" s="23" t="s">
        <v>319</v>
      </c>
      <c r="B380" s="23" t="s">
        <v>157</v>
      </c>
      <c r="C380" s="23" t="s">
        <v>317</v>
      </c>
      <c r="D380" s="23">
        <v>9251</v>
      </c>
    </row>
    <row r="381" spans="1:4" x14ac:dyDescent="0.25">
      <c r="A381" s="23" t="s">
        <v>319</v>
      </c>
      <c r="B381" s="23" t="s">
        <v>80</v>
      </c>
      <c r="C381" s="23" t="s">
        <v>317</v>
      </c>
      <c r="D381" s="23">
        <v>2103</v>
      </c>
    </row>
    <row r="382" spans="1:4" x14ac:dyDescent="0.25">
      <c r="A382" s="23" t="s">
        <v>319</v>
      </c>
      <c r="B382" s="23" t="s">
        <v>84</v>
      </c>
      <c r="C382" s="23" t="s">
        <v>316</v>
      </c>
      <c r="D382" s="23">
        <v>5495</v>
      </c>
    </row>
    <row r="383" spans="1:4" x14ac:dyDescent="0.25">
      <c r="A383" s="23" t="s">
        <v>319</v>
      </c>
      <c r="B383" s="23" t="s">
        <v>83</v>
      </c>
      <c r="C383" s="23" t="s">
        <v>316</v>
      </c>
      <c r="D383" s="23">
        <v>9087</v>
      </c>
    </row>
    <row r="384" spans="1:4" x14ac:dyDescent="0.25">
      <c r="A384" s="23" t="s">
        <v>319</v>
      </c>
      <c r="B384" s="23" t="s">
        <v>151</v>
      </c>
      <c r="C384" s="23" t="s">
        <v>316</v>
      </c>
      <c r="D384" s="23">
        <v>10643</v>
      </c>
    </row>
    <row r="385" spans="1:4" x14ac:dyDescent="0.25">
      <c r="A385" s="23" t="s">
        <v>319</v>
      </c>
      <c r="B385" s="23" t="s">
        <v>82</v>
      </c>
      <c r="C385" s="23" t="s">
        <v>316</v>
      </c>
      <c r="D385" s="23">
        <v>5399</v>
      </c>
    </row>
    <row r="386" spans="1:4" x14ac:dyDescent="0.25">
      <c r="A386" s="23" t="s">
        <v>319</v>
      </c>
      <c r="B386" s="23" t="s">
        <v>152</v>
      </c>
      <c r="C386" s="23" t="s">
        <v>316</v>
      </c>
      <c r="D386" s="23">
        <v>3863</v>
      </c>
    </row>
    <row r="387" spans="1:4" x14ac:dyDescent="0.25">
      <c r="A387" s="23" t="s">
        <v>319</v>
      </c>
      <c r="B387" s="23" t="s">
        <v>161</v>
      </c>
      <c r="C387" s="23" t="s">
        <v>316</v>
      </c>
      <c r="D387" s="23">
        <v>3</v>
      </c>
    </row>
    <row r="388" spans="1:4" x14ac:dyDescent="0.25">
      <c r="A388" s="23" t="s">
        <v>319</v>
      </c>
      <c r="B388" s="23" t="s">
        <v>153</v>
      </c>
      <c r="C388" s="23" t="s">
        <v>316</v>
      </c>
      <c r="D388" s="23">
        <v>9544</v>
      </c>
    </row>
    <row r="389" spans="1:4" x14ac:dyDescent="0.25">
      <c r="A389" s="23" t="s">
        <v>319</v>
      </c>
      <c r="B389" s="23" t="s">
        <v>81</v>
      </c>
      <c r="C389" s="23" t="s">
        <v>316</v>
      </c>
      <c r="D389" s="23">
        <v>2466</v>
      </c>
    </row>
    <row r="390" spans="1:4" x14ac:dyDescent="0.25">
      <c r="A390" s="23" t="s">
        <v>319</v>
      </c>
      <c r="B390" s="23" t="s">
        <v>77</v>
      </c>
      <c r="C390" s="23" t="s">
        <v>316</v>
      </c>
      <c r="D390" s="23">
        <v>1824</v>
      </c>
    </row>
    <row r="391" spans="1:4" x14ac:dyDescent="0.25">
      <c r="A391" s="23" t="s">
        <v>319</v>
      </c>
      <c r="B391" s="23" t="s">
        <v>78</v>
      </c>
      <c r="C391" s="23" t="s">
        <v>316</v>
      </c>
      <c r="D391" s="23">
        <v>58</v>
      </c>
    </row>
    <row r="392" spans="1:4" x14ac:dyDescent="0.25">
      <c r="A392" s="23" t="s">
        <v>319</v>
      </c>
      <c r="B392" s="23" t="s">
        <v>154</v>
      </c>
      <c r="C392" s="23" t="s">
        <v>316</v>
      </c>
      <c r="D392" s="23">
        <v>441</v>
      </c>
    </row>
    <row r="393" spans="1:4" x14ac:dyDescent="0.25">
      <c r="A393" s="23" t="s">
        <v>319</v>
      </c>
      <c r="B393" s="23" t="s">
        <v>162</v>
      </c>
      <c r="C393" s="23" t="s">
        <v>316</v>
      </c>
      <c r="D393" s="23">
        <v>55</v>
      </c>
    </row>
    <row r="394" spans="1:4" x14ac:dyDescent="0.25">
      <c r="A394" s="23" t="s">
        <v>319</v>
      </c>
      <c r="B394" s="23" t="s">
        <v>155</v>
      </c>
      <c r="C394" s="23" t="s">
        <v>316</v>
      </c>
      <c r="D394" s="23">
        <v>3510</v>
      </c>
    </row>
    <row r="395" spans="1:4" x14ac:dyDescent="0.25">
      <c r="A395" s="23" t="s">
        <v>319</v>
      </c>
      <c r="B395" s="23" t="s">
        <v>156</v>
      </c>
      <c r="C395" s="23" t="s">
        <v>316</v>
      </c>
      <c r="D395" s="23">
        <v>3037</v>
      </c>
    </row>
    <row r="396" spans="1:4" x14ac:dyDescent="0.25">
      <c r="A396" s="23" t="s">
        <v>319</v>
      </c>
      <c r="B396" s="23" t="s">
        <v>157</v>
      </c>
      <c r="C396" s="23" t="s">
        <v>316</v>
      </c>
      <c r="D396" s="23">
        <v>8097</v>
      </c>
    </row>
    <row r="397" spans="1:4" x14ac:dyDescent="0.25">
      <c r="A397" s="23" t="s">
        <v>319</v>
      </c>
      <c r="B397" s="23" t="s">
        <v>80</v>
      </c>
      <c r="C397" s="23" t="s">
        <v>316</v>
      </c>
      <c r="D397" s="23">
        <v>1618</v>
      </c>
    </row>
    <row r="398" spans="1:4" x14ac:dyDescent="0.25">
      <c r="A398" s="23" t="s">
        <v>319</v>
      </c>
      <c r="B398" s="23" t="s">
        <v>163</v>
      </c>
      <c r="C398" s="23" t="s">
        <v>316</v>
      </c>
      <c r="D398" s="23">
        <v>29</v>
      </c>
    </row>
    <row r="399" spans="1:4" x14ac:dyDescent="0.25">
      <c r="A399" s="23" t="s">
        <v>319</v>
      </c>
      <c r="B399" s="23" t="s">
        <v>84</v>
      </c>
      <c r="C399" s="23" t="s">
        <v>315</v>
      </c>
      <c r="D399" s="23">
        <v>7525</v>
      </c>
    </row>
    <row r="400" spans="1:4" x14ac:dyDescent="0.25">
      <c r="A400" s="23" t="s">
        <v>319</v>
      </c>
      <c r="B400" s="23" t="s">
        <v>83</v>
      </c>
      <c r="C400" s="23" t="s">
        <v>315</v>
      </c>
      <c r="D400" s="23">
        <v>3646</v>
      </c>
    </row>
    <row r="401" spans="1:4" x14ac:dyDescent="0.25">
      <c r="A401" s="23" t="s">
        <v>319</v>
      </c>
      <c r="B401" s="23" t="s">
        <v>151</v>
      </c>
      <c r="C401" s="23" t="s">
        <v>315</v>
      </c>
      <c r="D401" s="23">
        <v>10951</v>
      </c>
    </row>
    <row r="402" spans="1:4" x14ac:dyDescent="0.25">
      <c r="A402" s="23" t="s">
        <v>319</v>
      </c>
      <c r="B402" s="23" t="s">
        <v>82</v>
      </c>
      <c r="C402" s="23" t="s">
        <v>315</v>
      </c>
      <c r="D402" s="23">
        <v>2619</v>
      </c>
    </row>
    <row r="403" spans="1:4" x14ac:dyDescent="0.25">
      <c r="A403" s="23" t="s">
        <v>319</v>
      </c>
      <c r="B403" s="23" t="s">
        <v>152</v>
      </c>
      <c r="C403" s="23" t="s">
        <v>315</v>
      </c>
      <c r="D403" s="23">
        <v>2834</v>
      </c>
    </row>
    <row r="404" spans="1:4" x14ac:dyDescent="0.25">
      <c r="A404" s="23" t="s">
        <v>319</v>
      </c>
      <c r="B404" s="23" t="s">
        <v>161</v>
      </c>
      <c r="C404" s="23" t="s">
        <v>315</v>
      </c>
      <c r="D404" s="23">
        <v>23</v>
      </c>
    </row>
    <row r="405" spans="1:4" x14ac:dyDescent="0.25">
      <c r="A405" s="23" t="s">
        <v>319</v>
      </c>
      <c r="B405" s="23" t="s">
        <v>153</v>
      </c>
      <c r="C405" s="23" t="s">
        <v>315</v>
      </c>
      <c r="D405" s="23">
        <v>2907</v>
      </c>
    </row>
    <row r="406" spans="1:4" x14ac:dyDescent="0.25">
      <c r="A406" s="23" t="s">
        <v>319</v>
      </c>
      <c r="B406" s="23" t="s">
        <v>81</v>
      </c>
      <c r="C406" s="23" t="s">
        <v>315</v>
      </c>
      <c r="D406" s="23">
        <v>570</v>
      </c>
    </row>
    <row r="407" spans="1:4" x14ac:dyDescent="0.25">
      <c r="A407" s="23" t="s">
        <v>319</v>
      </c>
      <c r="B407" s="23" t="s">
        <v>77</v>
      </c>
      <c r="C407" s="23" t="s">
        <v>315</v>
      </c>
      <c r="D407" s="23">
        <v>2425</v>
      </c>
    </row>
    <row r="408" spans="1:4" x14ac:dyDescent="0.25">
      <c r="A408" s="23" t="s">
        <v>319</v>
      </c>
      <c r="B408" s="23" t="s">
        <v>78</v>
      </c>
      <c r="C408" s="23" t="s">
        <v>315</v>
      </c>
      <c r="D408" s="23">
        <v>0</v>
      </c>
    </row>
    <row r="409" spans="1:4" x14ac:dyDescent="0.25">
      <c r="A409" s="23" t="s">
        <v>319</v>
      </c>
      <c r="B409" s="23" t="s">
        <v>154</v>
      </c>
      <c r="C409" s="23" t="s">
        <v>315</v>
      </c>
      <c r="D409" s="23">
        <v>1457</v>
      </c>
    </row>
    <row r="410" spans="1:4" x14ac:dyDescent="0.25">
      <c r="A410" s="23" t="s">
        <v>319</v>
      </c>
      <c r="B410" s="23" t="s">
        <v>162</v>
      </c>
      <c r="C410" s="23" t="s">
        <v>315</v>
      </c>
      <c r="D410" s="23">
        <v>116</v>
      </c>
    </row>
    <row r="411" spans="1:4" x14ac:dyDescent="0.25">
      <c r="A411" s="23" t="s">
        <v>319</v>
      </c>
      <c r="B411" s="23" t="s">
        <v>155</v>
      </c>
      <c r="C411" s="23" t="s">
        <v>315</v>
      </c>
      <c r="D411" s="23">
        <v>1302</v>
      </c>
    </row>
    <row r="412" spans="1:4" x14ac:dyDescent="0.25">
      <c r="A412" s="23" t="s">
        <v>319</v>
      </c>
      <c r="B412" s="23" t="s">
        <v>156</v>
      </c>
      <c r="C412" s="23" t="s">
        <v>315</v>
      </c>
      <c r="D412" s="23">
        <v>857</v>
      </c>
    </row>
    <row r="413" spans="1:4" x14ac:dyDescent="0.25">
      <c r="A413" s="23" t="s">
        <v>319</v>
      </c>
      <c r="B413" s="23" t="s">
        <v>157</v>
      </c>
      <c r="C413" s="23" t="s">
        <v>315</v>
      </c>
      <c r="D413" s="23">
        <v>3933</v>
      </c>
    </row>
    <row r="414" spans="1:4" x14ac:dyDescent="0.25">
      <c r="A414" s="23" t="s">
        <v>319</v>
      </c>
      <c r="B414" s="23" t="s">
        <v>80</v>
      </c>
      <c r="C414" s="23" t="s">
        <v>315</v>
      </c>
      <c r="D414" s="23">
        <v>733</v>
      </c>
    </row>
    <row r="415" spans="1:4" x14ac:dyDescent="0.25">
      <c r="A415" s="23" t="s">
        <v>319</v>
      </c>
      <c r="B415" s="23" t="s">
        <v>163</v>
      </c>
      <c r="C415" s="23" t="s">
        <v>315</v>
      </c>
      <c r="D415" s="23">
        <v>0</v>
      </c>
    </row>
    <row r="416" spans="1:4" x14ac:dyDescent="0.25">
      <c r="A416" s="23" t="s">
        <v>319</v>
      </c>
      <c r="B416" s="23" t="s">
        <v>84</v>
      </c>
      <c r="C416" s="23" t="s">
        <v>310</v>
      </c>
      <c r="D416" s="23">
        <v>1580</v>
      </c>
    </row>
    <row r="417" spans="1:4" x14ac:dyDescent="0.25">
      <c r="A417" s="23" t="s">
        <v>319</v>
      </c>
      <c r="B417" s="23" t="s">
        <v>83</v>
      </c>
      <c r="C417" s="23" t="s">
        <v>310</v>
      </c>
      <c r="D417" s="23">
        <v>2849</v>
      </c>
    </row>
    <row r="418" spans="1:4" x14ac:dyDescent="0.25">
      <c r="A418" s="23" t="s">
        <v>319</v>
      </c>
      <c r="B418" s="23" t="s">
        <v>151</v>
      </c>
      <c r="C418" s="23" t="s">
        <v>310</v>
      </c>
      <c r="D418" s="23">
        <v>2053</v>
      </c>
    </row>
    <row r="419" spans="1:4" x14ac:dyDescent="0.25">
      <c r="A419" s="23" t="s">
        <v>319</v>
      </c>
      <c r="B419" s="23" t="s">
        <v>82</v>
      </c>
      <c r="C419" s="23" t="s">
        <v>310</v>
      </c>
      <c r="D419" s="23">
        <v>2000</v>
      </c>
    </row>
    <row r="420" spans="1:4" x14ac:dyDescent="0.25">
      <c r="A420" s="23" t="s">
        <v>319</v>
      </c>
      <c r="B420" s="23" t="s">
        <v>152</v>
      </c>
      <c r="C420" s="23" t="s">
        <v>310</v>
      </c>
      <c r="D420" s="23">
        <v>361</v>
      </c>
    </row>
    <row r="421" spans="1:4" x14ac:dyDescent="0.25">
      <c r="A421" s="23" t="s">
        <v>319</v>
      </c>
      <c r="B421" s="23" t="s">
        <v>161</v>
      </c>
      <c r="C421" s="23" t="s">
        <v>310</v>
      </c>
      <c r="D421" s="23">
        <v>3</v>
      </c>
    </row>
    <row r="422" spans="1:4" x14ac:dyDescent="0.25">
      <c r="A422" s="23" t="s">
        <v>319</v>
      </c>
      <c r="B422" s="23" t="s">
        <v>81</v>
      </c>
      <c r="C422" s="23" t="s">
        <v>310</v>
      </c>
      <c r="D422" s="23">
        <v>2741</v>
      </c>
    </row>
    <row r="423" spans="1:4" x14ac:dyDescent="0.25">
      <c r="A423" s="23" t="s">
        <v>319</v>
      </c>
      <c r="B423" s="23" t="s">
        <v>78</v>
      </c>
      <c r="C423" s="23" t="s">
        <v>310</v>
      </c>
      <c r="D423" s="23">
        <v>0</v>
      </c>
    </row>
    <row r="424" spans="1:4" x14ac:dyDescent="0.25">
      <c r="A424" s="23" t="s">
        <v>319</v>
      </c>
      <c r="B424" s="23" t="s">
        <v>154</v>
      </c>
      <c r="C424" s="23" t="s">
        <v>310</v>
      </c>
      <c r="D424" s="23">
        <v>178</v>
      </c>
    </row>
    <row r="425" spans="1:4" x14ac:dyDescent="0.25">
      <c r="A425" s="23" t="s">
        <v>319</v>
      </c>
      <c r="B425" s="23" t="s">
        <v>162</v>
      </c>
      <c r="C425" s="23" t="s">
        <v>310</v>
      </c>
      <c r="D425" s="23">
        <v>1597</v>
      </c>
    </row>
    <row r="426" spans="1:4" x14ac:dyDescent="0.25">
      <c r="A426" s="23" t="s">
        <v>319</v>
      </c>
      <c r="B426" s="23" t="s">
        <v>155</v>
      </c>
      <c r="C426" s="23" t="s">
        <v>310</v>
      </c>
      <c r="D426" s="23">
        <v>1808</v>
      </c>
    </row>
    <row r="427" spans="1:4" x14ac:dyDescent="0.25">
      <c r="A427" s="23" t="s">
        <v>319</v>
      </c>
      <c r="B427" s="23" t="s">
        <v>157</v>
      </c>
      <c r="C427" s="23" t="s">
        <v>310</v>
      </c>
      <c r="D427" s="23">
        <v>1559</v>
      </c>
    </row>
    <row r="428" spans="1:4" x14ac:dyDescent="0.25">
      <c r="A428" s="23" t="s">
        <v>319</v>
      </c>
      <c r="B428" s="23" t="s">
        <v>80</v>
      </c>
      <c r="C428" s="23" t="s">
        <v>310</v>
      </c>
      <c r="D428" s="23">
        <v>616</v>
      </c>
    </row>
    <row r="429" spans="1:4" x14ac:dyDescent="0.25">
      <c r="A429" s="23" t="s">
        <v>319</v>
      </c>
      <c r="B429" s="23" t="s">
        <v>84</v>
      </c>
      <c r="C429" s="23" t="s">
        <v>307</v>
      </c>
      <c r="D429" s="23">
        <v>4419</v>
      </c>
    </row>
    <row r="430" spans="1:4" x14ac:dyDescent="0.25">
      <c r="A430" s="23" t="s">
        <v>319</v>
      </c>
      <c r="B430" s="23" t="s">
        <v>83</v>
      </c>
      <c r="C430" s="23" t="s">
        <v>307</v>
      </c>
      <c r="D430" s="23">
        <v>5042</v>
      </c>
    </row>
    <row r="431" spans="1:4" x14ac:dyDescent="0.25">
      <c r="A431" s="23" t="s">
        <v>319</v>
      </c>
      <c r="B431" s="23" t="s">
        <v>151</v>
      </c>
      <c r="C431" s="23" t="s">
        <v>307</v>
      </c>
      <c r="D431" s="23">
        <v>5936</v>
      </c>
    </row>
    <row r="432" spans="1:4" x14ac:dyDescent="0.25">
      <c r="A432" s="23" t="s">
        <v>319</v>
      </c>
      <c r="B432" s="23" t="s">
        <v>82</v>
      </c>
      <c r="C432" s="23" t="s">
        <v>307</v>
      </c>
      <c r="D432" s="23">
        <v>3200</v>
      </c>
    </row>
    <row r="433" spans="1:4" x14ac:dyDescent="0.25">
      <c r="A433" s="23" t="s">
        <v>319</v>
      </c>
      <c r="B433" s="23" t="s">
        <v>152</v>
      </c>
      <c r="C433" s="23" t="s">
        <v>307</v>
      </c>
      <c r="D433" s="23">
        <v>1340</v>
      </c>
    </row>
    <row r="434" spans="1:4" x14ac:dyDescent="0.25">
      <c r="A434" s="23" t="s">
        <v>319</v>
      </c>
      <c r="B434" s="23" t="s">
        <v>161</v>
      </c>
      <c r="C434" s="23" t="s">
        <v>307</v>
      </c>
      <c r="D434" s="23">
        <v>0</v>
      </c>
    </row>
    <row r="435" spans="1:4" x14ac:dyDescent="0.25">
      <c r="A435" s="23" t="s">
        <v>319</v>
      </c>
      <c r="B435" s="23" t="s">
        <v>153</v>
      </c>
      <c r="C435" s="23" t="s">
        <v>307</v>
      </c>
      <c r="D435" s="23">
        <v>5168</v>
      </c>
    </row>
    <row r="436" spans="1:4" x14ac:dyDescent="0.25">
      <c r="A436" s="23" t="s">
        <v>319</v>
      </c>
      <c r="B436" s="23" t="s">
        <v>81</v>
      </c>
      <c r="C436" s="23" t="s">
        <v>307</v>
      </c>
      <c r="D436" s="23">
        <v>924</v>
      </c>
    </row>
    <row r="437" spans="1:4" x14ac:dyDescent="0.25">
      <c r="A437" s="23" t="s">
        <v>319</v>
      </c>
      <c r="B437" s="23" t="s">
        <v>78</v>
      </c>
      <c r="C437" s="23" t="s">
        <v>307</v>
      </c>
      <c r="D437" s="23">
        <v>0</v>
      </c>
    </row>
    <row r="438" spans="1:4" x14ac:dyDescent="0.25">
      <c r="A438" s="23" t="s">
        <v>319</v>
      </c>
      <c r="B438" s="23" t="s">
        <v>154</v>
      </c>
      <c r="C438" s="23" t="s">
        <v>307</v>
      </c>
      <c r="D438" s="23">
        <v>106</v>
      </c>
    </row>
    <row r="439" spans="1:4" x14ac:dyDescent="0.25">
      <c r="A439" s="23" t="s">
        <v>319</v>
      </c>
      <c r="B439" s="23" t="s">
        <v>155</v>
      </c>
      <c r="C439" s="23" t="s">
        <v>307</v>
      </c>
      <c r="D439" s="23">
        <v>1223</v>
      </c>
    </row>
    <row r="440" spans="1:4" x14ac:dyDescent="0.25">
      <c r="A440" s="23" t="s">
        <v>319</v>
      </c>
      <c r="B440" s="23" t="s">
        <v>157</v>
      </c>
      <c r="C440" s="23" t="s">
        <v>307</v>
      </c>
      <c r="D440" s="23">
        <v>2461</v>
      </c>
    </row>
    <row r="441" spans="1:4" x14ac:dyDescent="0.25">
      <c r="A441" s="23" t="s">
        <v>319</v>
      </c>
      <c r="B441" s="23" t="s">
        <v>80</v>
      </c>
      <c r="C441" s="23" t="s">
        <v>307</v>
      </c>
      <c r="D441" s="23">
        <v>2350</v>
      </c>
    </row>
    <row r="442" spans="1:4" x14ac:dyDescent="0.25">
      <c r="A442" s="23" t="s">
        <v>319</v>
      </c>
      <c r="B442" s="23" t="s">
        <v>165</v>
      </c>
      <c r="C442" s="23" t="s">
        <v>310</v>
      </c>
      <c r="D442" s="23">
        <v>29</v>
      </c>
    </row>
    <row r="443" spans="1:4" x14ac:dyDescent="0.25">
      <c r="A443" s="23" t="s">
        <v>319</v>
      </c>
      <c r="B443" s="23" t="s">
        <v>167</v>
      </c>
      <c r="C443" s="23" t="s">
        <v>310</v>
      </c>
      <c r="D443" s="23">
        <v>86</v>
      </c>
    </row>
    <row r="444" spans="1:4" x14ac:dyDescent="0.25">
      <c r="A444" s="23" t="s">
        <v>319</v>
      </c>
      <c r="B444" s="23" t="s">
        <v>77</v>
      </c>
      <c r="C444" s="23" t="s">
        <v>310</v>
      </c>
      <c r="D444" s="23">
        <v>648</v>
      </c>
    </row>
    <row r="445" spans="1:4" x14ac:dyDescent="0.25">
      <c r="A445" s="23" t="s">
        <v>319</v>
      </c>
      <c r="B445" s="23" t="s">
        <v>155</v>
      </c>
      <c r="C445" s="23" t="s">
        <v>308</v>
      </c>
      <c r="D445" s="23">
        <v>6117</v>
      </c>
    </row>
    <row r="446" spans="1:4" x14ac:dyDescent="0.25">
      <c r="A446" s="23" t="s">
        <v>319</v>
      </c>
      <c r="B446" s="23" t="s">
        <v>163</v>
      </c>
      <c r="C446" s="23" t="s">
        <v>317</v>
      </c>
      <c r="D446" s="23">
        <v>0</v>
      </c>
    </row>
    <row r="447" spans="1:4" x14ac:dyDescent="0.25">
      <c r="A447" s="23" t="s">
        <v>319</v>
      </c>
      <c r="B447" s="23" t="s">
        <v>156</v>
      </c>
      <c r="C447" s="23" t="s">
        <v>309</v>
      </c>
      <c r="D447" s="23">
        <v>2011</v>
      </c>
    </row>
    <row r="448" spans="1:4" x14ac:dyDescent="0.25">
      <c r="A448" s="23" t="s">
        <v>319</v>
      </c>
      <c r="B448" s="23" t="s">
        <v>156</v>
      </c>
      <c r="C448" s="23" t="s">
        <v>308</v>
      </c>
      <c r="D448" s="23">
        <v>1745</v>
      </c>
    </row>
    <row r="449" spans="1:4" x14ac:dyDescent="0.25">
      <c r="A449" s="23" t="s">
        <v>319</v>
      </c>
      <c r="B449" s="23" t="s">
        <v>163</v>
      </c>
      <c r="C449" s="23" t="s">
        <v>310</v>
      </c>
      <c r="D449" s="23">
        <v>9</v>
      </c>
    </row>
    <row r="450" spans="1:4" x14ac:dyDescent="0.25">
      <c r="A450" s="23" t="s">
        <v>319</v>
      </c>
      <c r="B450" s="23" t="s">
        <v>156</v>
      </c>
      <c r="C450" s="23" t="s">
        <v>310</v>
      </c>
      <c r="D450" s="23">
        <v>113</v>
      </c>
    </row>
    <row r="451" spans="1:4" x14ac:dyDescent="0.25">
      <c r="A451" s="23" t="s">
        <v>319</v>
      </c>
      <c r="B451" s="23" t="s">
        <v>153</v>
      </c>
      <c r="C451" s="23" t="s">
        <v>310</v>
      </c>
      <c r="D451" s="23">
        <v>1706</v>
      </c>
    </row>
    <row r="452" spans="1:4" x14ac:dyDescent="0.25">
      <c r="A452" s="23" t="s">
        <v>319</v>
      </c>
      <c r="B452" s="23" t="s">
        <v>164</v>
      </c>
      <c r="C452" s="23" t="s">
        <v>312</v>
      </c>
      <c r="D452" s="23">
        <v>2427</v>
      </c>
    </row>
    <row r="453" spans="1:4" x14ac:dyDescent="0.25">
      <c r="A453" s="23" t="s">
        <v>319</v>
      </c>
      <c r="B453" s="23" t="s">
        <v>164</v>
      </c>
      <c r="C453" s="23" t="s">
        <v>313</v>
      </c>
      <c r="D453" s="23">
        <v>2746</v>
      </c>
    </row>
    <row r="454" spans="1:4" x14ac:dyDescent="0.25">
      <c r="A454" s="23" t="s">
        <v>319</v>
      </c>
      <c r="B454" s="23" t="s">
        <v>164</v>
      </c>
      <c r="C454" s="23" t="s">
        <v>314</v>
      </c>
      <c r="D454" s="23">
        <v>217</v>
      </c>
    </row>
    <row r="455" spans="1:4" x14ac:dyDescent="0.25">
      <c r="A455" s="23" t="s">
        <v>319</v>
      </c>
      <c r="B455" s="23" t="s">
        <v>164</v>
      </c>
      <c r="C455" s="23" t="s">
        <v>317</v>
      </c>
      <c r="D455" s="23">
        <v>973</v>
      </c>
    </row>
    <row r="456" spans="1:4" x14ac:dyDescent="0.25">
      <c r="A456" s="23" t="s">
        <v>319</v>
      </c>
      <c r="B456" s="23" t="s">
        <v>164</v>
      </c>
      <c r="C456" s="23" t="s">
        <v>316</v>
      </c>
      <c r="D456" s="23">
        <v>46</v>
      </c>
    </row>
    <row r="457" spans="1:4" x14ac:dyDescent="0.25">
      <c r="A457" s="23" t="s">
        <v>319</v>
      </c>
      <c r="B457" s="23" t="s">
        <v>164</v>
      </c>
      <c r="C457" s="23" t="s">
        <v>318</v>
      </c>
      <c r="D457" s="23">
        <v>114</v>
      </c>
    </row>
    <row r="458" spans="1:4" x14ac:dyDescent="0.25">
      <c r="A458" s="23" t="s">
        <v>319</v>
      </c>
      <c r="B458" s="23" t="s">
        <v>164</v>
      </c>
      <c r="C458" s="23" t="s">
        <v>315</v>
      </c>
      <c r="D458" s="23">
        <v>43</v>
      </c>
    </row>
    <row r="459" spans="1:4" x14ac:dyDescent="0.25">
      <c r="A459" s="23" t="s">
        <v>319</v>
      </c>
      <c r="B459" s="23" t="s">
        <v>164</v>
      </c>
      <c r="C459" s="23" t="s">
        <v>308</v>
      </c>
      <c r="D459" s="23">
        <v>32</v>
      </c>
    </row>
    <row r="460" spans="1:4" x14ac:dyDescent="0.25">
      <c r="A460" s="23" t="s">
        <v>319</v>
      </c>
      <c r="B460" s="23" t="s">
        <v>164</v>
      </c>
      <c r="C460" s="23" t="s">
        <v>307</v>
      </c>
      <c r="D460" s="23">
        <v>274</v>
      </c>
    </row>
    <row r="461" spans="1:4" x14ac:dyDescent="0.25">
      <c r="A461" s="23" t="s">
        <v>319</v>
      </c>
      <c r="B461" s="23" t="s">
        <v>164</v>
      </c>
      <c r="C461" s="23" t="s">
        <v>309</v>
      </c>
      <c r="D461" s="23">
        <v>122</v>
      </c>
    </row>
    <row r="462" spans="1:4" x14ac:dyDescent="0.25">
      <c r="A462" s="23" t="s">
        <v>319</v>
      </c>
      <c r="B462" s="23" t="s">
        <v>164</v>
      </c>
      <c r="C462" s="23" t="s">
        <v>310</v>
      </c>
      <c r="D462" s="23">
        <v>9</v>
      </c>
    </row>
    <row r="463" spans="1:4" x14ac:dyDescent="0.25">
      <c r="A463" s="23" t="s">
        <v>319</v>
      </c>
      <c r="B463" s="23" t="s">
        <v>164</v>
      </c>
      <c r="C463" s="23" t="s">
        <v>311</v>
      </c>
      <c r="D463" s="23">
        <v>941</v>
      </c>
    </row>
    <row r="464" spans="1:4" x14ac:dyDescent="0.25">
      <c r="A464" s="23" t="s">
        <v>319</v>
      </c>
      <c r="B464" s="23" t="s">
        <v>165</v>
      </c>
      <c r="C464" s="23" t="s">
        <v>311</v>
      </c>
      <c r="D464" s="23">
        <v>27</v>
      </c>
    </row>
    <row r="465" spans="1:4" x14ac:dyDescent="0.25">
      <c r="A465" s="23" t="s">
        <v>319</v>
      </c>
      <c r="B465" s="23" t="s">
        <v>156</v>
      </c>
      <c r="C465" s="23" t="s">
        <v>318</v>
      </c>
      <c r="D465" s="23">
        <v>3564</v>
      </c>
    </row>
    <row r="466" spans="1:4" x14ac:dyDescent="0.25">
      <c r="A466" s="23" t="s">
        <v>319</v>
      </c>
      <c r="B466" s="23" t="s">
        <v>166</v>
      </c>
      <c r="C466" s="23" t="s">
        <v>315</v>
      </c>
      <c r="D466" s="23">
        <v>0</v>
      </c>
    </row>
    <row r="467" spans="1:4" x14ac:dyDescent="0.25">
      <c r="A467" s="23" t="s">
        <v>319</v>
      </c>
      <c r="B467" s="23" t="s">
        <v>150</v>
      </c>
      <c r="C467" s="23" t="s">
        <v>316</v>
      </c>
      <c r="D467" s="23">
        <v>124</v>
      </c>
    </row>
    <row r="468" spans="1:4" x14ac:dyDescent="0.25">
      <c r="A468" s="23" t="s">
        <v>319</v>
      </c>
      <c r="B468" s="23" t="s">
        <v>150</v>
      </c>
      <c r="C468" s="23" t="s">
        <v>315</v>
      </c>
      <c r="D468" s="23">
        <v>482</v>
      </c>
    </row>
    <row r="469" spans="1:4" x14ac:dyDescent="0.25">
      <c r="A469" s="23" t="s">
        <v>319</v>
      </c>
      <c r="B469" s="23" t="s">
        <v>150</v>
      </c>
      <c r="C469" s="23" t="s">
        <v>310</v>
      </c>
      <c r="D469" s="23">
        <v>68</v>
      </c>
    </row>
    <row r="470" spans="1:4" x14ac:dyDescent="0.25">
      <c r="A470" s="23" t="s">
        <v>319</v>
      </c>
      <c r="B470" s="23" t="s">
        <v>150</v>
      </c>
      <c r="C470" s="23" t="s">
        <v>312</v>
      </c>
      <c r="D470" s="23">
        <v>5364</v>
      </c>
    </row>
    <row r="471" spans="1:4" x14ac:dyDescent="0.25">
      <c r="A471" s="23" t="s">
        <v>319</v>
      </c>
      <c r="B471" s="23" t="s">
        <v>150</v>
      </c>
      <c r="C471" s="23" t="s">
        <v>314</v>
      </c>
      <c r="D471" s="23">
        <v>567</v>
      </c>
    </row>
    <row r="472" spans="1:4" x14ac:dyDescent="0.25">
      <c r="A472" s="23" t="s">
        <v>319</v>
      </c>
      <c r="B472" s="23" t="s">
        <v>150</v>
      </c>
      <c r="C472" s="23" t="s">
        <v>313</v>
      </c>
      <c r="D472" s="23">
        <v>3453</v>
      </c>
    </row>
    <row r="473" spans="1:4" x14ac:dyDescent="0.25">
      <c r="A473" s="23" t="s">
        <v>319</v>
      </c>
      <c r="B473" s="23" t="s">
        <v>150</v>
      </c>
      <c r="C473" s="23" t="s">
        <v>311</v>
      </c>
      <c r="D473" s="23">
        <v>515</v>
      </c>
    </row>
    <row r="474" spans="1:4" x14ac:dyDescent="0.25">
      <c r="A474" s="23" t="s">
        <v>319</v>
      </c>
      <c r="B474" s="23" t="s">
        <v>165</v>
      </c>
      <c r="C474" s="23" t="s">
        <v>317</v>
      </c>
      <c r="D474" s="23">
        <v>164</v>
      </c>
    </row>
    <row r="475" spans="1:4" x14ac:dyDescent="0.25">
      <c r="A475" s="23" t="s">
        <v>319</v>
      </c>
      <c r="B475" s="23" t="s">
        <v>165</v>
      </c>
      <c r="C475" s="23" t="s">
        <v>307</v>
      </c>
      <c r="D475" s="23">
        <v>246</v>
      </c>
    </row>
    <row r="476" spans="1:4" x14ac:dyDescent="0.25">
      <c r="A476" s="23" t="s">
        <v>319</v>
      </c>
      <c r="B476" s="23" t="s">
        <v>79</v>
      </c>
      <c r="C476" s="23" t="s">
        <v>312</v>
      </c>
      <c r="D476" s="23">
        <v>6976</v>
      </c>
    </row>
    <row r="477" spans="1:4" x14ac:dyDescent="0.25">
      <c r="A477" s="23" t="s">
        <v>319</v>
      </c>
      <c r="B477" s="23" t="s">
        <v>79</v>
      </c>
      <c r="C477" s="23" t="s">
        <v>313</v>
      </c>
      <c r="D477" s="23">
        <v>1282</v>
      </c>
    </row>
    <row r="478" spans="1:4" x14ac:dyDescent="0.25">
      <c r="A478" s="23" t="s">
        <v>319</v>
      </c>
      <c r="B478" s="23" t="s">
        <v>79</v>
      </c>
      <c r="C478" s="23" t="s">
        <v>314</v>
      </c>
      <c r="D478" s="23">
        <v>9</v>
      </c>
    </row>
    <row r="479" spans="1:4" x14ac:dyDescent="0.25">
      <c r="A479" s="23" t="s">
        <v>319</v>
      </c>
      <c r="B479" s="23" t="s">
        <v>79</v>
      </c>
      <c r="C479" s="23" t="s">
        <v>317</v>
      </c>
      <c r="D479" s="23">
        <v>109</v>
      </c>
    </row>
    <row r="480" spans="1:4" x14ac:dyDescent="0.25">
      <c r="A480" s="23" t="s">
        <v>319</v>
      </c>
      <c r="B480" s="23" t="s">
        <v>79</v>
      </c>
      <c r="C480" s="23" t="s">
        <v>316</v>
      </c>
      <c r="D480" s="23">
        <v>0</v>
      </c>
    </row>
    <row r="481" spans="1:4" x14ac:dyDescent="0.25">
      <c r="A481" s="23" t="s">
        <v>319</v>
      </c>
      <c r="B481" s="23" t="s">
        <v>79</v>
      </c>
      <c r="C481" s="23" t="s">
        <v>318</v>
      </c>
      <c r="D481" s="23">
        <v>91</v>
      </c>
    </row>
    <row r="482" spans="1:4" x14ac:dyDescent="0.25">
      <c r="A482" s="23" t="s">
        <v>319</v>
      </c>
      <c r="B482" s="23" t="s">
        <v>79</v>
      </c>
      <c r="C482" s="23" t="s">
        <v>315</v>
      </c>
      <c r="D482" s="23">
        <v>0</v>
      </c>
    </row>
    <row r="483" spans="1:4" x14ac:dyDescent="0.25">
      <c r="A483" s="23" t="s">
        <v>319</v>
      </c>
      <c r="B483" s="23" t="s">
        <v>79</v>
      </c>
      <c r="C483" s="23" t="s">
        <v>308</v>
      </c>
      <c r="D483" s="23">
        <v>3</v>
      </c>
    </row>
    <row r="484" spans="1:4" x14ac:dyDescent="0.25">
      <c r="A484" s="23" t="s">
        <v>319</v>
      </c>
      <c r="B484" s="23" t="s">
        <v>79</v>
      </c>
      <c r="C484" s="23" t="s">
        <v>307</v>
      </c>
      <c r="D484" s="23">
        <v>117</v>
      </c>
    </row>
    <row r="485" spans="1:4" x14ac:dyDescent="0.25">
      <c r="A485" s="23" t="s">
        <v>319</v>
      </c>
      <c r="B485" s="23" t="s">
        <v>79</v>
      </c>
      <c r="C485" s="23" t="s">
        <v>309</v>
      </c>
      <c r="D485" s="23">
        <v>0</v>
      </c>
    </row>
    <row r="486" spans="1:4" x14ac:dyDescent="0.25">
      <c r="A486" s="23" t="s">
        <v>319</v>
      </c>
      <c r="B486" s="23" t="s">
        <v>79</v>
      </c>
      <c r="C486" s="23" t="s">
        <v>310</v>
      </c>
      <c r="D486" s="23">
        <v>96</v>
      </c>
    </row>
    <row r="487" spans="1:4" x14ac:dyDescent="0.25">
      <c r="A487" s="23" t="s">
        <v>319</v>
      </c>
      <c r="B487" s="23" t="s">
        <v>79</v>
      </c>
      <c r="C487" s="23" t="s">
        <v>311</v>
      </c>
      <c r="D487" s="23">
        <v>15</v>
      </c>
    </row>
    <row r="488" spans="1:4" x14ac:dyDescent="0.25">
      <c r="A488" s="23" t="s">
        <v>319</v>
      </c>
      <c r="B488" s="23" t="s">
        <v>149</v>
      </c>
      <c r="C488" s="23" t="s">
        <v>314</v>
      </c>
      <c r="D488" s="23">
        <v>1253</v>
      </c>
    </row>
    <row r="489" spans="1:4" x14ac:dyDescent="0.25">
      <c r="A489" s="23" t="s">
        <v>319</v>
      </c>
      <c r="B489" s="23" t="s">
        <v>149</v>
      </c>
      <c r="C489" s="23" t="s">
        <v>316</v>
      </c>
      <c r="D489" s="23">
        <v>1468</v>
      </c>
    </row>
    <row r="490" spans="1:4" x14ac:dyDescent="0.25">
      <c r="A490" s="23" t="s">
        <v>319</v>
      </c>
      <c r="B490" s="23" t="s">
        <v>149</v>
      </c>
      <c r="C490" s="23" t="s">
        <v>312</v>
      </c>
      <c r="D490" s="23">
        <v>17585</v>
      </c>
    </row>
    <row r="491" spans="1:4" x14ac:dyDescent="0.25">
      <c r="A491" s="23" t="s">
        <v>319</v>
      </c>
      <c r="B491" s="23" t="s">
        <v>165</v>
      </c>
      <c r="C491" s="23" t="s">
        <v>309</v>
      </c>
      <c r="D491" s="23">
        <v>81</v>
      </c>
    </row>
    <row r="492" spans="1:4" x14ac:dyDescent="0.25">
      <c r="A492" s="23" t="s">
        <v>319</v>
      </c>
      <c r="B492" s="23" t="s">
        <v>150</v>
      </c>
      <c r="C492" s="23" t="s">
        <v>309</v>
      </c>
      <c r="D492" s="23">
        <v>700</v>
      </c>
    </row>
    <row r="493" spans="1:4" x14ac:dyDescent="0.25">
      <c r="A493" s="23" t="s">
        <v>319</v>
      </c>
      <c r="B493" s="23" t="s">
        <v>167</v>
      </c>
      <c r="C493" s="23" t="s">
        <v>311</v>
      </c>
      <c r="D493" s="23">
        <v>276</v>
      </c>
    </row>
    <row r="494" spans="1:4" x14ac:dyDescent="0.25">
      <c r="A494" s="23" t="s">
        <v>319</v>
      </c>
      <c r="B494" s="23" t="s">
        <v>163</v>
      </c>
      <c r="C494" s="23" t="s">
        <v>308</v>
      </c>
      <c r="D494" s="23">
        <v>9</v>
      </c>
    </row>
    <row r="495" spans="1:4" x14ac:dyDescent="0.25">
      <c r="A495" s="23" t="s">
        <v>319</v>
      </c>
      <c r="B495" s="23" t="s">
        <v>150</v>
      </c>
      <c r="C495" s="23" t="s">
        <v>308</v>
      </c>
      <c r="D495" s="23">
        <v>1183</v>
      </c>
    </row>
    <row r="496" spans="1:4" x14ac:dyDescent="0.25">
      <c r="A496" s="23" t="s">
        <v>319</v>
      </c>
      <c r="B496" s="23" t="s">
        <v>80</v>
      </c>
      <c r="C496" s="23" t="s">
        <v>308</v>
      </c>
      <c r="D496" s="23">
        <v>1639</v>
      </c>
    </row>
    <row r="497" spans="1:4" x14ac:dyDescent="0.25">
      <c r="A497" s="23" t="s">
        <v>319</v>
      </c>
      <c r="B497" s="23" t="s">
        <v>149</v>
      </c>
      <c r="C497" s="23" t="s">
        <v>308</v>
      </c>
      <c r="D497" s="23">
        <v>6229</v>
      </c>
    </row>
    <row r="498" spans="1:4" x14ac:dyDescent="0.25">
      <c r="A498" s="23" t="s">
        <v>319</v>
      </c>
      <c r="B498" s="23" t="s">
        <v>149</v>
      </c>
      <c r="C498" s="23" t="s">
        <v>313</v>
      </c>
      <c r="D498" s="23">
        <v>3914</v>
      </c>
    </row>
    <row r="499" spans="1:4" x14ac:dyDescent="0.25">
      <c r="A499" s="23" t="s">
        <v>319</v>
      </c>
      <c r="B499" s="23" t="s">
        <v>149</v>
      </c>
      <c r="C499" s="23" t="s">
        <v>315</v>
      </c>
      <c r="D499" s="23">
        <v>3328</v>
      </c>
    </row>
    <row r="500" spans="1:4" x14ac:dyDescent="0.25">
      <c r="A500" s="23" t="s">
        <v>319</v>
      </c>
      <c r="B500" s="23" t="s">
        <v>149</v>
      </c>
      <c r="C500" s="23" t="s">
        <v>311</v>
      </c>
      <c r="D500" s="23">
        <v>244</v>
      </c>
    </row>
    <row r="501" spans="1:4" x14ac:dyDescent="0.25">
      <c r="A501" s="23" t="s">
        <v>319</v>
      </c>
      <c r="B501" s="23" t="s">
        <v>159</v>
      </c>
      <c r="C501" s="23" t="s">
        <v>312</v>
      </c>
      <c r="D501" s="23">
        <v>11515</v>
      </c>
    </row>
    <row r="502" spans="1:4" x14ac:dyDescent="0.25">
      <c r="A502" s="23" t="s">
        <v>319</v>
      </c>
      <c r="B502" s="23" t="s">
        <v>159</v>
      </c>
      <c r="C502" s="23" t="s">
        <v>313</v>
      </c>
      <c r="D502" s="23">
        <v>3514</v>
      </c>
    </row>
    <row r="503" spans="1:4" x14ac:dyDescent="0.25">
      <c r="A503" s="23" t="s">
        <v>319</v>
      </c>
      <c r="B503" s="23" t="s">
        <v>159</v>
      </c>
      <c r="C503" s="23" t="s">
        <v>314</v>
      </c>
      <c r="D503" s="23">
        <v>413</v>
      </c>
    </row>
    <row r="504" spans="1:4" x14ac:dyDescent="0.25">
      <c r="A504" s="23" t="s">
        <v>319</v>
      </c>
      <c r="B504" s="23" t="s">
        <v>159</v>
      </c>
      <c r="C504" s="23" t="s">
        <v>317</v>
      </c>
      <c r="D504" s="23">
        <v>73</v>
      </c>
    </row>
    <row r="505" spans="1:4" x14ac:dyDescent="0.25">
      <c r="A505" s="23" t="s">
        <v>319</v>
      </c>
      <c r="B505" s="23" t="s">
        <v>159</v>
      </c>
      <c r="C505" s="23" t="s">
        <v>316</v>
      </c>
      <c r="D505" s="23">
        <v>192</v>
      </c>
    </row>
    <row r="506" spans="1:4" x14ac:dyDescent="0.25">
      <c r="A506" s="23" t="s">
        <v>319</v>
      </c>
      <c r="B506" s="23" t="s">
        <v>159</v>
      </c>
      <c r="C506" s="23" t="s">
        <v>318</v>
      </c>
      <c r="D506" s="23">
        <v>88</v>
      </c>
    </row>
    <row r="507" spans="1:4" x14ac:dyDescent="0.25">
      <c r="A507" s="23" t="s">
        <v>319</v>
      </c>
      <c r="B507" s="23" t="s">
        <v>159</v>
      </c>
      <c r="C507" s="23" t="s">
        <v>315</v>
      </c>
      <c r="D507" s="23">
        <v>1374</v>
      </c>
    </row>
    <row r="508" spans="1:4" x14ac:dyDescent="0.25">
      <c r="A508" s="23" t="s">
        <v>319</v>
      </c>
      <c r="B508" s="23" t="s">
        <v>167</v>
      </c>
      <c r="C508" s="23" t="s">
        <v>315</v>
      </c>
      <c r="D508" s="23">
        <v>3663</v>
      </c>
    </row>
    <row r="509" spans="1:4" x14ac:dyDescent="0.25">
      <c r="A509" s="23" t="s">
        <v>319</v>
      </c>
      <c r="B509" s="23" t="s">
        <v>165</v>
      </c>
      <c r="C509" s="23" t="s">
        <v>315</v>
      </c>
      <c r="D509" s="23">
        <v>574</v>
      </c>
    </row>
    <row r="510" spans="1:4" x14ac:dyDescent="0.25">
      <c r="A510" s="23" t="s">
        <v>319</v>
      </c>
      <c r="B510" s="23" t="s">
        <v>165</v>
      </c>
      <c r="C510" s="23" t="s">
        <v>314</v>
      </c>
      <c r="D510" s="23">
        <v>140</v>
      </c>
    </row>
    <row r="511" spans="1:4" x14ac:dyDescent="0.25">
      <c r="A511" s="23" t="s">
        <v>319</v>
      </c>
      <c r="B511" s="23" t="s">
        <v>167</v>
      </c>
      <c r="C511" s="23" t="s">
        <v>313</v>
      </c>
      <c r="D511" s="23">
        <v>1105</v>
      </c>
    </row>
    <row r="512" spans="1:4" x14ac:dyDescent="0.25">
      <c r="A512" s="23" t="s">
        <v>319</v>
      </c>
      <c r="B512" s="23" t="s">
        <v>165</v>
      </c>
      <c r="C512" s="23" t="s">
        <v>313</v>
      </c>
      <c r="D512" s="23">
        <v>745</v>
      </c>
    </row>
    <row r="513" spans="1:4" x14ac:dyDescent="0.25">
      <c r="A513" s="23" t="s">
        <v>319</v>
      </c>
      <c r="B513" s="23" t="s">
        <v>167</v>
      </c>
      <c r="C513" s="23" t="s">
        <v>318</v>
      </c>
      <c r="D513" s="23">
        <v>733</v>
      </c>
    </row>
    <row r="514" spans="1:4" x14ac:dyDescent="0.25">
      <c r="A514" s="23" t="s">
        <v>319</v>
      </c>
      <c r="B514" s="23" t="s">
        <v>165</v>
      </c>
      <c r="C514" s="23" t="s">
        <v>318</v>
      </c>
      <c r="D514" s="23">
        <v>1186</v>
      </c>
    </row>
    <row r="515" spans="1:4" x14ac:dyDescent="0.25">
      <c r="A515" s="23" t="s">
        <v>319</v>
      </c>
      <c r="B515" s="23" t="s">
        <v>167</v>
      </c>
      <c r="C515" s="23" t="s">
        <v>308</v>
      </c>
      <c r="D515" s="23">
        <v>330</v>
      </c>
    </row>
    <row r="516" spans="1:4" x14ac:dyDescent="0.25">
      <c r="A516" s="23" t="s">
        <v>319</v>
      </c>
      <c r="B516" s="23" t="s">
        <v>165</v>
      </c>
      <c r="C516" s="23" t="s">
        <v>308</v>
      </c>
      <c r="D516" s="23">
        <v>195</v>
      </c>
    </row>
    <row r="517" spans="1:4" x14ac:dyDescent="0.25">
      <c r="A517" s="23" t="s">
        <v>319</v>
      </c>
      <c r="B517" s="23" t="s">
        <v>165</v>
      </c>
      <c r="C517" s="23" t="s">
        <v>316</v>
      </c>
      <c r="D517" s="23">
        <v>866</v>
      </c>
    </row>
    <row r="518" spans="1:4" x14ac:dyDescent="0.25">
      <c r="A518" s="23" t="s">
        <v>319</v>
      </c>
      <c r="B518" s="23" t="s">
        <v>167</v>
      </c>
      <c r="C518" s="23" t="s">
        <v>316</v>
      </c>
      <c r="D518" s="23">
        <v>1000</v>
      </c>
    </row>
    <row r="519" spans="1:4" x14ac:dyDescent="0.25">
      <c r="A519" s="23" t="s">
        <v>319</v>
      </c>
      <c r="B519" s="23" t="s">
        <v>76</v>
      </c>
      <c r="C519" s="23" t="s">
        <v>309</v>
      </c>
      <c r="D519" s="23">
        <v>0</v>
      </c>
    </row>
    <row r="520" spans="1:4" x14ac:dyDescent="0.25">
      <c r="A520" s="23" t="s">
        <v>319</v>
      </c>
      <c r="B520" s="23" t="s">
        <v>76</v>
      </c>
      <c r="C520" s="23" t="s">
        <v>307</v>
      </c>
      <c r="D520" s="23">
        <v>283</v>
      </c>
    </row>
    <row r="521" spans="1:4" x14ac:dyDescent="0.25">
      <c r="A521" s="23" t="s">
        <v>319</v>
      </c>
      <c r="B521" s="23" t="s">
        <v>166</v>
      </c>
      <c r="C521" s="23" t="s">
        <v>317</v>
      </c>
      <c r="D521" s="23">
        <v>28</v>
      </c>
    </row>
    <row r="522" spans="1:4" x14ac:dyDescent="0.25">
      <c r="A522" s="23" t="s">
        <v>319</v>
      </c>
      <c r="B522" s="23" t="s">
        <v>167</v>
      </c>
      <c r="C522" s="23" t="s">
        <v>317</v>
      </c>
      <c r="D522" s="23">
        <v>118</v>
      </c>
    </row>
    <row r="523" spans="1:4" x14ac:dyDescent="0.25">
      <c r="A523" s="23" t="s">
        <v>319</v>
      </c>
      <c r="B523" s="23" t="s">
        <v>169</v>
      </c>
      <c r="C523" s="23" t="s">
        <v>316</v>
      </c>
      <c r="D523" s="23">
        <v>224</v>
      </c>
    </row>
    <row r="524" spans="1:4" x14ac:dyDescent="0.25">
      <c r="A524" s="23" t="s">
        <v>319</v>
      </c>
      <c r="B524" s="23" t="s">
        <v>169</v>
      </c>
      <c r="C524" s="23" t="s">
        <v>313</v>
      </c>
      <c r="D524" s="23">
        <v>233</v>
      </c>
    </row>
    <row r="525" spans="1:4" x14ac:dyDescent="0.25">
      <c r="A525" s="23" t="s">
        <v>319</v>
      </c>
      <c r="B525" s="23" t="s">
        <v>169</v>
      </c>
      <c r="C525" s="23" t="s">
        <v>312</v>
      </c>
      <c r="D525" s="23">
        <v>6067</v>
      </c>
    </row>
    <row r="526" spans="1:4" x14ac:dyDescent="0.25">
      <c r="A526" s="23" t="s">
        <v>319</v>
      </c>
      <c r="B526" s="23" t="s">
        <v>167</v>
      </c>
      <c r="C526" s="23" t="s">
        <v>312</v>
      </c>
      <c r="D526" s="23">
        <v>5167</v>
      </c>
    </row>
    <row r="527" spans="1:4" x14ac:dyDescent="0.25">
      <c r="A527" s="23" t="s">
        <v>319</v>
      </c>
      <c r="B527" s="23" t="s">
        <v>169</v>
      </c>
      <c r="C527" s="23" t="s">
        <v>315</v>
      </c>
      <c r="D527" s="23">
        <v>0</v>
      </c>
    </row>
    <row r="528" spans="1:4" x14ac:dyDescent="0.25">
      <c r="A528" s="23" t="s">
        <v>319</v>
      </c>
      <c r="B528" s="23" t="s">
        <v>169</v>
      </c>
      <c r="C528" s="23" t="s">
        <v>310</v>
      </c>
      <c r="D528" s="23">
        <v>0</v>
      </c>
    </row>
    <row r="529" spans="1:4" x14ac:dyDescent="0.25">
      <c r="A529" s="23" t="s">
        <v>319</v>
      </c>
      <c r="B529" s="23" t="s">
        <v>169</v>
      </c>
      <c r="C529" s="23" t="s">
        <v>308</v>
      </c>
      <c r="D529" s="23">
        <v>0</v>
      </c>
    </row>
    <row r="530" spans="1:4" x14ac:dyDescent="0.25">
      <c r="A530" s="23" t="s">
        <v>319</v>
      </c>
      <c r="B530" s="23" t="s">
        <v>168</v>
      </c>
      <c r="C530" s="23" t="s">
        <v>312</v>
      </c>
      <c r="D530" s="23">
        <v>309</v>
      </c>
    </row>
    <row r="531" spans="1:4" x14ac:dyDescent="0.25">
      <c r="A531" s="23" t="s">
        <v>319</v>
      </c>
      <c r="B531" s="23" t="s">
        <v>168</v>
      </c>
      <c r="C531" s="23" t="s">
        <v>313</v>
      </c>
      <c r="D531" s="23">
        <v>30</v>
      </c>
    </row>
    <row r="532" spans="1:4" x14ac:dyDescent="0.25">
      <c r="A532" s="23" t="s">
        <v>319</v>
      </c>
      <c r="B532" s="23" t="s">
        <v>168</v>
      </c>
      <c r="C532" s="23" t="s">
        <v>317</v>
      </c>
      <c r="D532" s="23">
        <v>0</v>
      </c>
    </row>
    <row r="533" spans="1:4" x14ac:dyDescent="0.25">
      <c r="A533" s="23" t="s">
        <v>319</v>
      </c>
      <c r="B533" s="23" t="s">
        <v>168</v>
      </c>
      <c r="C533" s="23" t="s">
        <v>307</v>
      </c>
      <c r="D533" s="23">
        <v>9</v>
      </c>
    </row>
    <row r="534" spans="1:4" x14ac:dyDescent="0.25">
      <c r="A534" s="23" t="s">
        <v>319</v>
      </c>
      <c r="B534" s="23" t="s">
        <v>168</v>
      </c>
      <c r="C534" s="23" t="s">
        <v>318</v>
      </c>
      <c r="D534" s="23">
        <v>33</v>
      </c>
    </row>
    <row r="535" spans="1:4" x14ac:dyDescent="0.25">
      <c r="A535" s="23" t="s">
        <v>319</v>
      </c>
      <c r="B535" s="23" t="s">
        <v>168</v>
      </c>
      <c r="C535" s="23" t="s">
        <v>309</v>
      </c>
      <c r="D535" s="23">
        <v>4</v>
      </c>
    </row>
    <row r="536" spans="1:4" x14ac:dyDescent="0.25">
      <c r="A536" s="23" t="s">
        <v>319</v>
      </c>
      <c r="B536" s="23" t="s">
        <v>169</v>
      </c>
      <c r="C536" s="23" t="s">
        <v>307</v>
      </c>
      <c r="D536" s="23">
        <v>1231</v>
      </c>
    </row>
    <row r="537" spans="1:4" x14ac:dyDescent="0.25">
      <c r="A537" s="23" t="s">
        <v>319</v>
      </c>
      <c r="B537" s="23" t="s">
        <v>168</v>
      </c>
      <c r="C537" s="23" t="s">
        <v>310</v>
      </c>
      <c r="D537" s="23">
        <v>10</v>
      </c>
    </row>
    <row r="538" spans="1:4" x14ac:dyDescent="0.25">
      <c r="A538" s="23" t="s">
        <v>319</v>
      </c>
      <c r="B538" s="23" t="s">
        <v>168</v>
      </c>
      <c r="C538" s="23" t="s">
        <v>314</v>
      </c>
      <c r="D538" s="23">
        <v>4</v>
      </c>
    </row>
    <row r="539" spans="1:4" x14ac:dyDescent="0.25">
      <c r="A539" s="23" t="s">
        <v>319</v>
      </c>
      <c r="B539" s="23" t="s">
        <v>168</v>
      </c>
      <c r="C539" s="23" t="s">
        <v>316</v>
      </c>
      <c r="D539" s="23">
        <v>31</v>
      </c>
    </row>
    <row r="540" spans="1:4" x14ac:dyDescent="0.25">
      <c r="A540" s="23" t="s">
        <v>319</v>
      </c>
      <c r="B540" s="23" t="s">
        <v>168</v>
      </c>
      <c r="C540" s="23" t="s">
        <v>308</v>
      </c>
      <c r="D540" s="23">
        <v>22</v>
      </c>
    </row>
    <row r="541" spans="1:4" x14ac:dyDescent="0.25">
      <c r="A541" s="23" t="s">
        <v>319</v>
      </c>
      <c r="B541" s="23" t="s">
        <v>168</v>
      </c>
      <c r="C541" s="23" t="s">
        <v>315</v>
      </c>
      <c r="D541" s="23">
        <v>33</v>
      </c>
    </row>
    <row r="542" spans="1:4" x14ac:dyDescent="0.25">
      <c r="A542" s="23" t="s">
        <v>319</v>
      </c>
      <c r="B542" s="23" t="s">
        <v>168</v>
      </c>
      <c r="C542" s="23" t="s">
        <v>311</v>
      </c>
      <c r="D542" s="23">
        <v>6</v>
      </c>
    </row>
    <row r="543" spans="1:4" x14ac:dyDescent="0.25">
      <c r="A543" s="23" t="s">
        <v>319</v>
      </c>
      <c r="B543" s="23" t="s">
        <v>169</v>
      </c>
      <c r="C543" s="23" t="s">
        <v>311</v>
      </c>
      <c r="D543" s="23">
        <v>0</v>
      </c>
    </row>
    <row r="544" spans="1:4" x14ac:dyDescent="0.25">
      <c r="A544" s="23" t="s">
        <v>319</v>
      </c>
      <c r="B544" s="23" t="s">
        <v>169</v>
      </c>
      <c r="C544" s="23" t="s">
        <v>317</v>
      </c>
      <c r="D544" s="23">
        <v>209</v>
      </c>
    </row>
    <row r="545" spans="1:4" x14ac:dyDescent="0.25">
      <c r="A545" s="23" t="s">
        <v>319</v>
      </c>
      <c r="B545" s="23" t="s">
        <v>167</v>
      </c>
      <c r="C545" s="23" t="s">
        <v>309</v>
      </c>
      <c r="D545" s="23">
        <v>316</v>
      </c>
    </row>
    <row r="546" spans="1:4" x14ac:dyDescent="0.25">
      <c r="A546" s="23" t="s">
        <v>319</v>
      </c>
      <c r="B546" s="23" t="s">
        <v>166</v>
      </c>
      <c r="C546" s="23" t="s">
        <v>309</v>
      </c>
      <c r="D546" s="23">
        <v>168</v>
      </c>
    </row>
    <row r="547" spans="1:4" x14ac:dyDescent="0.25">
      <c r="A547" s="23" t="s">
        <v>319</v>
      </c>
      <c r="B547" s="23" t="s">
        <v>169</v>
      </c>
      <c r="C547" s="23" t="s">
        <v>309</v>
      </c>
      <c r="D547" s="23">
        <v>554</v>
      </c>
    </row>
    <row r="548" spans="1:4" x14ac:dyDescent="0.25">
      <c r="A548" s="23" t="s">
        <v>319</v>
      </c>
      <c r="B548" s="23" t="s">
        <v>167</v>
      </c>
      <c r="C548" s="23" t="s">
        <v>314</v>
      </c>
      <c r="D548" s="23">
        <v>462</v>
      </c>
    </row>
    <row r="549" spans="1:4" x14ac:dyDescent="0.25">
      <c r="A549" s="23" t="s">
        <v>319</v>
      </c>
      <c r="B549" s="23" t="s">
        <v>169</v>
      </c>
      <c r="C549" s="23" t="s">
        <v>314</v>
      </c>
      <c r="D549" s="23">
        <v>38</v>
      </c>
    </row>
    <row r="550" spans="1:4" x14ac:dyDescent="0.25">
      <c r="A550" s="23" t="s">
        <v>319</v>
      </c>
      <c r="B550" s="23" t="s">
        <v>169</v>
      </c>
      <c r="C550" s="23" t="s">
        <v>318</v>
      </c>
      <c r="D550" s="23">
        <v>0</v>
      </c>
    </row>
    <row r="551" spans="1:4" x14ac:dyDescent="0.25">
      <c r="A551" s="23" t="s">
        <v>319</v>
      </c>
      <c r="B551" s="23" t="s">
        <v>166</v>
      </c>
      <c r="C551" s="23" t="s">
        <v>316</v>
      </c>
      <c r="D551" s="23">
        <v>455</v>
      </c>
    </row>
    <row r="552" spans="1:4" x14ac:dyDescent="0.25">
      <c r="A552" s="23" t="s">
        <v>319</v>
      </c>
      <c r="B552" s="23" t="s">
        <v>166</v>
      </c>
      <c r="C552" s="23" t="s">
        <v>314</v>
      </c>
      <c r="D552" s="23">
        <v>0</v>
      </c>
    </row>
    <row r="553" spans="1:4" x14ac:dyDescent="0.25">
      <c r="A553" s="23" t="s">
        <v>319</v>
      </c>
      <c r="B553" s="23" t="s">
        <v>166</v>
      </c>
      <c r="C553" s="23" t="s">
        <v>308</v>
      </c>
      <c r="D553" s="23">
        <v>0</v>
      </c>
    </row>
    <row r="554" spans="1:4" x14ac:dyDescent="0.25">
      <c r="A554" s="23" t="s">
        <v>319</v>
      </c>
      <c r="B554" s="23" t="s">
        <v>166</v>
      </c>
      <c r="C554" s="23" t="s">
        <v>313</v>
      </c>
      <c r="D554" s="23">
        <v>1201</v>
      </c>
    </row>
    <row r="555" spans="1:4" x14ac:dyDescent="0.25">
      <c r="A555" s="23" t="s">
        <v>319</v>
      </c>
      <c r="B555" s="23" t="s">
        <v>76</v>
      </c>
      <c r="C555" s="23" t="s">
        <v>310</v>
      </c>
      <c r="D555" s="23">
        <v>30</v>
      </c>
    </row>
    <row r="556" spans="1:4" x14ac:dyDescent="0.25">
      <c r="A556" s="23" t="s">
        <v>319</v>
      </c>
      <c r="B556" s="23" t="s">
        <v>162</v>
      </c>
      <c r="C556" s="23" t="s">
        <v>307</v>
      </c>
      <c r="D556" s="23">
        <v>545</v>
      </c>
    </row>
    <row r="557" spans="1:4" x14ac:dyDescent="0.25">
      <c r="A557" s="23" t="s">
        <v>319</v>
      </c>
      <c r="B557" s="23" t="s">
        <v>170</v>
      </c>
      <c r="C557" s="23" t="s">
        <v>312</v>
      </c>
      <c r="D557" s="23">
        <v>1739</v>
      </c>
    </row>
    <row r="558" spans="1:4" x14ac:dyDescent="0.25">
      <c r="A558" s="23" t="s">
        <v>319</v>
      </c>
      <c r="B558" s="23" t="s">
        <v>170</v>
      </c>
      <c r="C558" s="23" t="s">
        <v>317</v>
      </c>
      <c r="D558" s="23">
        <v>0</v>
      </c>
    </row>
    <row r="559" spans="1:4" x14ac:dyDescent="0.25">
      <c r="A559" s="23" t="s">
        <v>319</v>
      </c>
      <c r="B559" s="23" t="s">
        <v>170</v>
      </c>
      <c r="C559" s="23" t="s">
        <v>316</v>
      </c>
      <c r="D559" s="23">
        <v>156</v>
      </c>
    </row>
    <row r="560" spans="1:4" x14ac:dyDescent="0.25">
      <c r="A560" s="23" t="s">
        <v>319</v>
      </c>
      <c r="B560" s="23" t="s">
        <v>170</v>
      </c>
      <c r="C560" s="23" t="s">
        <v>315</v>
      </c>
      <c r="D560" s="23">
        <v>0</v>
      </c>
    </row>
    <row r="561" spans="1:4" x14ac:dyDescent="0.25">
      <c r="A561" s="23" t="s">
        <v>319</v>
      </c>
      <c r="B561" s="23" t="s">
        <v>170</v>
      </c>
      <c r="C561" s="23" t="s">
        <v>314</v>
      </c>
      <c r="D561" s="23">
        <v>30</v>
      </c>
    </row>
    <row r="562" spans="1:4" x14ac:dyDescent="0.25">
      <c r="A562" s="23" t="s">
        <v>319</v>
      </c>
      <c r="B562" s="23" t="s">
        <v>170</v>
      </c>
      <c r="C562" s="23" t="s">
        <v>308</v>
      </c>
      <c r="D562" s="23">
        <v>15</v>
      </c>
    </row>
    <row r="563" spans="1:4" x14ac:dyDescent="0.25">
      <c r="A563" s="23" t="s">
        <v>319</v>
      </c>
      <c r="B563" s="23" t="s">
        <v>170</v>
      </c>
      <c r="C563" s="23" t="s">
        <v>313</v>
      </c>
      <c r="D563" s="23">
        <v>461</v>
      </c>
    </row>
    <row r="564" spans="1:4" x14ac:dyDescent="0.25">
      <c r="A564" s="23" t="s">
        <v>319</v>
      </c>
      <c r="B564" s="23" t="s">
        <v>170</v>
      </c>
      <c r="C564" s="23" t="s">
        <v>311</v>
      </c>
      <c r="D564" s="23">
        <v>0</v>
      </c>
    </row>
    <row r="565" spans="1:4" x14ac:dyDescent="0.25">
      <c r="A565" s="23" t="s">
        <v>319</v>
      </c>
      <c r="B565" s="23" t="s">
        <v>172</v>
      </c>
      <c r="C565" s="23" t="s">
        <v>313</v>
      </c>
      <c r="D565" s="23">
        <v>6841</v>
      </c>
    </row>
    <row r="566" spans="1:4" x14ac:dyDescent="0.25">
      <c r="A566" s="23" t="s">
        <v>319</v>
      </c>
      <c r="B566" s="23" t="s">
        <v>171</v>
      </c>
      <c r="C566" s="23" t="s">
        <v>313</v>
      </c>
      <c r="D566" s="23">
        <v>10949</v>
      </c>
    </row>
    <row r="567" spans="1:4" x14ac:dyDescent="0.25">
      <c r="A567" s="23" t="s">
        <v>319</v>
      </c>
      <c r="B567" s="23" t="s">
        <v>173</v>
      </c>
      <c r="C567" s="23" t="s">
        <v>313</v>
      </c>
      <c r="D567" s="23">
        <v>4763</v>
      </c>
    </row>
    <row r="568" spans="1:4" x14ac:dyDescent="0.25">
      <c r="A568" s="23" t="s">
        <v>319</v>
      </c>
      <c r="B568" s="23" t="s">
        <v>174</v>
      </c>
      <c r="C568" s="23" t="s">
        <v>313</v>
      </c>
      <c r="D568" s="23">
        <v>0</v>
      </c>
    </row>
    <row r="569" spans="1:4" x14ac:dyDescent="0.25">
      <c r="A569" s="23" t="s">
        <v>319</v>
      </c>
      <c r="B569" s="23" t="s">
        <v>175</v>
      </c>
      <c r="C569" s="23" t="s">
        <v>313</v>
      </c>
      <c r="D569" s="23">
        <v>49</v>
      </c>
    </row>
    <row r="570" spans="1:4" x14ac:dyDescent="0.25">
      <c r="A570" s="23" t="s">
        <v>319</v>
      </c>
      <c r="B570" s="23" t="s">
        <v>176</v>
      </c>
      <c r="C570" s="23" t="s">
        <v>313</v>
      </c>
      <c r="D570" s="23">
        <v>221</v>
      </c>
    </row>
    <row r="571" spans="1:4" x14ac:dyDescent="0.25">
      <c r="A571" s="23" t="s">
        <v>319</v>
      </c>
      <c r="B571" s="23" t="s">
        <v>177</v>
      </c>
      <c r="C571" s="23" t="s">
        <v>313</v>
      </c>
      <c r="D571" s="23">
        <v>41</v>
      </c>
    </row>
    <row r="572" spans="1:4" x14ac:dyDescent="0.25">
      <c r="A572" s="23" t="s">
        <v>319</v>
      </c>
      <c r="B572" s="23" t="s">
        <v>171</v>
      </c>
      <c r="C572" s="23" t="s">
        <v>317</v>
      </c>
      <c r="D572" s="23">
        <v>1350</v>
      </c>
    </row>
    <row r="573" spans="1:4" x14ac:dyDescent="0.25">
      <c r="A573" s="23" t="s">
        <v>319</v>
      </c>
      <c r="B573" s="23" t="s">
        <v>172</v>
      </c>
      <c r="C573" s="23" t="s">
        <v>317</v>
      </c>
      <c r="D573" s="23">
        <v>869</v>
      </c>
    </row>
    <row r="574" spans="1:4" x14ac:dyDescent="0.25">
      <c r="A574" s="23" t="s">
        <v>319</v>
      </c>
      <c r="B574" s="23" t="s">
        <v>173</v>
      </c>
      <c r="C574" s="23" t="s">
        <v>317</v>
      </c>
      <c r="D574" s="23">
        <v>552</v>
      </c>
    </row>
    <row r="575" spans="1:4" x14ac:dyDescent="0.25">
      <c r="A575" s="23" t="s">
        <v>319</v>
      </c>
      <c r="B575" s="23" t="s">
        <v>174</v>
      </c>
      <c r="C575" s="23" t="s">
        <v>317</v>
      </c>
      <c r="D575" s="23">
        <v>0</v>
      </c>
    </row>
    <row r="576" spans="1:4" x14ac:dyDescent="0.25">
      <c r="A576" s="23" t="s">
        <v>319</v>
      </c>
      <c r="B576" s="23" t="s">
        <v>175</v>
      </c>
      <c r="C576" s="23" t="s">
        <v>317</v>
      </c>
      <c r="D576" s="23">
        <v>11</v>
      </c>
    </row>
    <row r="577" spans="1:4" x14ac:dyDescent="0.25">
      <c r="A577" s="23" t="s">
        <v>319</v>
      </c>
      <c r="B577" s="23" t="s">
        <v>176</v>
      </c>
      <c r="C577" s="23" t="s">
        <v>317</v>
      </c>
      <c r="D577" s="23">
        <v>0</v>
      </c>
    </row>
    <row r="578" spans="1:4" x14ac:dyDescent="0.25">
      <c r="A578" s="23" t="s">
        <v>319</v>
      </c>
      <c r="B578" s="23" t="s">
        <v>177</v>
      </c>
      <c r="C578" s="23" t="s">
        <v>317</v>
      </c>
      <c r="D578" s="23">
        <v>0</v>
      </c>
    </row>
    <row r="579" spans="1:4" x14ac:dyDescent="0.25">
      <c r="A579" s="23" t="s">
        <v>319</v>
      </c>
      <c r="B579" s="23" t="s">
        <v>171</v>
      </c>
      <c r="C579" s="23" t="s">
        <v>316</v>
      </c>
      <c r="D579" s="23">
        <v>3186</v>
      </c>
    </row>
    <row r="580" spans="1:4" x14ac:dyDescent="0.25">
      <c r="A580" s="23" t="s">
        <v>319</v>
      </c>
      <c r="B580" s="23" t="s">
        <v>172</v>
      </c>
      <c r="C580" s="23" t="s">
        <v>316</v>
      </c>
      <c r="D580" s="23">
        <v>1438</v>
      </c>
    </row>
    <row r="581" spans="1:4" x14ac:dyDescent="0.25">
      <c r="A581" s="23" t="s">
        <v>319</v>
      </c>
      <c r="B581" s="23" t="s">
        <v>173</v>
      </c>
      <c r="C581" s="23" t="s">
        <v>316</v>
      </c>
      <c r="D581" s="23">
        <v>1015</v>
      </c>
    </row>
    <row r="582" spans="1:4" x14ac:dyDescent="0.25">
      <c r="A582" s="23" t="s">
        <v>319</v>
      </c>
      <c r="B582" s="23" t="s">
        <v>174</v>
      </c>
      <c r="C582" s="23" t="s">
        <v>316</v>
      </c>
      <c r="D582" s="23">
        <v>9</v>
      </c>
    </row>
    <row r="583" spans="1:4" x14ac:dyDescent="0.25">
      <c r="A583" s="23" t="s">
        <v>319</v>
      </c>
      <c r="B583" s="23" t="s">
        <v>175</v>
      </c>
      <c r="C583" s="23" t="s">
        <v>316</v>
      </c>
      <c r="D583" s="23">
        <v>0</v>
      </c>
    </row>
    <row r="584" spans="1:4" x14ac:dyDescent="0.25">
      <c r="A584" s="23" t="s">
        <v>319</v>
      </c>
      <c r="B584" s="23" t="s">
        <v>176</v>
      </c>
      <c r="C584" s="23" t="s">
        <v>316</v>
      </c>
      <c r="D584" s="23">
        <v>74</v>
      </c>
    </row>
    <row r="585" spans="1:4" x14ac:dyDescent="0.25">
      <c r="A585" s="23" t="s">
        <v>319</v>
      </c>
      <c r="B585" s="23" t="s">
        <v>177</v>
      </c>
      <c r="C585" s="23" t="s">
        <v>316</v>
      </c>
      <c r="D585" s="23">
        <v>0</v>
      </c>
    </row>
    <row r="586" spans="1:4" x14ac:dyDescent="0.25">
      <c r="A586" s="23" t="s">
        <v>319</v>
      </c>
      <c r="B586" s="23" t="s">
        <v>171</v>
      </c>
      <c r="C586" s="23" t="s">
        <v>315</v>
      </c>
      <c r="D586" s="23">
        <v>3712</v>
      </c>
    </row>
    <row r="587" spans="1:4" x14ac:dyDescent="0.25">
      <c r="A587" s="23" t="s">
        <v>319</v>
      </c>
      <c r="B587" s="23" t="s">
        <v>172</v>
      </c>
      <c r="C587" s="23" t="s">
        <v>315</v>
      </c>
      <c r="D587" s="23">
        <v>2333</v>
      </c>
    </row>
    <row r="588" spans="1:4" x14ac:dyDescent="0.25">
      <c r="A588" s="23" t="s">
        <v>319</v>
      </c>
      <c r="B588" s="23" t="s">
        <v>173</v>
      </c>
      <c r="C588" s="23" t="s">
        <v>315</v>
      </c>
      <c r="D588" s="23">
        <v>1548</v>
      </c>
    </row>
    <row r="589" spans="1:4" x14ac:dyDescent="0.25">
      <c r="A589" s="23" t="s">
        <v>319</v>
      </c>
      <c r="B589" s="23" t="s">
        <v>174</v>
      </c>
      <c r="C589" s="23" t="s">
        <v>315</v>
      </c>
      <c r="D589" s="23">
        <v>0</v>
      </c>
    </row>
    <row r="590" spans="1:4" x14ac:dyDescent="0.25">
      <c r="A590" s="23" t="s">
        <v>319</v>
      </c>
      <c r="B590" s="23" t="s">
        <v>175</v>
      </c>
      <c r="C590" s="23" t="s">
        <v>315</v>
      </c>
      <c r="D590" s="23">
        <v>0</v>
      </c>
    </row>
    <row r="591" spans="1:4" x14ac:dyDescent="0.25">
      <c r="A591" s="23" t="s">
        <v>319</v>
      </c>
      <c r="B591" s="23" t="s">
        <v>176</v>
      </c>
      <c r="C591" s="23" t="s">
        <v>315</v>
      </c>
      <c r="D591" s="23">
        <v>331</v>
      </c>
    </row>
    <row r="592" spans="1:4" x14ac:dyDescent="0.25">
      <c r="A592" s="23" t="s">
        <v>319</v>
      </c>
      <c r="B592" s="23" t="s">
        <v>177</v>
      </c>
      <c r="C592" s="23" t="s">
        <v>315</v>
      </c>
      <c r="D592" s="23">
        <v>0</v>
      </c>
    </row>
    <row r="593" spans="1:4" x14ac:dyDescent="0.25">
      <c r="A593" s="23" t="s">
        <v>319</v>
      </c>
      <c r="B593" s="23" t="s">
        <v>171</v>
      </c>
      <c r="C593" s="23" t="s">
        <v>310</v>
      </c>
      <c r="D593" s="23">
        <v>1267</v>
      </c>
    </row>
    <row r="594" spans="1:4" x14ac:dyDescent="0.25">
      <c r="A594" s="23" t="s">
        <v>319</v>
      </c>
      <c r="B594" s="23" t="s">
        <v>172</v>
      </c>
      <c r="C594" s="23" t="s">
        <v>310</v>
      </c>
      <c r="D594" s="23">
        <v>743</v>
      </c>
    </row>
    <row r="595" spans="1:4" x14ac:dyDescent="0.25">
      <c r="A595" s="23" t="s">
        <v>319</v>
      </c>
      <c r="B595" s="23" t="s">
        <v>173</v>
      </c>
      <c r="C595" s="23" t="s">
        <v>310</v>
      </c>
      <c r="D595" s="23">
        <v>626</v>
      </c>
    </row>
    <row r="596" spans="1:4" x14ac:dyDescent="0.25">
      <c r="A596" s="23" t="s">
        <v>319</v>
      </c>
      <c r="B596" s="23" t="s">
        <v>174</v>
      </c>
      <c r="C596" s="23" t="s">
        <v>310</v>
      </c>
      <c r="D596" s="23">
        <v>0</v>
      </c>
    </row>
    <row r="597" spans="1:4" x14ac:dyDescent="0.25">
      <c r="A597" s="23" t="s">
        <v>319</v>
      </c>
      <c r="B597" s="23" t="s">
        <v>175</v>
      </c>
      <c r="C597" s="23" t="s">
        <v>310</v>
      </c>
      <c r="D597" s="23">
        <v>0</v>
      </c>
    </row>
    <row r="598" spans="1:4" x14ac:dyDescent="0.25">
      <c r="A598" s="23" t="s">
        <v>319</v>
      </c>
      <c r="B598" s="23" t="s">
        <v>176</v>
      </c>
      <c r="C598" s="23" t="s">
        <v>310</v>
      </c>
      <c r="D598" s="23">
        <v>0</v>
      </c>
    </row>
    <row r="599" spans="1:4" x14ac:dyDescent="0.25">
      <c r="A599" s="23" t="s">
        <v>319</v>
      </c>
      <c r="B599" s="23" t="s">
        <v>177</v>
      </c>
      <c r="C599" s="23" t="s">
        <v>310</v>
      </c>
      <c r="D599" s="23">
        <v>0</v>
      </c>
    </row>
    <row r="600" spans="1:4" x14ac:dyDescent="0.25">
      <c r="A600" s="23" t="s">
        <v>319</v>
      </c>
      <c r="B600" s="23" t="s">
        <v>171</v>
      </c>
      <c r="C600" s="23" t="s">
        <v>307</v>
      </c>
      <c r="D600" s="23">
        <v>1486</v>
      </c>
    </row>
    <row r="601" spans="1:4" x14ac:dyDescent="0.25">
      <c r="A601" s="23" t="s">
        <v>319</v>
      </c>
      <c r="B601" s="23" t="s">
        <v>172</v>
      </c>
      <c r="C601" s="23" t="s">
        <v>307</v>
      </c>
      <c r="D601" s="23">
        <v>843</v>
      </c>
    </row>
    <row r="602" spans="1:4" x14ac:dyDescent="0.25">
      <c r="A602" s="23" t="s">
        <v>319</v>
      </c>
      <c r="B602" s="23" t="s">
        <v>173</v>
      </c>
      <c r="C602" s="23" t="s">
        <v>307</v>
      </c>
      <c r="D602" s="23">
        <v>384</v>
      </c>
    </row>
    <row r="603" spans="1:4" x14ac:dyDescent="0.25">
      <c r="A603" s="23" t="s">
        <v>319</v>
      </c>
      <c r="B603" s="23" t="s">
        <v>174</v>
      </c>
      <c r="C603" s="23" t="s">
        <v>307</v>
      </c>
      <c r="D603" s="23">
        <v>0</v>
      </c>
    </row>
    <row r="604" spans="1:4" x14ac:dyDescent="0.25">
      <c r="A604" s="23" t="s">
        <v>319</v>
      </c>
      <c r="B604" s="23" t="s">
        <v>175</v>
      </c>
      <c r="C604" s="23" t="s">
        <v>307</v>
      </c>
      <c r="D604" s="23">
        <v>46</v>
      </c>
    </row>
    <row r="605" spans="1:4" x14ac:dyDescent="0.25">
      <c r="A605" s="23" t="s">
        <v>319</v>
      </c>
      <c r="B605" s="23" t="s">
        <v>176</v>
      </c>
      <c r="C605" s="23" t="s">
        <v>307</v>
      </c>
      <c r="D605" s="23">
        <v>179</v>
      </c>
    </row>
    <row r="606" spans="1:4" x14ac:dyDescent="0.25">
      <c r="A606" s="23" t="s">
        <v>319</v>
      </c>
      <c r="B606" s="23" t="s">
        <v>177</v>
      </c>
      <c r="C606" s="23" t="s">
        <v>307</v>
      </c>
      <c r="D606" s="23">
        <v>0</v>
      </c>
    </row>
    <row r="607" spans="1:4" x14ac:dyDescent="0.25">
      <c r="A607" s="23" t="s">
        <v>319</v>
      </c>
      <c r="B607" s="23" t="s">
        <v>171</v>
      </c>
      <c r="C607" s="23" t="s">
        <v>314</v>
      </c>
      <c r="D607" s="23">
        <v>2201</v>
      </c>
    </row>
    <row r="608" spans="1:4" x14ac:dyDescent="0.25">
      <c r="A608" s="23" t="s">
        <v>319</v>
      </c>
      <c r="B608" s="23" t="s">
        <v>172</v>
      </c>
      <c r="C608" s="23" t="s">
        <v>314</v>
      </c>
      <c r="D608" s="23">
        <v>803</v>
      </c>
    </row>
    <row r="609" spans="1:4" x14ac:dyDescent="0.25">
      <c r="A609" s="23" t="s">
        <v>319</v>
      </c>
      <c r="B609" s="23" t="s">
        <v>173</v>
      </c>
      <c r="C609" s="23" t="s">
        <v>314</v>
      </c>
      <c r="D609" s="23">
        <v>654</v>
      </c>
    </row>
    <row r="610" spans="1:4" x14ac:dyDescent="0.25">
      <c r="A610" s="23" t="s">
        <v>319</v>
      </c>
      <c r="B610" s="23" t="s">
        <v>174</v>
      </c>
      <c r="C610" s="23" t="s">
        <v>314</v>
      </c>
      <c r="D610" s="23">
        <v>0</v>
      </c>
    </row>
    <row r="611" spans="1:4" x14ac:dyDescent="0.25">
      <c r="A611" s="23" t="s">
        <v>319</v>
      </c>
      <c r="B611" s="23" t="s">
        <v>175</v>
      </c>
      <c r="C611" s="23" t="s">
        <v>314</v>
      </c>
      <c r="D611" s="23">
        <v>14</v>
      </c>
    </row>
    <row r="612" spans="1:4" x14ac:dyDescent="0.25">
      <c r="A612" s="23" t="s">
        <v>319</v>
      </c>
      <c r="B612" s="23" t="s">
        <v>176</v>
      </c>
      <c r="C612" s="23" t="s">
        <v>314</v>
      </c>
      <c r="D612" s="23">
        <v>5</v>
      </c>
    </row>
    <row r="613" spans="1:4" x14ac:dyDescent="0.25">
      <c r="A613" s="23" t="s">
        <v>319</v>
      </c>
      <c r="B613" s="23" t="s">
        <v>177</v>
      </c>
      <c r="C613" s="23" t="s">
        <v>314</v>
      </c>
      <c r="D613" s="23">
        <v>13</v>
      </c>
    </row>
    <row r="614" spans="1:4" x14ac:dyDescent="0.25">
      <c r="A614" s="23" t="s">
        <v>319</v>
      </c>
      <c r="B614" s="23" t="s">
        <v>171</v>
      </c>
      <c r="C614" s="23" t="s">
        <v>318</v>
      </c>
      <c r="D614" s="23">
        <v>1724</v>
      </c>
    </row>
    <row r="615" spans="1:4" x14ac:dyDescent="0.25">
      <c r="A615" s="23" t="s">
        <v>319</v>
      </c>
      <c r="B615" s="23" t="s">
        <v>172</v>
      </c>
      <c r="C615" s="23" t="s">
        <v>318</v>
      </c>
      <c r="D615" s="23">
        <v>1114</v>
      </c>
    </row>
    <row r="616" spans="1:4" x14ac:dyDescent="0.25">
      <c r="A616" s="23" t="s">
        <v>319</v>
      </c>
      <c r="B616" s="23" t="s">
        <v>173</v>
      </c>
      <c r="C616" s="23" t="s">
        <v>318</v>
      </c>
      <c r="D616" s="23">
        <v>574</v>
      </c>
    </row>
    <row r="617" spans="1:4" x14ac:dyDescent="0.25">
      <c r="A617" s="23" t="s">
        <v>319</v>
      </c>
      <c r="B617" s="23" t="s">
        <v>174</v>
      </c>
      <c r="C617" s="23" t="s">
        <v>318</v>
      </c>
      <c r="D617" s="23">
        <v>0</v>
      </c>
    </row>
    <row r="618" spans="1:4" x14ac:dyDescent="0.25">
      <c r="A618" s="23" t="s">
        <v>319</v>
      </c>
      <c r="B618" s="23" t="s">
        <v>175</v>
      </c>
      <c r="C618" s="23" t="s">
        <v>318</v>
      </c>
      <c r="D618" s="23">
        <v>0</v>
      </c>
    </row>
    <row r="619" spans="1:4" x14ac:dyDescent="0.25">
      <c r="A619" s="23" t="s">
        <v>319</v>
      </c>
      <c r="B619" s="23" t="s">
        <v>176</v>
      </c>
      <c r="C619" s="23" t="s">
        <v>318</v>
      </c>
      <c r="D619" s="23">
        <v>0</v>
      </c>
    </row>
    <row r="620" spans="1:4" x14ac:dyDescent="0.25">
      <c r="A620" s="23" t="s">
        <v>319</v>
      </c>
      <c r="B620" s="23" t="s">
        <v>177</v>
      </c>
      <c r="C620" s="23" t="s">
        <v>318</v>
      </c>
      <c r="D620" s="23">
        <v>0</v>
      </c>
    </row>
    <row r="621" spans="1:4" x14ac:dyDescent="0.25">
      <c r="A621" s="23" t="s">
        <v>319</v>
      </c>
      <c r="B621" s="23" t="s">
        <v>171</v>
      </c>
      <c r="C621" s="23" t="s">
        <v>308</v>
      </c>
      <c r="D621" s="23">
        <v>1760</v>
      </c>
    </row>
    <row r="622" spans="1:4" x14ac:dyDescent="0.25">
      <c r="A622" s="23" t="s">
        <v>319</v>
      </c>
      <c r="B622" s="23" t="s">
        <v>172</v>
      </c>
      <c r="C622" s="23" t="s">
        <v>308</v>
      </c>
      <c r="D622" s="23">
        <v>552</v>
      </c>
    </row>
    <row r="623" spans="1:4" x14ac:dyDescent="0.25">
      <c r="A623" s="23" t="s">
        <v>319</v>
      </c>
      <c r="B623" s="23" t="s">
        <v>173</v>
      </c>
      <c r="C623" s="23" t="s">
        <v>308</v>
      </c>
      <c r="D623" s="23">
        <v>535</v>
      </c>
    </row>
    <row r="624" spans="1:4" x14ac:dyDescent="0.25">
      <c r="A624" s="23" t="s">
        <v>319</v>
      </c>
      <c r="B624" s="23" t="s">
        <v>174</v>
      </c>
      <c r="C624" s="23" t="s">
        <v>308</v>
      </c>
      <c r="D624" s="23">
        <v>0</v>
      </c>
    </row>
    <row r="625" spans="1:4" x14ac:dyDescent="0.25">
      <c r="A625" s="23" t="s">
        <v>319</v>
      </c>
      <c r="B625" s="23" t="s">
        <v>175</v>
      </c>
      <c r="C625" s="23" t="s">
        <v>308</v>
      </c>
      <c r="D625" s="23">
        <v>0</v>
      </c>
    </row>
    <row r="626" spans="1:4" x14ac:dyDescent="0.25">
      <c r="A626" s="23" t="s">
        <v>319</v>
      </c>
      <c r="B626" s="23" t="s">
        <v>176</v>
      </c>
      <c r="C626" s="23" t="s">
        <v>308</v>
      </c>
      <c r="D626" s="23">
        <v>0</v>
      </c>
    </row>
    <row r="627" spans="1:4" x14ac:dyDescent="0.25">
      <c r="A627" s="23" t="s">
        <v>319</v>
      </c>
      <c r="B627" s="23" t="s">
        <v>177</v>
      </c>
      <c r="C627" s="23" t="s">
        <v>308</v>
      </c>
      <c r="D627" s="23">
        <v>9</v>
      </c>
    </row>
    <row r="628" spans="1:4" x14ac:dyDescent="0.25">
      <c r="A628" s="23" t="s">
        <v>319</v>
      </c>
      <c r="B628" s="23" t="s">
        <v>171</v>
      </c>
      <c r="C628" s="23" t="s">
        <v>311</v>
      </c>
      <c r="D628" s="23">
        <v>981</v>
      </c>
    </row>
    <row r="629" spans="1:4" x14ac:dyDescent="0.25">
      <c r="A629" s="23" t="s">
        <v>319</v>
      </c>
      <c r="B629" s="23" t="s">
        <v>172</v>
      </c>
      <c r="C629" s="23" t="s">
        <v>311</v>
      </c>
      <c r="D629" s="23">
        <v>665</v>
      </c>
    </row>
    <row r="630" spans="1:4" x14ac:dyDescent="0.25">
      <c r="A630" s="23" t="s">
        <v>319</v>
      </c>
      <c r="B630" s="23" t="s">
        <v>173</v>
      </c>
      <c r="C630" s="23" t="s">
        <v>311</v>
      </c>
      <c r="D630" s="23">
        <v>435</v>
      </c>
    </row>
    <row r="631" spans="1:4" x14ac:dyDescent="0.25">
      <c r="A631" s="23" t="s">
        <v>319</v>
      </c>
      <c r="B631" s="23" t="s">
        <v>174</v>
      </c>
      <c r="C631" s="23" t="s">
        <v>311</v>
      </c>
      <c r="D631" s="23">
        <v>0</v>
      </c>
    </row>
    <row r="632" spans="1:4" x14ac:dyDescent="0.25">
      <c r="A632" s="23" t="s">
        <v>319</v>
      </c>
      <c r="B632" s="23" t="s">
        <v>175</v>
      </c>
      <c r="C632" s="23" t="s">
        <v>311</v>
      </c>
      <c r="D632" s="23">
        <v>3</v>
      </c>
    </row>
    <row r="633" spans="1:4" x14ac:dyDescent="0.25">
      <c r="A633" s="23" t="s">
        <v>319</v>
      </c>
      <c r="B633" s="23" t="s">
        <v>176</v>
      </c>
      <c r="C633" s="23" t="s">
        <v>311</v>
      </c>
      <c r="D633" s="23">
        <v>0</v>
      </c>
    </row>
    <row r="634" spans="1:4" x14ac:dyDescent="0.25">
      <c r="A634" s="23" t="s">
        <v>319</v>
      </c>
      <c r="B634" s="23" t="s">
        <v>177</v>
      </c>
      <c r="C634" s="23" t="s">
        <v>311</v>
      </c>
      <c r="D634" s="23">
        <v>0</v>
      </c>
    </row>
    <row r="635" spans="1:4" x14ac:dyDescent="0.25">
      <c r="A635" s="23" t="s">
        <v>319</v>
      </c>
      <c r="B635" s="23" t="s">
        <v>171</v>
      </c>
      <c r="C635" s="23" t="s">
        <v>309</v>
      </c>
      <c r="D635" s="23">
        <v>468</v>
      </c>
    </row>
    <row r="636" spans="1:4" x14ac:dyDescent="0.25">
      <c r="A636" s="23" t="s">
        <v>319</v>
      </c>
      <c r="B636" s="23" t="s">
        <v>172</v>
      </c>
      <c r="C636" s="23" t="s">
        <v>309</v>
      </c>
      <c r="D636" s="23">
        <v>288</v>
      </c>
    </row>
    <row r="637" spans="1:4" x14ac:dyDescent="0.25">
      <c r="A637" s="23" t="s">
        <v>319</v>
      </c>
      <c r="B637" s="23" t="s">
        <v>173</v>
      </c>
      <c r="C637" s="23" t="s">
        <v>309</v>
      </c>
      <c r="D637" s="23">
        <v>228</v>
      </c>
    </row>
    <row r="638" spans="1:4" x14ac:dyDescent="0.25">
      <c r="A638" s="23" t="s">
        <v>319</v>
      </c>
      <c r="B638" s="23" t="s">
        <v>174</v>
      </c>
      <c r="C638" s="23" t="s">
        <v>309</v>
      </c>
      <c r="D638" s="23">
        <v>22</v>
      </c>
    </row>
    <row r="639" spans="1:4" x14ac:dyDescent="0.25">
      <c r="A639" s="23" t="s">
        <v>319</v>
      </c>
      <c r="B639" s="23" t="s">
        <v>175</v>
      </c>
      <c r="C639" s="23" t="s">
        <v>309</v>
      </c>
      <c r="D639" s="23">
        <v>0</v>
      </c>
    </row>
    <row r="640" spans="1:4" x14ac:dyDescent="0.25">
      <c r="A640" s="23" t="s">
        <v>319</v>
      </c>
      <c r="B640" s="23" t="s">
        <v>176</v>
      </c>
      <c r="C640" s="23" t="s">
        <v>309</v>
      </c>
      <c r="D640" s="23">
        <v>0</v>
      </c>
    </row>
    <row r="641" spans="1:4" x14ac:dyDescent="0.25">
      <c r="A641" s="23" t="s">
        <v>319</v>
      </c>
      <c r="B641" s="23" t="s">
        <v>177</v>
      </c>
      <c r="C641" s="23" t="s">
        <v>309</v>
      </c>
      <c r="D641" s="23">
        <v>0</v>
      </c>
    </row>
    <row r="642" spans="1:4" x14ac:dyDescent="0.25">
      <c r="A642" s="23" t="s">
        <v>319</v>
      </c>
      <c r="B642" s="23" t="s">
        <v>171</v>
      </c>
      <c r="C642" s="23" t="s">
        <v>312</v>
      </c>
      <c r="D642" s="23">
        <v>33840</v>
      </c>
    </row>
    <row r="643" spans="1:4" x14ac:dyDescent="0.25">
      <c r="A643" s="23" t="s">
        <v>319</v>
      </c>
      <c r="B643" s="23" t="s">
        <v>172</v>
      </c>
      <c r="C643" s="23" t="s">
        <v>312</v>
      </c>
      <c r="D643" s="23">
        <v>19957</v>
      </c>
    </row>
    <row r="644" spans="1:4" x14ac:dyDescent="0.25">
      <c r="A644" s="23" t="s">
        <v>319</v>
      </c>
      <c r="B644" s="23" t="s">
        <v>173</v>
      </c>
      <c r="C644" s="23" t="s">
        <v>312</v>
      </c>
      <c r="D644" s="23">
        <v>13931</v>
      </c>
    </row>
    <row r="645" spans="1:4" x14ac:dyDescent="0.25">
      <c r="A645" s="23" t="s">
        <v>319</v>
      </c>
      <c r="B645" s="23" t="s">
        <v>174</v>
      </c>
      <c r="C645" s="23" t="s">
        <v>312</v>
      </c>
      <c r="D645" s="23">
        <v>55</v>
      </c>
    </row>
    <row r="646" spans="1:4" x14ac:dyDescent="0.25">
      <c r="A646" s="23" t="s">
        <v>319</v>
      </c>
      <c r="B646" s="23" t="s">
        <v>175</v>
      </c>
      <c r="C646" s="23" t="s">
        <v>312</v>
      </c>
      <c r="D646" s="23">
        <v>25</v>
      </c>
    </row>
    <row r="647" spans="1:4" x14ac:dyDescent="0.25">
      <c r="A647" s="23" t="s">
        <v>319</v>
      </c>
      <c r="B647" s="23" t="s">
        <v>176</v>
      </c>
      <c r="C647" s="23" t="s">
        <v>312</v>
      </c>
      <c r="D647" s="23">
        <v>188</v>
      </c>
    </row>
    <row r="648" spans="1:4" x14ac:dyDescent="0.25">
      <c r="A648" s="23" t="s">
        <v>319</v>
      </c>
      <c r="B648" s="23" t="s">
        <v>177</v>
      </c>
      <c r="C648" s="23" t="s">
        <v>312</v>
      </c>
      <c r="D648" s="23">
        <v>149</v>
      </c>
    </row>
    <row r="649" spans="1:4" x14ac:dyDescent="0.25">
      <c r="A649" s="23" t="s">
        <v>319</v>
      </c>
      <c r="B649" s="23" t="s">
        <v>178</v>
      </c>
      <c r="C649" s="23" t="s">
        <v>312</v>
      </c>
      <c r="D649" s="23">
        <v>15327</v>
      </c>
    </row>
    <row r="650" spans="1:4" x14ac:dyDescent="0.25">
      <c r="A650" s="23" t="s">
        <v>319</v>
      </c>
      <c r="B650" s="23" t="s">
        <v>178</v>
      </c>
      <c r="C650" s="23" t="s">
        <v>313</v>
      </c>
      <c r="D650" s="23">
        <v>4721</v>
      </c>
    </row>
    <row r="651" spans="1:4" x14ac:dyDescent="0.25">
      <c r="A651" s="23" t="s">
        <v>319</v>
      </c>
      <c r="B651" s="23" t="s">
        <v>178</v>
      </c>
      <c r="C651" s="23" t="s">
        <v>317</v>
      </c>
      <c r="D651" s="23">
        <v>0</v>
      </c>
    </row>
    <row r="652" spans="1:4" x14ac:dyDescent="0.25">
      <c r="A652" s="23" t="s">
        <v>319</v>
      </c>
      <c r="B652" s="23" t="s">
        <v>178</v>
      </c>
      <c r="C652" s="23" t="s">
        <v>316</v>
      </c>
      <c r="D652" s="23">
        <v>956</v>
      </c>
    </row>
    <row r="653" spans="1:4" x14ac:dyDescent="0.25">
      <c r="A653" s="23" t="s">
        <v>319</v>
      </c>
      <c r="B653" s="23" t="s">
        <v>178</v>
      </c>
      <c r="C653" s="23" t="s">
        <v>315</v>
      </c>
      <c r="D653" s="23">
        <v>123</v>
      </c>
    </row>
    <row r="654" spans="1:4" x14ac:dyDescent="0.25">
      <c r="A654" s="23" t="s">
        <v>319</v>
      </c>
      <c r="B654" s="23" t="s">
        <v>178</v>
      </c>
      <c r="C654" s="23" t="s">
        <v>310</v>
      </c>
      <c r="D654" s="23">
        <v>309</v>
      </c>
    </row>
    <row r="655" spans="1:4" x14ac:dyDescent="0.25">
      <c r="A655" s="23" t="s">
        <v>319</v>
      </c>
      <c r="B655" s="23" t="s">
        <v>178</v>
      </c>
      <c r="C655" s="23" t="s">
        <v>314</v>
      </c>
      <c r="D655" s="23">
        <v>280</v>
      </c>
    </row>
    <row r="656" spans="1:4" x14ac:dyDescent="0.25">
      <c r="A656" s="23" t="s">
        <v>319</v>
      </c>
      <c r="B656" s="23" t="s">
        <v>178</v>
      </c>
      <c r="C656" s="23" t="s">
        <v>318</v>
      </c>
      <c r="D656" s="23">
        <v>294</v>
      </c>
    </row>
    <row r="657" spans="1:4" x14ac:dyDescent="0.25">
      <c r="A657" s="23" t="s">
        <v>319</v>
      </c>
      <c r="B657" s="23" t="s">
        <v>178</v>
      </c>
      <c r="C657" s="23" t="s">
        <v>308</v>
      </c>
      <c r="D657" s="23">
        <v>47</v>
      </c>
    </row>
    <row r="658" spans="1:4" x14ac:dyDescent="0.25">
      <c r="A658" s="23" t="s">
        <v>319</v>
      </c>
      <c r="B658" s="23" t="s">
        <v>178</v>
      </c>
      <c r="C658" s="23" t="s">
        <v>311</v>
      </c>
      <c r="D658" s="23">
        <v>0</v>
      </c>
    </row>
    <row r="659" spans="1:4" x14ac:dyDescent="0.25">
      <c r="A659" s="23" t="s">
        <v>319</v>
      </c>
      <c r="B659" s="23" t="s">
        <v>178</v>
      </c>
      <c r="C659" s="23" t="s">
        <v>309</v>
      </c>
      <c r="D659" s="23">
        <v>199</v>
      </c>
    </row>
    <row r="660" spans="1:4" x14ac:dyDescent="0.25">
      <c r="A660" s="23" t="s">
        <v>320</v>
      </c>
      <c r="B660" s="23" t="s">
        <v>159</v>
      </c>
      <c r="C660" s="23" t="s">
        <v>308</v>
      </c>
      <c r="D660" s="23">
        <v>10</v>
      </c>
    </row>
    <row r="661" spans="1:4" x14ac:dyDescent="0.25">
      <c r="A661" s="23" t="s">
        <v>320</v>
      </c>
      <c r="B661" s="23" t="s">
        <v>159</v>
      </c>
      <c r="C661" s="23" t="s">
        <v>309</v>
      </c>
      <c r="D661" s="23">
        <v>10</v>
      </c>
    </row>
    <row r="662" spans="1:4" x14ac:dyDescent="0.25">
      <c r="A662" s="23" t="s">
        <v>320</v>
      </c>
      <c r="B662" s="23" t="s">
        <v>159</v>
      </c>
      <c r="C662" s="23" t="s">
        <v>310</v>
      </c>
      <c r="D662" s="23">
        <v>84</v>
      </c>
    </row>
    <row r="663" spans="1:4" x14ac:dyDescent="0.25">
      <c r="A663" s="23" t="s">
        <v>320</v>
      </c>
      <c r="B663" s="23" t="s">
        <v>159</v>
      </c>
      <c r="C663" s="23" t="s">
        <v>311</v>
      </c>
      <c r="D663" s="23">
        <v>0</v>
      </c>
    </row>
    <row r="664" spans="1:4" x14ac:dyDescent="0.25">
      <c r="A664" s="23" t="s">
        <v>320</v>
      </c>
      <c r="B664" s="23" t="s">
        <v>76</v>
      </c>
      <c r="C664" s="23" t="s">
        <v>317</v>
      </c>
      <c r="D664" s="23">
        <v>85</v>
      </c>
    </row>
    <row r="665" spans="1:4" x14ac:dyDescent="0.25">
      <c r="A665" s="23" t="s">
        <v>320</v>
      </c>
      <c r="B665" s="23" t="s">
        <v>76</v>
      </c>
      <c r="C665" s="23" t="s">
        <v>308</v>
      </c>
      <c r="D665" s="23">
        <v>121</v>
      </c>
    </row>
    <row r="666" spans="1:4" x14ac:dyDescent="0.25">
      <c r="A666" s="23" t="s">
        <v>320</v>
      </c>
      <c r="B666" s="23" t="s">
        <v>76</v>
      </c>
      <c r="C666" s="23" t="s">
        <v>311</v>
      </c>
      <c r="D666" s="23">
        <v>5</v>
      </c>
    </row>
    <row r="667" spans="1:4" x14ac:dyDescent="0.25">
      <c r="A667" s="23" t="s">
        <v>320</v>
      </c>
      <c r="B667" s="23" t="s">
        <v>149</v>
      </c>
      <c r="C667" s="23" t="s">
        <v>310</v>
      </c>
      <c r="D667" s="23">
        <v>0</v>
      </c>
    </row>
    <row r="668" spans="1:4" x14ac:dyDescent="0.25">
      <c r="A668" s="23" t="s">
        <v>320</v>
      </c>
      <c r="B668" s="23" t="s">
        <v>149</v>
      </c>
      <c r="C668" s="23" t="s">
        <v>307</v>
      </c>
      <c r="D668" s="23">
        <v>0</v>
      </c>
    </row>
    <row r="669" spans="1:4" x14ac:dyDescent="0.25">
      <c r="A669" s="23" t="s">
        <v>320</v>
      </c>
      <c r="B669" s="23" t="s">
        <v>149</v>
      </c>
      <c r="C669" s="23" t="s">
        <v>318</v>
      </c>
      <c r="D669" s="23">
        <v>0</v>
      </c>
    </row>
    <row r="670" spans="1:4" x14ac:dyDescent="0.25">
      <c r="A670" s="23" t="s">
        <v>320</v>
      </c>
      <c r="B670" s="23" t="s">
        <v>162</v>
      </c>
      <c r="C670" s="23" t="s">
        <v>318</v>
      </c>
      <c r="D670" s="23">
        <v>76</v>
      </c>
    </row>
    <row r="671" spans="1:4" x14ac:dyDescent="0.25">
      <c r="A671" s="23" t="s">
        <v>320</v>
      </c>
      <c r="B671" s="23" t="s">
        <v>76</v>
      </c>
      <c r="C671" s="23" t="s">
        <v>318</v>
      </c>
      <c r="D671" s="23">
        <v>0</v>
      </c>
    </row>
    <row r="672" spans="1:4" x14ac:dyDescent="0.25">
      <c r="A672" s="23" t="s">
        <v>320</v>
      </c>
      <c r="B672" s="23" t="s">
        <v>152</v>
      </c>
      <c r="C672" s="23" t="s">
        <v>314</v>
      </c>
      <c r="D672" s="23">
        <v>161</v>
      </c>
    </row>
    <row r="673" spans="1:4" x14ac:dyDescent="0.25">
      <c r="A673" s="23" t="s">
        <v>320</v>
      </c>
      <c r="B673" s="23" t="s">
        <v>78</v>
      </c>
      <c r="C673" s="23" t="s">
        <v>314</v>
      </c>
      <c r="D673" s="23">
        <v>48</v>
      </c>
    </row>
    <row r="674" spans="1:4" x14ac:dyDescent="0.25">
      <c r="A674" s="23" t="s">
        <v>320</v>
      </c>
      <c r="B674" s="23" t="s">
        <v>162</v>
      </c>
      <c r="C674" s="23" t="s">
        <v>314</v>
      </c>
      <c r="D674" s="23">
        <v>122</v>
      </c>
    </row>
    <row r="675" spans="1:4" x14ac:dyDescent="0.25">
      <c r="A675" s="23" t="s">
        <v>320</v>
      </c>
      <c r="B675" s="23" t="s">
        <v>155</v>
      </c>
      <c r="C675" s="23" t="s">
        <v>314</v>
      </c>
      <c r="D675" s="23">
        <v>309</v>
      </c>
    </row>
    <row r="676" spans="1:4" x14ac:dyDescent="0.25">
      <c r="A676" s="23" t="s">
        <v>320</v>
      </c>
      <c r="B676" s="23" t="s">
        <v>84</v>
      </c>
      <c r="C676" s="23" t="s">
        <v>318</v>
      </c>
      <c r="D676" s="23">
        <v>380</v>
      </c>
    </row>
    <row r="677" spans="1:4" x14ac:dyDescent="0.25">
      <c r="A677" s="23" t="s">
        <v>320</v>
      </c>
      <c r="B677" s="23" t="s">
        <v>151</v>
      </c>
      <c r="C677" s="23" t="s">
        <v>318</v>
      </c>
      <c r="D677" s="23">
        <v>21</v>
      </c>
    </row>
    <row r="678" spans="1:4" x14ac:dyDescent="0.25">
      <c r="A678" s="23" t="s">
        <v>320</v>
      </c>
      <c r="B678" s="23" t="s">
        <v>152</v>
      </c>
      <c r="C678" s="23" t="s">
        <v>318</v>
      </c>
      <c r="D678" s="23">
        <v>40</v>
      </c>
    </row>
    <row r="679" spans="1:4" x14ac:dyDescent="0.25">
      <c r="A679" s="23" t="s">
        <v>320</v>
      </c>
      <c r="B679" s="23" t="s">
        <v>78</v>
      </c>
      <c r="C679" s="23" t="s">
        <v>318</v>
      </c>
      <c r="D679" s="23">
        <v>0</v>
      </c>
    </row>
    <row r="680" spans="1:4" x14ac:dyDescent="0.25">
      <c r="A680" s="23" t="s">
        <v>320</v>
      </c>
      <c r="B680" s="23" t="s">
        <v>155</v>
      </c>
      <c r="C680" s="23" t="s">
        <v>318</v>
      </c>
      <c r="D680" s="23">
        <v>458</v>
      </c>
    </row>
    <row r="681" spans="1:4" x14ac:dyDescent="0.25">
      <c r="A681" s="23" t="s">
        <v>320</v>
      </c>
      <c r="B681" s="23" t="s">
        <v>157</v>
      </c>
      <c r="C681" s="23" t="s">
        <v>318</v>
      </c>
      <c r="D681" s="23">
        <v>0</v>
      </c>
    </row>
    <row r="682" spans="1:4" x14ac:dyDescent="0.25">
      <c r="A682" s="23" t="s">
        <v>320</v>
      </c>
      <c r="B682" s="23" t="s">
        <v>84</v>
      </c>
      <c r="C682" s="23" t="s">
        <v>308</v>
      </c>
      <c r="D682" s="23">
        <v>144</v>
      </c>
    </row>
    <row r="683" spans="1:4" x14ac:dyDescent="0.25">
      <c r="A683" s="23" t="s">
        <v>320</v>
      </c>
      <c r="B683" s="23" t="s">
        <v>83</v>
      </c>
      <c r="C683" s="23" t="s">
        <v>308</v>
      </c>
      <c r="D683" s="23">
        <v>60</v>
      </c>
    </row>
    <row r="684" spans="1:4" x14ac:dyDescent="0.25">
      <c r="A684" s="23" t="s">
        <v>320</v>
      </c>
      <c r="B684" s="23" t="s">
        <v>151</v>
      </c>
      <c r="C684" s="23" t="s">
        <v>308</v>
      </c>
      <c r="D684" s="23">
        <v>5</v>
      </c>
    </row>
    <row r="685" spans="1:4" x14ac:dyDescent="0.25">
      <c r="A685" s="23" t="s">
        <v>320</v>
      </c>
      <c r="B685" s="23" t="s">
        <v>82</v>
      </c>
      <c r="C685" s="23" t="s">
        <v>308</v>
      </c>
      <c r="D685" s="23">
        <v>0</v>
      </c>
    </row>
    <row r="686" spans="1:4" x14ac:dyDescent="0.25">
      <c r="A686" s="23" t="s">
        <v>320</v>
      </c>
      <c r="B686" s="23" t="s">
        <v>152</v>
      </c>
      <c r="C686" s="23" t="s">
        <v>308</v>
      </c>
      <c r="D686" s="23">
        <v>427</v>
      </c>
    </row>
    <row r="687" spans="1:4" x14ac:dyDescent="0.25">
      <c r="A687" s="23" t="s">
        <v>320</v>
      </c>
      <c r="B687" s="23" t="s">
        <v>153</v>
      </c>
      <c r="C687" s="23" t="s">
        <v>308</v>
      </c>
      <c r="D687" s="23">
        <v>181</v>
      </c>
    </row>
    <row r="688" spans="1:4" x14ac:dyDescent="0.25">
      <c r="A688" s="23" t="s">
        <v>320</v>
      </c>
      <c r="B688" s="23" t="s">
        <v>81</v>
      </c>
      <c r="C688" s="23" t="s">
        <v>308</v>
      </c>
      <c r="D688" s="23">
        <v>0</v>
      </c>
    </row>
    <row r="689" spans="1:4" x14ac:dyDescent="0.25">
      <c r="A689" s="23" t="s">
        <v>320</v>
      </c>
      <c r="B689" s="23" t="s">
        <v>77</v>
      </c>
      <c r="C689" s="23" t="s">
        <v>308</v>
      </c>
      <c r="D689" s="23">
        <v>0</v>
      </c>
    </row>
    <row r="690" spans="1:4" x14ac:dyDescent="0.25">
      <c r="A690" s="23" t="s">
        <v>320</v>
      </c>
      <c r="B690" s="23" t="s">
        <v>78</v>
      </c>
      <c r="C690" s="23" t="s">
        <v>308</v>
      </c>
      <c r="D690" s="23">
        <v>321</v>
      </c>
    </row>
    <row r="691" spans="1:4" x14ac:dyDescent="0.25">
      <c r="A691" s="23" t="s">
        <v>320</v>
      </c>
      <c r="B691" s="23" t="s">
        <v>154</v>
      </c>
      <c r="C691" s="23" t="s">
        <v>308</v>
      </c>
      <c r="D691" s="23">
        <v>24</v>
      </c>
    </row>
    <row r="692" spans="1:4" x14ac:dyDescent="0.25">
      <c r="A692" s="23" t="s">
        <v>320</v>
      </c>
      <c r="B692" s="23" t="s">
        <v>162</v>
      </c>
      <c r="C692" s="23" t="s">
        <v>308</v>
      </c>
      <c r="D692" s="23">
        <v>447</v>
      </c>
    </row>
    <row r="693" spans="1:4" x14ac:dyDescent="0.25">
      <c r="A693" s="23" t="s">
        <v>320</v>
      </c>
      <c r="B693" s="23" t="s">
        <v>157</v>
      </c>
      <c r="C693" s="23" t="s">
        <v>308</v>
      </c>
      <c r="D693" s="23">
        <v>0</v>
      </c>
    </row>
    <row r="694" spans="1:4" x14ac:dyDescent="0.25">
      <c r="A694" s="23" t="s">
        <v>320</v>
      </c>
      <c r="B694" s="23" t="s">
        <v>84</v>
      </c>
      <c r="C694" s="23" t="s">
        <v>313</v>
      </c>
      <c r="D694" s="23">
        <v>18</v>
      </c>
    </row>
    <row r="695" spans="1:4" x14ac:dyDescent="0.25">
      <c r="A695" s="23" t="s">
        <v>320</v>
      </c>
      <c r="B695" s="23" t="s">
        <v>83</v>
      </c>
      <c r="C695" s="23" t="s">
        <v>313</v>
      </c>
      <c r="D695" s="23">
        <v>34</v>
      </c>
    </row>
    <row r="696" spans="1:4" x14ac:dyDescent="0.25">
      <c r="A696" s="23" t="s">
        <v>320</v>
      </c>
      <c r="B696" s="23" t="s">
        <v>82</v>
      </c>
      <c r="C696" s="23" t="s">
        <v>313</v>
      </c>
      <c r="D696" s="23">
        <v>94</v>
      </c>
    </row>
    <row r="697" spans="1:4" x14ac:dyDescent="0.25">
      <c r="A697" s="23" t="s">
        <v>320</v>
      </c>
      <c r="B697" s="23" t="s">
        <v>152</v>
      </c>
      <c r="C697" s="23" t="s">
        <v>313</v>
      </c>
      <c r="D697" s="23">
        <v>2382</v>
      </c>
    </row>
    <row r="698" spans="1:4" x14ac:dyDescent="0.25">
      <c r="A698" s="23" t="s">
        <v>320</v>
      </c>
      <c r="B698" s="23" t="s">
        <v>153</v>
      </c>
      <c r="C698" s="23" t="s">
        <v>313</v>
      </c>
      <c r="D698" s="23">
        <v>25</v>
      </c>
    </row>
    <row r="699" spans="1:4" x14ac:dyDescent="0.25">
      <c r="A699" s="23" t="s">
        <v>320</v>
      </c>
      <c r="B699" s="23" t="s">
        <v>155</v>
      </c>
      <c r="C699" s="23" t="s">
        <v>313</v>
      </c>
      <c r="D699" s="23">
        <v>10</v>
      </c>
    </row>
    <row r="700" spans="1:4" x14ac:dyDescent="0.25">
      <c r="A700" s="23" t="s">
        <v>320</v>
      </c>
      <c r="B700" s="23" t="s">
        <v>156</v>
      </c>
      <c r="C700" s="23" t="s">
        <v>313</v>
      </c>
      <c r="D700" s="23">
        <v>441</v>
      </c>
    </row>
    <row r="701" spans="1:4" x14ac:dyDescent="0.25">
      <c r="A701" s="23" t="s">
        <v>320</v>
      </c>
      <c r="B701" s="23" t="s">
        <v>84</v>
      </c>
      <c r="C701" s="23" t="s">
        <v>311</v>
      </c>
      <c r="D701" s="23">
        <v>99</v>
      </c>
    </row>
    <row r="702" spans="1:4" x14ac:dyDescent="0.25">
      <c r="A702" s="23" t="s">
        <v>320</v>
      </c>
      <c r="B702" s="23" t="s">
        <v>83</v>
      </c>
      <c r="C702" s="23" t="s">
        <v>311</v>
      </c>
      <c r="D702" s="23">
        <v>344</v>
      </c>
    </row>
    <row r="703" spans="1:4" x14ac:dyDescent="0.25">
      <c r="A703" s="23" t="s">
        <v>320</v>
      </c>
      <c r="B703" s="23" t="s">
        <v>151</v>
      </c>
      <c r="C703" s="23" t="s">
        <v>311</v>
      </c>
      <c r="D703" s="23">
        <v>15</v>
      </c>
    </row>
    <row r="704" spans="1:4" x14ac:dyDescent="0.25">
      <c r="A704" s="23" t="s">
        <v>320</v>
      </c>
      <c r="B704" s="23" t="s">
        <v>82</v>
      </c>
      <c r="C704" s="23" t="s">
        <v>311</v>
      </c>
      <c r="D704" s="23">
        <v>5</v>
      </c>
    </row>
    <row r="705" spans="1:4" x14ac:dyDescent="0.25">
      <c r="A705" s="23" t="s">
        <v>320</v>
      </c>
      <c r="B705" s="23" t="s">
        <v>152</v>
      </c>
      <c r="C705" s="23" t="s">
        <v>311</v>
      </c>
      <c r="D705" s="23">
        <v>63</v>
      </c>
    </row>
    <row r="706" spans="1:4" x14ac:dyDescent="0.25">
      <c r="A706" s="23" t="s">
        <v>320</v>
      </c>
      <c r="B706" s="23" t="s">
        <v>153</v>
      </c>
      <c r="C706" s="23" t="s">
        <v>311</v>
      </c>
      <c r="D706" s="23">
        <v>72</v>
      </c>
    </row>
    <row r="707" spans="1:4" x14ac:dyDescent="0.25">
      <c r="A707" s="23" t="s">
        <v>320</v>
      </c>
      <c r="B707" s="23" t="s">
        <v>81</v>
      </c>
      <c r="C707" s="23" t="s">
        <v>311</v>
      </c>
      <c r="D707" s="23">
        <v>106</v>
      </c>
    </row>
    <row r="708" spans="1:4" x14ac:dyDescent="0.25">
      <c r="A708" s="23" t="s">
        <v>320</v>
      </c>
      <c r="B708" s="23" t="s">
        <v>77</v>
      </c>
      <c r="C708" s="23" t="s">
        <v>311</v>
      </c>
      <c r="D708" s="23">
        <v>7</v>
      </c>
    </row>
    <row r="709" spans="1:4" x14ac:dyDescent="0.25">
      <c r="A709" s="23" t="s">
        <v>320</v>
      </c>
      <c r="B709" s="23" t="s">
        <v>78</v>
      </c>
      <c r="C709" s="23" t="s">
        <v>311</v>
      </c>
      <c r="D709" s="23">
        <v>0</v>
      </c>
    </row>
    <row r="710" spans="1:4" x14ac:dyDescent="0.25">
      <c r="A710" s="23" t="s">
        <v>320</v>
      </c>
      <c r="B710" s="23" t="s">
        <v>154</v>
      </c>
      <c r="C710" s="23" t="s">
        <v>311</v>
      </c>
      <c r="D710" s="23">
        <v>48</v>
      </c>
    </row>
    <row r="711" spans="1:4" x14ac:dyDescent="0.25">
      <c r="A711" s="23" t="s">
        <v>320</v>
      </c>
      <c r="B711" s="23" t="s">
        <v>162</v>
      </c>
      <c r="C711" s="23" t="s">
        <v>311</v>
      </c>
      <c r="D711" s="23">
        <v>24</v>
      </c>
    </row>
    <row r="712" spans="1:4" x14ac:dyDescent="0.25">
      <c r="A712" s="23" t="s">
        <v>320</v>
      </c>
      <c r="B712" s="23" t="s">
        <v>155</v>
      </c>
      <c r="C712" s="23" t="s">
        <v>311</v>
      </c>
      <c r="D712" s="23">
        <v>252</v>
      </c>
    </row>
    <row r="713" spans="1:4" x14ac:dyDescent="0.25">
      <c r="A713" s="23" t="s">
        <v>320</v>
      </c>
      <c r="B713" s="23" t="s">
        <v>156</v>
      </c>
      <c r="C713" s="23" t="s">
        <v>311</v>
      </c>
      <c r="D713" s="23">
        <v>75</v>
      </c>
    </row>
    <row r="714" spans="1:4" x14ac:dyDescent="0.25">
      <c r="A714" s="23" t="s">
        <v>320</v>
      </c>
      <c r="B714" s="23" t="s">
        <v>157</v>
      </c>
      <c r="C714" s="23" t="s">
        <v>311</v>
      </c>
      <c r="D714" s="23">
        <v>2</v>
      </c>
    </row>
    <row r="715" spans="1:4" x14ac:dyDescent="0.25">
      <c r="A715" s="23" t="s">
        <v>320</v>
      </c>
      <c r="B715" s="23" t="s">
        <v>84</v>
      </c>
      <c r="C715" s="23" t="s">
        <v>309</v>
      </c>
      <c r="D715" s="23">
        <v>436</v>
      </c>
    </row>
    <row r="716" spans="1:4" x14ac:dyDescent="0.25">
      <c r="A716" s="23" t="s">
        <v>320</v>
      </c>
      <c r="B716" s="23" t="s">
        <v>151</v>
      </c>
      <c r="C716" s="23" t="s">
        <v>309</v>
      </c>
      <c r="D716" s="23">
        <v>0</v>
      </c>
    </row>
    <row r="717" spans="1:4" x14ac:dyDescent="0.25">
      <c r="A717" s="23" t="s">
        <v>320</v>
      </c>
      <c r="B717" s="23" t="s">
        <v>82</v>
      </c>
      <c r="C717" s="23" t="s">
        <v>309</v>
      </c>
      <c r="D717" s="23">
        <v>0</v>
      </c>
    </row>
    <row r="718" spans="1:4" x14ac:dyDescent="0.25">
      <c r="A718" s="23" t="s">
        <v>320</v>
      </c>
      <c r="B718" s="23" t="s">
        <v>152</v>
      </c>
      <c r="C718" s="23" t="s">
        <v>309</v>
      </c>
      <c r="D718" s="23">
        <v>1283</v>
      </c>
    </row>
    <row r="719" spans="1:4" x14ac:dyDescent="0.25">
      <c r="A719" s="23" t="s">
        <v>320</v>
      </c>
      <c r="B719" s="23" t="s">
        <v>153</v>
      </c>
      <c r="C719" s="23" t="s">
        <v>309</v>
      </c>
      <c r="D719" s="23">
        <v>0</v>
      </c>
    </row>
    <row r="720" spans="1:4" x14ac:dyDescent="0.25">
      <c r="A720" s="23" t="s">
        <v>320</v>
      </c>
      <c r="B720" s="23" t="s">
        <v>81</v>
      </c>
      <c r="C720" s="23" t="s">
        <v>309</v>
      </c>
      <c r="D720" s="23">
        <v>0</v>
      </c>
    </row>
    <row r="721" spans="1:4" x14ac:dyDescent="0.25">
      <c r="A721" s="23" t="s">
        <v>320</v>
      </c>
      <c r="B721" s="23" t="s">
        <v>78</v>
      </c>
      <c r="C721" s="23" t="s">
        <v>309</v>
      </c>
      <c r="D721" s="23">
        <v>0</v>
      </c>
    </row>
    <row r="722" spans="1:4" x14ac:dyDescent="0.25">
      <c r="A722" s="23" t="s">
        <v>320</v>
      </c>
      <c r="B722" s="23" t="s">
        <v>154</v>
      </c>
      <c r="C722" s="23" t="s">
        <v>309</v>
      </c>
      <c r="D722" s="23">
        <v>39</v>
      </c>
    </row>
    <row r="723" spans="1:4" x14ac:dyDescent="0.25">
      <c r="A723" s="23" t="s">
        <v>320</v>
      </c>
      <c r="B723" s="23" t="s">
        <v>162</v>
      </c>
      <c r="C723" s="23" t="s">
        <v>309</v>
      </c>
      <c r="D723" s="23">
        <v>21</v>
      </c>
    </row>
    <row r="724" spans="1:4" x14ac:dyDescent="0.25">
      <c r="A724" s="23" t="s">
        <v>320</v>
      </c>
      <c r="B724" s="23" t="s">
        <v>155</v>
      </c>
      <c r="C724" s="23" t="s">
        <v>309</v>
      </c>
      <c r="D724" s="23">
        <v>103</v>
      </c>
    </row>
    <row r="725" spans="1:4" x14ac:dyDescent="0.25">
      <c r="A725" s="23" t="s">
        <v>320</v>
      </c>
      <c r="B725" s="23" t="s">
        <v>157</v>
      </c>
      <c r="C725" s="23" t="s">
        <v>309</v>
      </c>
      <c r="D725" s="23">
        <v>13</v>
      </c>
    </row>
    <row r="726" spans="1:4" x14ac:dyDescent="0.25">
      <c r="A726" s="23" t="s">
        <v>320</v>
      </c>
      <c r="B726" s="23" t="s">
        <v>84</v>
      </c>
      <c r="C726" s="23" t="s">
        <v>317</v>
      </c>
      <c r="D726" s="23">
        <v>305</v>
      </c>
    </row>
    <row r="727" spans="1:4" x14ac:dyDescent="0.25">
      <c r="A727" s="23" t="s">
        <v>320</v>
      </c>
      <c r="B727" s="23" t="s">
        <v>82</v>
      </c>
      <c r="C727" s="23" t="s">
        <v>317</v>
      </c>
      <c r="D727" s="23">
        <v>8</v>
      </c>
    </row>
    <row r="728" spans="1:4" x14ac:dyDescent="0.25">
      <c r="A728" s="23" t="s">
        <v>320</v>
      </c>
      <c r="B728" s="23" t="s">
        <v>152</v>
      </c>
      <c r="C728" s="23" t="s">
        <v>317</v>
      </c>
      <c r="D728" s="23">
        <v>370</v>
      </c>
    </row>
    <row r="729" spans="1:4" x14ac:dyDescent="0.25">
      <c r="A729" s="23" t="s">
        <v>320</v>
      </c>
      <c r="B729" s="23" t="s">
        <v>78</v>
      </c>
      <c r="C729" s="23" t="s">
        <v>317</v>
      </c>
      <c r="D729" s="23">
        <v>44</v>
      </c>
    </row>
    <row r="730" spans="1:4" x14ac:dyDescent="0.25">
      <c r="A730" s="23" t="s">
        <v>320</v>
      </c>
      <c r="B730" s="23" t="s">
        <v>154</v>
      </c>
      <c r="C730" s="23" t="s">
        <v>317</v>
      </c>
      <c r="D730" s="23">
        <v>0</v>
      </c>
    </row>
    <row r="731" spans="1:4" x14ac:dyDescent="0.25">
      <c r="A731" s="23" t="s">
        <v>320</v>
      </c>
      <c r="B731" s="23" t="s">
        <v>162</v>
      </c>
      <c r="C731" s="23" t="s">
        <v>317</v>
      </c>
      <c r="D731" s="23">
        <v>188</v>
      </c>
    </row>
    <row r="732" spans="1:4" x14ac:dyDescent="0.25">
      <c r="A732" s="23" t="s">
        <v>320</v>
      </c>
      <c r="B732" s="23" t="s">
        <v>155</v>
      </c>
      <c r="C732" s="23" t="s">
        <v>317</v>
      </c>
      <c r="D732" s="23">
        <v>85</v>
      </c>
    </row>
    <row r="733" spans="1:4" x14ac:dyDescent="0.25">
      <c r="A733" s="23" t="s">
        <v>320</v>
      </c>
      <c r="B733" s="23" t="s">
        <v>157</v>
      </c>
      <c r="C733" s="23" t="s">
        <v>317</v>
      </c>
      <c r="D733" s="23">
        <v>0</v>
      </c>
    </row>
    <row r="734" spans="1:4" x14ac:dyDescent="0.25">
      <c r="A734" s="23" t="s">
        <v>320</v>
      </c>
      <c r="B734" s="23" t="s">
        <v>84</v>
      </c>
      <c r="C734" s="23" t="s">
        <v>316</v>
      </c>
      <c r="D734" s="23">
        <v>111</v>
      </c>
    </row>
    <row r="735" spans="1:4" x14ac:dyDescent="0.25">
      <c r="A735" s="23" t="s">
        <v>320</v>
      </c>
      <c r="B735" s="23" t="s">
        <v>151</v>
      </c>
      <c r="C735" s="23" t="s">
        <v>316</v>
      </c>
      <c r="D735" s="23">
        <v>19</v>
      </c>
    </row>
    <row r="736" spans="1:4" x14ac:dyDescent="0.25">
      <c r="A736" s="23" t="s">
        <v>320</v>
      </c>
      <c r="B736" s="23" t="s">
        <v>152</v>
      </c>
      <c r="C736" s="23" t="s">
        <v>316</v>
      </c>
      <c r="D736" s="23">
        <v>144</v>
      </c>
    </row>
    <row r="737" spans="1:4" x14ac:dyDescent="0.25">
      <c r="A737" s="23" t="s">
        <v>320</v>
      </c>
      <c r="B737" s="23" t="s">
        <v>78</v>
      </c>
      <c r="C737" s="23" t="s">
        <v>316</v>
      </c>
      <c r="D737" s="23">
        <v>0</v>
      </c>
    </row>
    <row r="738" spans="1:4" x14ac:dyDescent="0.25">
      <c r="A738" s="23" t="s">
        <v>320</v>
      </c>
      <c r="B738" s="23" t="s">
        <v>162</v>
      </c>
      <c r="C738" s="23" t="s">
        <v>316</v>
      </c>
      <c r="D738" s="23">
        <v>0</v>
      </c>
    </row>
    <row r="739" spans="1:4" x14ac:dyDescent="0.25">
      <c r="A739" s="23" t="s">
        <v>320</v>
      </c>
      <c r="B739" s="23" t="s">
        <v>155</v>
      </c>
      <c r="C739" s="23" t="s">
        <v>316</v>
      </c>
      <c r="D739" s="23">
        <v>61</v>
      </c>
    </row>
    <row r="740" spans="1:4" x14ac:dyDescent="0.25">
      <c r="A740" s="23" t="s">
        <v>320</v>
      </c>
      <c r="B740" s="23" t="s">
        <v>156</v>
      </c>
      <c r="C740" s="23" t="s">
        <v>316</v>
      </c>
      <c r="D740" s="23">
        <v>41</v>
      </c>
    </row>
    <row r="741" spans="1:4" x14ac:dyDescent="0.25">
      <c r="A741" s="23" t="s">
        <v>320</v>
      </c>
      <c r="B741" s="23" t="s">
        <v>157</v>
      </c>
      <c r="C741" s="23" t="s">
        <v>316</v>
      </c>
      <c r="D741" s="23">
        <v>8</v>
      </c>
    </row>
    <row r="742" spans="1:4" x14ac:dyDescent="0.25">
      <c r="A742" s="23" t="s">
        <v>320</v>
      </c>
      <c r="B742" s="23" t="s">
        <v>152</v>
      </c>
      <c r="C742" s="23" t="s">
        <v>315</v>
      </c>
      <c r="D742" s="23">
        <v>600</v>
      </c>
    </row>
    <row r="743" spans="1:4" x14ac:dyDescent="0.25">
      <c r="A743" s="23" t="s">
        <v>320</v>
      </c>
      <c r="B743" s="23" t="s">
        <v>78</v>
      </c>
      <c r="C743" s="23" t="s">
        <v>315</v>
      </c>
      <c r="D743" s="23">
        <v>0</v>
      </c>
    </row>
    <row r="744" spans="1:4" x14ac:dyDescent="0.25">
      <c r="A744" s="23" t="s">
        <v>320</v>
      </c>
      <c r="B744" s="23" t="s">
        <v>162</v>
      </c>
      <c r="C744" s="23" t="s">
        <v>315</v>
      </c>
      <c r="D744" s="23">
        <v>10</v>
      </c>
    </row>
    <row r="745" spans="1:4" x14ac:dyDescent="0.25">
      <c r="A745" s="23" t="s">
        <v>320</v>
      </c>
      <c r="B745" s="23" t="s">
        <v>84</v>
      </c>
      <c r="C745" s="23" t="s">
        <v>310</v>
      </c>
      <c r="D745" s="23">
        <v>295</v>
      </c>
    </row>
    <row r="746" spans="1:4" x14ac:dyDescent="0.25">
      <c r="A746" s="23" t="s">
        <v>320</v>
      </c>
      <c r="B746" s="23" t="s">
        <v>151</v>
      </c>
      <c r="C746" s="23" t="s">
        <v>310</v>
      </c>
      <c r="D746" s="23">
        <v>0</v>
      </c>
    </row>
    <row r="747" spans="1:4" x14ac:dyDescent="0.25">
      <c r="A747" s="23" t="s">
        <v>320</v>
      </c>
      <c r="B747" s="23" t="s">
        <v>82</v>
      </c>
      <c r="C747" s="23" t="s">
        <v>310</v>
      </c>
      <c r="D747" s="23">
        <v>164</v>
      </c>
    </row>
    <row r="748" spans="1:4" x14ac:dyDescent="0.25">
      <c r="A748" s="23" t="s">
        <v>320</v>
      </c>
      <c r="B748" s="23" t="s">
        <v>152</v>
      </c>
      <c r="C748" s="23" t="s">
        <v>310</v>
      </c>
      <c r="D748" s="23">
        <v>123</v>
      </c>
    </row>
    <row r="749" spans="1:4" x14ac:dyDescent="0.25">
      <c r="A749" s="23" t="s">
        <v>320</v>
      </c>
      <c r="B749" s="23" t="s">
        <v>81</v>
      </c>
      <c r="C749" s="23" t="s">
        <v>310</v>
      </c>
      <c r="D749" s="23">
        <v>264</v>
      </c>
    </row>
    <row r="750" spans="1:4" x14ac:dyDescent="0.25">
      <c r="A750" s="23" t="s">
        <v>320</v>
      </c>
      <c r="B750" s="23" t="s">
        <v>78</v>
      </c>
      <c r="C750" s="23" t="s">
        <v>310</v>
      </c>
      <c r="D750" s="23">
        <v>0</v>
      </c>
    </row>
    <row r="751" spans="1:4" x14ac:dyDescent="0.25">
      <c r="A751" s="23" t="s">
        <v>320</v>
      </c>
      <c r="B751" s="23" t="s">
        <v>154</v>
      </c>
      <c r="C751" s="23" t="s">
        <v>310</v>
      </c>
      <c r="D751" s="23">
        <v>44</v>
      </c>
    </row>
    <row r="752" spans="1:4" x14ac:dyDescent="0.25">
      <c r="A752" s="23" t="s">
        <v>320</v>
      </c>
      <c r="B752" s="23" t="s">
        <v>162</v>
      </c>
      <c r="C752" s="23" t="s">
        <v>310</v>
      </c>
      <c r="D752" s="23">
        <v>606</v>
      </c>
    </row>
    <row r="753" spans="1:4" x14ac:dyDescent="0.25">
      <c r="A753" s="23" t="s">
        <v>320</v>
      </c>
      <c r="B753" s="23" t="s">
        <v>155</v>
      </c>
      <c r="C753" s="23" t="s">
        <v>310</v>
      </c>
      <c r="D753" s="23">
        <v>315</v>
      </c>
    </row>
    <row r="754" spans="1:4" x14ac:dyDescent="0.25">
      <c r="A754" s="23" t="s">
        <v>320</v>
      </c>
      <c r="B754" s="23" t="s">
        <v>157</v>
      </c>
      <c r="C754" s="23" t="s">
        <v>310</v>
      </c>
      <c r="D754" s="23">
        <v>5</v>
      </c>
    </row>
    <row r="755" spans="1:4" x14ac:dyDescent="0.25">
      <c r="A755" s="23" t="s">
        <v>320</v>
      </c>
      <c r="B755" s="23" t="s">
        <v>152</v>
      </c>
      <c r="C755" s="23" t="s">
        <v>307</v>
      </c>
      <c r="D755" s="23">
        <v>0</v>
      </c>
    </row>
    <row r="756" spans="1:4" x14ac:dyDescent="0.25">
      <c r="A756" s="23" t="s">
        <v>320</v>
      </c>
      <c r="B756" s="23" t="s">
        <v>78</v>
      </c>
      <c r="C756" s="23" t="s">
        <v>307</v>
      </c>
      <c r="D756" s="23">
        <v>0</v>
      </c>
    </row>
    <row r="757" spans="1:4" x14ac:dyDescent="0.25">
      <c r="A757" s="23" t="s">
        <v>320</v>
      </c>
      <c r="B757" s="23" t="s">
        <v>157</v>
      </c>
      <c r="C757" s="23" t="s">
        <v>307</v>
      </c>
      <c r="D757" s="23">
        <v>42</v>
      </c>
    </row>
    <row r="758" spans="1:4" x14ac:dyDescent="0.25">
      <c r="A758" s="23" t="s">
        <v>320</v>
      </c>
      <c r="B758" s="23" t="s">
        <v>155</v>
      </c>
      <c r="C758" s="23" t="s">
        <v>308</v>
      </c>
      <c r="D758" s="23">
        <v>337</v>
      </c>
    </row>
    <row r="759" spans="1:4" x14ac:dyDescent="0.25">
      <c r="A759" s="23" t="s">
        <v>320</v>
      </c>
      <c r="B759" s="23" t="s">
        <v>156</v>
      </c>
      <c r="C759" s="23" t="s">
        <v>309</v>
      </c>
      <c r="D759" s="23">
        <v>90</v>
      </c>
    </row>
    <row r="760" spans="1:4" x14ac:dyDescent="0.25">
      <c r="A760" s="23" t="s">
        <v>320</v>
      </c>
      <c r="B760" s="23" t="s">
        <v>156</v>
      </c>
      <c r="C760" s="23" t="s">
        <v>308</v>
      </c>
      <c r="D760" s="23">
        <v>401</v>
      </c>
    </row>
    <row r="761" spans="1:4" x14ac:dyDescent="0.25">
      <c r="A761" s="23" t="s">
        <v>320</v>
      </c>
      <c r="B761" s="23" t="s">
        <v>156</v>
      </c>
      <c r="C761" s="23" t="s">
        <v>310</v>
      </c>
      <c r="D761" s="23">
        <v>29</v>
      </c>
    </row>
    <row r="762" spans="1:4" x14ac:dyDescent="0.25">
      <c r="A762" s="23" t="s">
        <v>320</v>
      </c>
      <c r="B762" s="23" t="s">
        <v>153</v>
      </c>
      <c r="C762" s="23" t="s">
        <v>310</v>
      </c>
      <c r="D762" s="23">
        <v>0</v>
      </c>
    </row>
    <row r="763" spans="1:4" x14ac:dyDescent="0.25">
      <c r="A763" s="23" t="s">
        <v>320</v>
      </c>
      <c r="B763" s="23" t="s">
        <v>164</v>
      </c>
      <c r="C763" s="23" t="s">
        <v>313</v>
      </c>
      <c r="D763" s="23">
        <v>80</v>
      </c>
    </row>
    <row r="764" spans="1:4" x14ac:dyDescent="0.25">
      <c r="A764" s="23" t="s">
        <v>320</v>
      </c>
      <c r="B764" s="23" t="s">
        <v>164</v>
      </c>
      <c r="C764" s="23" t="s">
        <v>314</v>
      </c>
      <c r="D764" s="23">
        <v>8</v>
      </c>
    </row>
    <row r="765" spans="1:4" x14ac:dyDescent="0.25">
      <c r="A765" s="23" t="s">
        <v>320</v>
      </c>
      <c r="B765" s="23" t="s">
        <v>164</v>
      </c>
      <c r="C765" s="23" t="s">
        <v>317</v>
      </c>
      <c r="D765" s="23">
        <v>0</v>
      </c>
    </row>
    <row r="766" spans="1:4" x14ac:dyDescent="0.25">
      <c r="A766" s="23" t="s">
        <v>320</v>
      </c>
      <c r="B766" s="23" t="s">
        <v>164</v>
      </c>
      <c r="C766" s="23" t="s">
        <v>316</v>
      </c>
      <c r="D766" s="23">
        <v>0</v>
      </c>
    </row>
    <row r="767" spans="1:4" x14ac:dyDescent="0.25">
      <c r="A767" s="23" t="s">
        <v>320</v>
      </c>
      <c r="B767" s="23" t="s">
        <v>164</v>
      </c>
      <c r="C767" s="23" t="s">
        <v>318</v>
      </c>
      <c r="D767" s="23">
        <v>15</v>
      </c>
    </row>
    <row r="768" spans="1:4" x14ac:dyDescent="0.25">
      <c r="A768" s="23" t="s">
        <v>320</v>
      </c>
      <c r="B768" s="23" t="s">
        <v>164</v>
      </c>
      <c r="C768" s="23" t="s">
        <v>315</v>
      </c>
      <c r="D768" s="23">
        <v>0</v>
      </c>
    </row>
    <row r="769" spans="1:4" x14ac:dyDescent="0.25">
      <c r="A769" s="23" t="s">
        <v>320</v>
      </c>
      <c r="B769" s="23" t="s">
        <v>164</v>
      </c>
      <c r="C769" s="23" t="s">
        <v>308</v>
      </c>
      <c r="D769" s="23">
        <v>0</v>
      </c>
    </row>
    <row r="770" spans="1:4" x14ac:dyDescent="0.25">
      <c r="A770" s="23" t="s">
        <v>320</v>
      </c>
      <c r="B770" s="23" t="s">
        <v>164</v>
      </c>
      <c r="C770" s="23" t="s">
        <v>307</v>
      </c>
      <c r="D770" s="23">
        <v>0</v>
      </c>
    </row>
    <row r="771" spans="1:4" x14ac:dyDescent="0.25">
      <c r="A771" s="23" t="s">
        <v>320</v>
      </c>
      <c r="B771" s="23" t="s">
        <v>164</v>
      </c>
      <c r="C771" s="23" t="s">
        <v>309</v>
      </c>
      <c r="D771" s="23">
        <v>0</v>
      </c>
    </row>
    <row r="772" spans="1:4" x14ac:dyDescent="0.25">
      <c r="A772" s="23" t="s">
        <v>320</v>
      </c>
      <c r="B772" s="23" t="s">
        <v>164</v>
      </c>
      <c r="C772" s="23" t="s">
        <v>310</v>
      </c>
      <c r="D772" s="23">
        <v>0</v>
      </c>
    </row>
    <row r="773" spans="1:4" x14ac:dyDescent="0.25">
      <c r="A773" s="23" t="s">
        <v>320</v>
      </c>
      <c r="B773" s="23" t="s">
        <v>164</v>
      </c>
      <c r="C773" s="23" t="s">
        <v>311</v>
      </c>
      <c r="D773" s="23">
        <v>25</v>
      </c>
    </row>
    <row r="774" spans="1:4" x14ac:dyDescent="0.25">
      <c r="A774" s="23" t="s">
        <v>320</v>
      </c>
      <c r="B774" s="23" t="s">
        <v>79</v>
      </c>
      <c r="C774" s="23" t="s">
        <v>314</v>
      </c>
      <c r="D774" s="23">
        <v>0</v>
      </c>
    </row>
    <row r="775" spans="1:4" x14ac:dyDescent="0.25">
      <c r="A775" s="23" t="s">
        <v>320</v>
      </c>
      <c r="B775" s="23" t="s">
        <v>79</v>
      </c>
      <c r="C775" s="23" t="s">
        <v>317</v>
      </c>
      <c r="D775" s="23">
        <v>7</v>
      </c>
    </row>
    <row r="776" spans="1:4" x14ac:dyDescent="0.25">
      <c r="A776" s="23" t="s">
        <v>320</v>
      </c>
      <c r="B776" s="23" t="s">
        <v>79</v>
      </c>
      <c r="C776" s="23" t="s">
        <v>316</v>
      </c>
      <c r="D776" s="23">
        <v>0</v>
      </c>
    </row>
    <row r="777" spans="1:4" x14ac:dyDescent="0.25">
      <c r="A777" s="23" t="s">
        <v>320</v>
      </c>
      <c r="B777" s="23" t="s">
        <v>79</v>
      </c>
      <c r="C777" s="23" t="s">
        <v>318</v>
      </c>
      <c r="D777" s="23">
        <v>10</v>
      </c>
    </row>
    <row r="778" spans="1:4" x14ac:dyDescent="0.25">
      <c r="A778" s="23" t="s">
        <v>320</v>
      </c>
      <c r="B778" s="23" t="s">
        <v>79</v>
      </c>
      <c r="C778" s="23" t="s">
        <v>315</v>
      </c>
      <c r="D778" s="23">
        <v>0</v>
      </c>
    </row>
    <row r="779" spans="1:4" x14ac:dyDescent="0.25">
      <c r="A779" s="23" t="s">
        <v>320</v>
      </c>
      <c r="B779" s="23" t="s">
        <v>79</v>
      </c>
      <c r="C779" s="23" t="s">
        <v>308</v>
      </c>
      <c r="D779" s="23">
        <v>0</v>
      </c>
    </row>
    <row r="780" spans="1:4" x14ac:dyDescent="0.25">
      <c r="A780" s="23" t="s">
        <v>320</v>
      </c>
      <c r="B780" s="23" t="s">
        <v>79</v>
      </c>
      <c r="C780" s="23" t="s">
        <v>307</v>
      </c>
      <c r="D780" s="23">
        <v>15</v>
      </c>
    </row>
    <row r="781" spans="1:4" x14ac:dyDescent="0.25">
      <c r="A781" s="23" t="s">
        <v>320</v>
      </c>
      <c r="B781" s="23" t="s">
        <v>79</v>
      </c>
      <c r="C781" s="23" t="s">
        <v>309</v>
      </c>
      <c r="D781" s="23">
        <v>0</v>
      </c>
    </row>
    <row r="782" spans="1:4" x14ac:dyDescent="0.25">
      <c r="A782" s="23" t="s">
        <v>320</v>
      </c>
      <c r="B782" s="23" t="s">
        <v>79</v>
      </c>
      <c r="C782" s="23" t="s">
        <v>310</v>
      </c>
      <c r="D782" s="23">
        <v>11</v>
      </c>
    </row>
    <row r="783" spans="1:4" x14ac:dyDescent="0.25">
      <c r="A783" s="23" t="s">
        <v>320</v>
      </c>
      <c r="B783" s="23" t="s">
        <v>79</v>
      </c>
      <c r="C783" s="23" t="s">
        <v>311</v>
      </c>
      <c r="D783" s="23">
        <v>0</v>
      </c>
    </row>
    <row r="784" spans="1:4" x14ac:dyDescent="0.25">
      <c r="A784" s="23" t="s">
        <v>320</v>
      </c>
      <c r="B784" s="23" t="s">
        <v>149</v>
      </c>
      <c r="C784" s="23" t="s">
        <v>316</v>
      </c>
      <c r="D784" s="23">
        <v>7</v>
      </c>
    </row>
    <row r="785" spans="1:4" x14ac:dyDescent="0.25">
      <c r="A785" s="23" t="s">
        <v>320</v>
      </c>
      <c r="B785" s="23" t="s">
        <v>149</v>
      </c>
      <c r="C785" s="23" t="s">
        <v>311</v>
      </c>
      <c r="D785" s="23">
        <v>0</v>
      </c>
    </row>
    <row r="786" spans="1:4" x14ac:dyDescent="0.25">
      <c r="A786" s="23" t="s">
        <v>320</v>
      </c>
      <c r="B786" s="23" t="s">
        <v>159</v>
      </c>
      <c r="C786" s="23" t="s">
        <v>313</v>
      </c>
      <c r="D786" s="23">
        <v>0</v>
      </c>
    </row>
    <row r="787" spans="1:4" x14ac:dyDescent="0.25">
      <c r="A787" s="23" t="s">
        <v>320</v>
      </c>
      <c r="B787" s="23" t="s">
        <v>159</v>
      </c>
      <c r="C787" s="23" t="s">
        <v>314</v>
      </c>
      <c r="D787" s="23">
        <v>0</v>
      </c>
    </row>
    <row r="788" spans="1:4" x14ac:dyDescent="0.25">
      <c r="A788" s="23" t="s">
        <v>320</v>
      </c>
      <c r="B788" s="23" t="s">
        <v>159</v>
      </c>
      <c r="C788" s="23" t="s">
        <v>317</v>
      </c>
      <c r="D788" s="23">
        <v>0</v>
      </c>
    </row>
    <row r="789" spans="1:4" x14ac:dyDescent="0.25">
      <c r="A789" s="23" t="s">
        <v>320</v>
      </c>
      <c r="B789" s="23" t="s">
        <v>159</v>
      </c>
      <c r="C789" s="23" t="s">
        <v>316</v>
      </c>
      <c r="D789" s="23">
        <v>0</v>
      </c>
    </row>
    <row r="790" spans="1:4" x14ac:dyDescent="0.25">
      <c r="A790" s="23" t="s">
        <v>320</v>
      </c>
      <c r="B790" s="23" t="s">
        <v>159</v>
      </c>
      <c r="C790" s="23" t="s">
        <v>318</v>
      </c>
      <c r="D790" s="23">
        <v>0</v>
      </c>
    </row>
    <row r="791" spans="1:4" x14ac:dyDescent="0.25">
      <c r="A791" s="23" t="s">
        <v>320</v>
      </c>
      <c r="B791" s="23" t="s">
        <v>159</v>
      </c>
      <c r="C791" s="23" t="s">
        <v>315</v>
      </c>
      <c r="D791" s="23">
        <v>19</v>
      </c>
    </row>
    <row r="792" spans="1:4" x14ac:dyDescent="0.25">
      <c r="A792" s="23" t="s">
        <v>320</v>
      </c>
      <c r="B792" s="23" t="s">
        <v>76</v>
      </c>
      <c r="C792" s="23" t="s">
        <v>309</v>
      </c>
      <c r="D792" s="23">
        <v>0</v>
      </c>
    </row>
    <row r="793" spans="1:4" x14ac:dyDescent="0.25">
      <c r="A793" s="23" t="s">
        <v>320</v>
      </c>
      <c r="B793" s="23" t="s">
        <v>169</v>
      </c>
      <c r="C793" s="23" t="s">
        <v>316</v>
      </c>
      <c r="D793" s="23">
        <v>52</v>
      </c>
    </row>
    <row r="794" spans="1:4" x14ac:dyDescent="0.25">
      <c r="A794" s="23" t="s">
        <v>320</v>
      </c>
      <c r="B794" s="23" t="s">
        <v>169</v>
      </c>
      <c r="C794" s="23" t="s">
        <v>313</v>
      </c>
      <c r="D794" s="23">
        <v>0</v>
      </c>
    </row>
    <row r="795" spans="1:4" x14ac:dyDescent="0.25">
      <c r="A795" s="23" t="s">
        <v>320</v>
      </c>
      <c r="B795" s="23" t="s">
        <v>169</v>
      </c>
      <c r="C795" s="23" t="s">
        <v>315</v>
      </c>
      <c r="D795" s="23">
        <v>0</v>
      </c>
    </row>
    <row r="796" spans="1:4" x14ac:dyDescent="0.25">
      <c r="A796" s="23" t="s">
        <v>320</v>
      </c>
      <c r="B796" s="23" t="s">
        <v>169</v>
      </c>
      <c r="C796" s="23" t="s">
        <v>310</v>
      </c>
      <c r="D796" s="23">
        <v>0</v>
      </c>
    </row>
    <row r="797" spans="1:4" x14ac:dyDescent="0.25">
      <c r="A797" s="23" t="s">
        <v>320</v>
      </c>
      <c r="B797" s="23" t="s">
        <v>169</v>
      </c>
      <c r="C797" s="23" t="s">
        <v>308</v>
      </c>
      <c r="D797" s="23">
        <v>0</v>
      </c>
    </row>
    <row r="798" spans="1:4" x14ac:dyDescent="0.25">
      <c r="A798" s="23" t="s">
        <v>320</v>
      </c>
      <c r="B798" s="23" t="s">
        <v>169</v>
      </c>
      <c r="C798" s="23" t="s">
        <v>307</v>
      </c>
      <c r="D798" s="23">
        <v>175</v>
      </c>
    </row>
    <row r="799" spans="1:4" x14ac:dyDescent="0.25">
      <c r="A799" s="23" t="s">
        <v>320</v>
      </c>
      <c r="B799" s="23" t="s">
        <v>169</v>
      </c>
      <c r="C799" s="23" t="s">
        <v>311</v>
      </c>
      <c r="D799" s="23">
        <v>0</v>
      </c>
    </row>
    <row r="800" spans="1:4" x14ac:dyDescent="0.25">
      <c r="A800" s="23" t="s">
        <v>320</v>
      </c>
      <c r="B800" s="23" t="s">
        <v>169</v>
      </c>
      <c r="C800" s="23" t="s">
        <v>317</v>
      </c>
      <c r="D800" s="23">
        <v>26</v>
      </c>
    </row>
    <row r="801" spans="1:4" x14ac:dyDescent="0.25">
      <c r="A801" s="23" t="s">
        <v>320</v>
      </c>
      <c r="B801" s="23" t="s">
        <v>169</v>
      </c>
      <c r="C801" s="23" t="s">
        <v>309</v>
      </c>
      <c r="D801" s="23">
        <v>9</v>
      </c>
    </row>
    <row r="802" spans="1:4" x14ac:dyDescent="0.25">
      <c r="A802" s="23" t="s">
        <v>320</v>
      </c>
      <c r="B802" s="23" t="s">
        <v>169</v>
      </c>
      <c r="C802" s="23" t="s">
        <v>314</v>
      </c>
      <c r="D802" s="23">
        <v>0</v>
      </c>
    </row>
    <row r="803" spans="1:4" x14ac:dyDescent="0.25">
      <c r="A803" s="23" t="s">
        <v>320</v>
      </c>
      <c r="B803" s="23" t="s">
        <v>169</v>
      </c>
      <c r="C803" s="23" t="s">
        <v>318</v>
      </c>
      <c r="D803" s="23">
        <v>0</v>
      </c>
    </row>
    <row r="804" spans="1:4" x14ac:dyDescent="0.25">
      <c r="A804" s="23" t="s">
        <v>320</v>
      </c>
      <c r="B804" s="23" t="s">
        <v>76</v>
      </c>
      <c r="C804" s="23" t="s">
        <v>310</v>
      </c>
      <c r="D804" s="23">
        <v>0</v>
      </c>
    </row>
    <row r="805" spans="1:4" x14ac:dyDescent="0.25">
      <c r="A805" s="23" t="s">
        <v>320</v>
      </c>
      <c r="B805" s="23" t="s">
        <v>162</v>
      </c>
      <c r="C805" s="23" t="s">
        <v>307</v>
      </c>
      <c r="D805" s="23">
        <v>163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6DAB3-91B8-4FBC-9300-2715CF8988D9}">
  <sheetPr codeName="Лист6">
    <tabColor rgb="FF92D050"/>
  </sheetPr>
  <dimension ref="A1:M59"/>
  <sheetViews>
    <sheetView zoomScale="70" zoomScaleNormal="70" workbookViewId="0">
      <pane xSplit="2" ySplit="1" topLeftCell="C11" activePane="bottomRight" state="frozen"/>
      <selection pane="topRight" activeCell="B40" sqref="B40:H40"/>
      <selection pane="bottomLeft" activeCell="B40" sqref="B40:H40"/>
      <selection pane="bottomRight" activeCell="Z47" sqref="Z47"/>
    </sheetView>
  </sheetViews>
  <sheetFormatPr defaultColWidth="8.85546875" defaultRowHeight="15" x14ac:dyDescent="0.25"/>
  <cols>
    <col min="2" max="2" width="12.42578125" customWidth="1"/>
  </cols>
  <sheetData>
    <row r="1" spans="1:13" x14ac:dyDescent="0.25">
      <c r="A1" t="s">
        <v>321</v>
      </c>
      <c r="B1" s="4" t="s">
        <v>216</v>
      </c>
      <c r="C1" t="s">
        <v>68</v>
      </c>
      <c r="D1" t="s">
        <v>322</v>
      </c>
      <c r="E1" t="s">
        <v>323</v>
      </c>
      <c r="F1" t="s">
        <v>63</v>
      </c>
      <c r="G1" t="s">
        <v>62</v>
      </c>
      <c r="H1" t="s">
        <v>61</v>
      </c>
      <c r="I1" t="s">
        <v>60</v>
      </c>
      <c r="J1" t="s">
        <v>58</v>
      </c>
      <c r="K1" t="s">
        <v>57</v>
      </c>
      <c r="L1" t="s">
        <v>55</v>
      </c>
      <c r="M1" t="s">
        <v>0</v>
      </c>
    </row>
    <row r="2" spans="1:13" x14ac:dyDescent="0.25">
      <c r="A2" t="s">
        <v>324</v>
      </c>
      <c r="B2" t="s">
        <v>94</v>
      </c>
      <c r="C2">
        <v>213.84285714285716</v>
      </c>
      <c r="D2">
        <v>75.285714285714292</v>
      </c>
      <c r="E2">
        <v>23.857142857142858</v>
      </c>
      <c r="F2">
        <v>14.571428571428571</v>
      </c>
      <c r="G2">
        <v>18.814285714285713</v>
      </c>
      <c r="H2" t="s">
        <v>7</v>
      </c>
      <c r="I2" t="s">
        <v>7</v>
      </c>
      <c r="J2">
        <v>12.385714285714286</v>
      </c>
      <c r="K2" t="s">
        <v>7</v>
      </c>
      <c r="L2" t="s">
        <v>7</v>
      </c>
      <c r="M2" t="s">
        <v>7</v>
      </c>
    </row>
    <row r="3" spans="1:13" x14ac:dyDescent="0.25">
      <c r="B3" t="s">
        <v>88</v>
      </c>
      <c r="C3">
        <v>221.9</v>
      </c>
      <c r="D3">
        <v>75.114285714285714</v>
      </c>
      <c r="E3">
        <v>26.457142857142856</v>
      </c>
      <c r="F3" t="s">
        <v>7</v>
      </c>
      <c r="G3">
        <v>30.457142857142856</v>
      </c>
      <c r="H3" t="s">
        <v>7</v>
      </c>
      <c r="I3" t="s">
        <v>7</v>
      </c>
      <c r="J3">
        <v>23.585714285714285</v>
      </c>
      <c r="K3">
        <v>5.3999999999999995</v>
      </c>
      <c r="L3">
        <v>17.385714285714286</v>
      </c>
      <c r="M3" t="s">
        <v>7</v>
      </c>
    </row>
    <row r="4" spans="1:13" x14ac:dyDescent="0.25">
      <c r="B4" t="s">
        <v>217</v>
      </c>
      <c r="C4">
        <v>131.65714285714287</v>
      </c>
      <c r="D4">
        <v>64.614285714285714</v>
      </c>
      <c r="E4" t="s">
        <v>7</v>
      </c>
      <c r="F4">
        <v>26.471428571428572</v>
      </c>
      <c r="G4">
        <v>20.828571428571429</v>
      </c>
      <c r="H4">
        <v>20.24285714285714</v>
      </c>
      <c r="I4" t="s">
        <v>7</v>
      </c>
      <c r="J4" t="s">
        <v>7</v>
      </c>
      <c r="K4" t="s">
        <v>7</v>
      </c>
      <c r="L4" t="s">
        <v>7</v>
      </c>
      <c r="M4">
        <v>21.542857142857144</v>
      </c>
    </row>
    <row r="5" spans="1:13" x14ac:dyDescent="0.25">
      <c r="B5" t="s">
        <v>87</v>
      </c>
      <c r="C5">
        <v>137.32857142857142</v>
      </c>
      <c r="D5">
        <v>27.214285714285715</v>
      </c>
      <c r="E5" t="s">
        <v>7</v>
      </c>
      <c r="F5" t="s">
        <v>7</v>
      </c>
      <c r="G5">
        <v>7.8428571428571425</v>
      </c>
      <c r="H5" t="s">
        <v>7</v>
      </c>
      <c r="I5" t="s">
        <v>7</v>
      </c>
      <c r="J5" t="s">
        <v>7</v>
      </c>
      <c r="K5" t="s">
        <v>7</v>
      </c>
      <c r="L5" t="s">
        <v>7</v>
      </c>
      <c r="M5">
        <v>19.8</v>
      </c>
    </row>
    <row r="6" spans="1:13" x14ac:dyDescent="0.25">
      <c r="B6" t="s">
        <v>218</v>
      </c>
      <c r="C6">
        <v>169.47142857142856</v>
      </c>
      <c r="D6">
        <v>94.01428571428572</v>
      </c>
      <c r="E6" t="s">
        <v>7</v>
      </c>
      <c r="F6" t="s">
        <v>7</v>
      </c>
      <c r="G6">
        <v>18.357142857142858</v>
      </c>
      <c r="H6" t="s">
        <v>7</v>
      </c>
      <c r="I6" t="s">
        <v>7</v>
      </c>
      <c r="J6">
        <v>21.028571428571428</v>
      </c>
      <c r="K6" t="s">
        <v>7</v>
      </c>
      <c r="L6" t="s">
        <v>7</v>
      </c>
      <c r="M6" t="s">
        <v>7</v>
      </c>
    </row>
    <row r="7" spans="1:13" x14ac:dyDescent="0.25">
      <c r="B7" t="s">
        <v>219</v>
      </c>
      <c r="C7">
        <v>166.70000000000002</v>
      </c>
      <c r="D7">
        <v>75.54285714285713</v>
      </c>
      <c r="E7" t="s">
        <v>7</v>
      </c>
      <c r="F7" t="s">
        <v>7</v>
      </c>
      <c r="G7" t="s">
        <v>7</v>
      </c>
      <c r="H7" t="s">
        <v>7</v>
      </c>
      <c r="I7" t="s">
        <v>7</v>
      </c>
      <c r="J7" t="s">
        <v>7</v>
      </c>
      <c r="K7" t="s">
        <v>7</v>
      </c>
      <c r="L7">
        <v>12.842857142857143</v>
      </c>
      <c r="M7" t="s">
        <v>7</v>
      </c>
    </row>
    <row r="8" spans="1:13" x14ac:dyDescent="0.25">
      <c r="B8" t="s">
        <v>90</v>
      </c>
      <c r="C8">
        <v>222.78571428571428</v>
      </c>
      <c r="D8" t="s">
        <v>7</v>
      </c>
      <c r="E8" t="s">
        <v>7</v>
      </c>
      <c r="F8">
        <v>27.585714285714285</v>
      </c>
      <c r="G8">
        <v>12.62857142857143</v>
      </c>
      <c r="H8" t="s">
        <v>7</v>
      </c>
      <c r="I8" t="s">
        <v>7</v>
      </c>
      <c r="J8">
        <v>11.242857142857144</v>
      </c>
      <c r="K8" t="s">
        <v>7</v>
      </c>
      <c r="L8" t="s">
        <v>7</v>
      </c>
      <c r="M8">
        <v>19.671428571428571</v>
      </c>
    </row>
    <row r="9" spans="1:13" x14ac:dyDescent="0.25">
      <c r="B9" t="s">
        <v>220</v>
      </c>
      <c r="C9">
        <v>156.01428571428571</v>
      </c>
      <c r="D9">
        <v>53.75714285714286</v>
      </c>
      <c r="E9" t="s">
        <v>7</v>
      </c>
      <c r="F9" t="s">
        <v>7</v>
      </c>
      <c r="G9" t="s">
        <v>7</v>
      </c>
      <c r="H9" t="s">
        <v>7</v>
      </c>
      <c r="I9" t="s">
        <v>7</v>
      </c>
      <c r="J9" t="s">
        <v>7</v>
      </c>
      <c r="K9" t="s">
        <v>7</v>
      </c>
      <c r="L9" t="s">
        <v>7</v>
      </c>
      <c r="M9" t="s">
        <v>7</v>
      </c>
    </row>
    <row r="10" spans="1:13" x14ac:dyDescent="0.25">
      <c r="B10" t="s">
        <v>221</v>
      </c>
      <c r="C10" t="s">
        <v>7</v>
      </c>
      <c r="D10">
        <v>23.099999999999998</v>
      </c>
      <c r="E10" t="s">
        <v>7</v>
      </c>
      <c r="F10" t="s">
        <v>7</v>
      </c>
      <c r="G10" t="s">
        <v>7</v>
      </c>
      <c r="H10" t="s">
        <v>7</v>
      </c>
      <c r="I10" t="s">
        <v>7</v>
      </c>
      <c r="J10" t="s">
        <v>7</v>
      </c>
      <c r="K10" t="s">
        <v>7</v>
      </c>
      <c r="L10" t="s">
        <v>7</v>
      </c>
      <c r="M10" t="s">
        <v>7</v>
      </c>
    </row>
    <row r="11" spans="1:13" x14ac:dyDescent="0.25">
      <c r="B11" t="s">
        <v>92</v>
      </c>
      <c r="C11">
        <v>54.74285714285714</v>
      </c>
      <c r="D11">
        <v>26.185714285714287</v>
      </c>
      <c r="E11">
        <v>9.1285714285714281</v>
      </c>
      <c r="F11">
        <v>8.4857142857142858</v>
      </c>
      <c r="G11" t="s">
        <v>7</v>
      </c>
      <c r="H11" t="s">
        <v>7</v>
      </c>
      <c r="I11" t="s">
        <v>7</v>
      </c>
      <c r="J11" t="s">
        <v>7</v>
      </c>
      <c r="K11">
        <v>3.0571428571428569</v>
      </c>
      <c r="L11" t="s">
        <v>7</v>
      </c>
      <c r="M11" t="s">
        <v>7</v>
      </c>
    </row>
    <row r="12" spans="1:13" x14ac:dyDescent="0.25">
      <c r="B12" t="s">
        <v>86</v>
      </c>
      <c r="C12">
        <v>397.21428571428572</v>
      </c>
      <c r="D12">
        <v>170.21428571428572</v>
      </c>
      <c r="E12">
        <v>49.414285714285711</v>
      </c>
      <c r="F12">
        <v>45.214285714285715</v>
      </c>
      <c r="G12">
        <v>61.199999999999996</v>
      </c>
      <c r="H12">
        <v>37.214285714285715</v>
      </c>
      <c r="I12">
        <v>16.928571428571427</v>
      </c>
      <c r="J12">
        <v>42.98571428571428</v>
      </c>
      <c r="K12">
        <v>27.928571428571427</v>
      </c>
      <c r="L12">
        <v>45.142857142857146</v>
      </c>
      <c r="M12">
        <v>50.657142857142858</v>
      </c>
    </row>
    <row r="13" spans="1:13" x14ac:dyDescent="0.25">
      <c r="B13" t="s">
        <v>222</v>
      </c>
      <c r="C13" t="s">
        <v>7</v>
      </c>
      <c r="D13" t="s">
        <v>7</v>
      </c>
      <c r="E13" t="s">
        <v>7</v>
      </c>
      <c r="F13">
        <v>42.414285714285711</v>
      </c>
      <c r="G13" t="s">
        <v>7</v>
      </c>
      <c r="H13" t="s">
        <v>7</v>
      </c>
      <c r="I13" t="s">
        <v>7</v>
      </c>
      <c r="J13" t="s">
        <v>7</v>
      </c>
      <c r="K13" t="s">
        <v>7</v>
      </c>
      <c r="L13" t="s">
        <v>7</v>
      </c>
      <c r="M13" t="s">
        <v>7</v>
      </c>
    </row>
    <row r="14" spans="1:13" x14ac:dyDescent="0.25">
      <c r="B14" t="s">
        <v>223</v>
      </c>
      <c r="C14">
        <v>274.08571428571429</v>
      </c>
      <c r="D14">
        <v>110.5</v>
      </c>
      <c r="E14" t="s">
        <v>7</v>
      </c>
      <c r="F14" t="s">
        <v>7</v>
      </c>
      <c r="G14" t="s">
        <v>7</v>
      </c>
      <c r="H14" t="s">
        <v>7</v>
      </c>
      <c r="I14" t="s">
        <v>7</v>
      </c>
      <c r="J14">
        <v>29.8</v>
      </c>
      <c r="K14" t="s">
        <v>7</v>
      </c>
      <c r="L14" t="s">
        <v>7</v>
      </c>
      <c r="M14" t="s">
        <v>7</v>
      </c>
    </row>
    <row r="15" spans="1:13" x14ac:dyDescent="0.25">
      <c r="B15" t="s">
        <v>224</v>
      </c>
      <c r="C15">
        <v>69.028571428571425</v>
      </c>
      <c r="D15" t="s">
        <v>7</v>
      </c>
      <c r="E15" t="s">
        <v>7</v>
      </c>
      <c r="F15" t="s">
        <v>7</v>
      </c>
      <c r="G15" t="s">
        <v>7</v>
      </c>
      <c r="H15" t="s">
        <v>7</v>
      </c>
      <c r="I15" t="s">
        <v>7</v>
      </c>
      <c r="J15" t="s">
        <v>7</v>
      </c>
      <c r="K15" t="s">
        <v>7</v>
      </c>
      <c r="L15" t="s">
        <v>7</v>
      </c>
      <c r="M15" t="s">
        <v>7</v>
      </c>
    </row>
    <row r="16" spans="1:13" x14ac:dyDescent="0.25">
      <c r="B16" t="s">
        <v>225</v>
      </c>
      <c r="C16">
        <v>124.17142857142858</v>
      </c>
      <c r="D16" t="s">
        <v>7</v>
      </c>
      <c r="E16" t="s">
        <v>7</v>
      </c>
      <c r="F16" t="s">
        <v>7</v>
      </c>
      <c r="G16" t="s">
        <v>7</v>
      </c>
      <c r="H16" t="s">
        <v>7</v>
      </c>
      <c r="I16" t="s">
        <v>7</v>
      </c>
      <c r="J16" t="s">
        <v>7</v>
      </c>
      <c r="K16" t="s">
        <v>7</v>
      </c>
      <c r="L16" t="s">
        <v>7</v>
      </c>
      <c r="M16" t="s">
        <v>7</v>
      </c>
    </row>
    <row r="17" spans="2:13" x14ac:dyDescent="0.25">
      <c r="B17" t="s">
        <v>226</v>
      </c>
      <c r="C17">
        <v>131.78571428571428</v>
      </c>
      <c r="D17">
        <v>48.542857142857144</v>
      </c>
      <c r="E17">
        <v>18.271428571428572</v>
      </c>
      <c r="F17">
        <v>13.985714285714286</v>
      </c>
      <c r="G17">
        <v>16.071428571428573</v>
      </c>
      <c r="H17">
        <v>7.7</v>
      </c>
      <c r="I17" t="s">
        <v>7</v>
      </c>
      <c r="J17">
        <v>11.757142857142856</v>
      </c>
      <c r="K17" t="s">
        <v>7</v>
      </c>
      <c r="L17">
        <v>11.414285714285715</v>
      </c>
      <c r="M17">
        <v>11.157142857142857</v>
      </c>
    </row>
    <row r="18" spans="2:13" x14ac:dyDescent="0.25">
      <c r="B18" t="s">
        <v>227</v>
      </c>
      <c r="C18">
        <v>332.5</v>
      </c>
      <c r="D18">
        <v>232.94285714285712</v>
      </c>
      <c r="E18">
        <v>43.4</v>
      </c>
      <c r="F18">
        <v>39.98571428571428</v>
      </c>
      <c r="G18">
        <v>49.528571428571425</v>
      </c>
      <c r="H18">
        <v>31.7</v>
      </c>
      <c r="I18">
        <v>16.314285714285713</v>
      </c>
      <c r="J18">
        <v>41.028571428571425</v>
      </c>
      <c r="K18">
        <v>21.885714285714283</v>
      </c>
      <c r="L18">
        <v>47.585714285714289</v>
      </c>
      <c r="M18">
        <v>53.199999999999996</v>
      </c>
    </row>
    <row r="19" spans="2:13" x14ac:dyDescent="0.25">
      <c r="B19" t="s">
        <v>228</v>
      </c>
      <c r="C19" t="s">
        <v>7</v>
      </c>
      <c r="D19" t="s">
        <v>7</v>
      </c>
      <c r="E19">
        <v>31.285714285714285</v>
      </c>
      <c r="F19" t="s">
        <v>7</v>
      </c>
      <c r="G19" t="s">
        <v>7</v>
      </c>
      <c r="H19" t="s">
        <v>7</v>
      </c>
      <c r="I19" t="s">
        <v>7</v>
      </c>
      <c r="J19" t="s">
        <v>7</v>
      </c>
      <c r="K19" t="s">
        <v>7</v>
      </c>
      <c r="L19" t="s">
        <v>7</v>
      </c>
      <c r="M19" t="s">
        <v>7</v>
      </c>
    </row>
    <row r="20" spans="2:13" x14ac:dyDescent="0.25">
      <c r="B20" t="s">
        <v>229</v>
      </c>
      <c r="C20">
        <v>496.42857142857144</v>
      </c>
      <c r="D20">
        <v>115.10000000000001</v>
      </c>
      <c r="E20">
        <v>88.242857142857147</v>
      </c>
      <c r="F20">
        <v>85.142857142857139</v>
      </c>
      <c r="G20">
        <v>103.18571428571428</v>
      </c>
      <c r="H20">
        <v>68.214285714285708</v>
      </c>
      <c r="I20">
        <v>34.485714285714288</v>
      </c>
      <c r="J20">
        <v>79.385714285714286</v>
      </c>
      <c r="K20">
        <v>40.471428571428575</v>
      </c>
      <c r="L20">
        <v>79.657142857142858</v>
      </c>
      <c r="M20">
        <v>84</v>
      </c>
    </row>
    <row r="21" spans="2:13" x14ac:dyDescent="0.25">
      <c r="B21" t="s">
        <v>93</v>
      </c>
      <c r="C21">
        <v>316.98571428571432</v>
      </c>
      <c r="D21">
        <v>181.92857142857142</v>
      </c>
      <c r="E21">
        <v>52.01428571428572</v>
      </c>
      <c r="F21">
        <v>46.285714285714285</v>
      </c>
      <c r="G21">
        <v>47.699999999999996</v>
      </c>
      <c r="H21">
        <v>41.74285714285714</v>
      </c>
      <c r="I21">
        <v>17.942857142857143</v>
      </c>
      <c r="J21">
        <v>50.25714285714286</v>
      </c>
      <c r="K21">
        <v>25.114285714285717</v>
      </c>
      <c r="L21">
        <v>45.699999999999996</v>
      </c>
      <c r="M21">
        <v>41.671428571428571</v>
      </c>
    </row>
    <row r="22" spans="2:13" x14ac:dyDescent="0.25">
      <c r="B22" t="s">
        <v>230</v>
      </c>
      <c r="C22" t="s">
        <v>7</v>
      </c>
      <c r="D22" t="s">
        <v>7</v>
      </c>
      <c r="E22" t="s">
        <v>7</v>
      </c>
      <c r="F22" t="s">
        <v>7</v>
      </c>
      <c r="G22" t="s">
        <v>7</v>
      </c>
      <c r="H22">
        <v>27.542857142857144</v>
      </c>
      <c r="I22" t="s">
        <v>7</v>
      </c>
      <c r="J22" t="s">
        <v>7</v>
      </c>
      <c r="K22" t="s">
        <v>7</v>
      </c>
      <c r="L22" t="s">
        <v>7</v>
      </c>
      <c r="M22" t="s">
        <v>7</v>
      </c>
    </row>
    <row r="23" spans="2:13" x14ac:dyDescent="0.25">
      <c r="B23" t="s">
        <v>231</v>
      </c>
      <c r="C23">
        <v>130.47142857142856</v>
      </c>
      <c r="D23" t="s">
        <v>7</v>
      </c>
      <c r="E23" t="s">
        <v>7</v>
      </c>
      <c r="F23" t="s">
        <v>7</v>
      </c>
      <c r="G23" t="s">
        <v>7</v>
      </c>
      <c r="H23" t="s">
        <v>7</v>
      </c>
      <c r="I23" t="s">
        <v>7</v>
      </c>
      <c r="J23" t="s">
        <v>7</v>
      </c>
      <c r="K23" t="s">
        <v>7</v>
      </c>
      <c r="L23" t="s">
        <v>7</v>
      </c>
      <c r="M23" t="s">
        <v>7</v>
      </c>
    </row>
    <row r="24" spans="2:13" x14ac:dyDescent="0.25">
      <c r="B24" t="s">
        <v>232</v>
      </c>
      <c r="C24">
        <v>195.32857142857142</v>
      </c>
      <c r="D24">
        <v>86.071428571428569</v>
      </c>
      <c r="E24" t="s">
        <v>7</v>
      </c>
      <c r="F24" t="s">
        <v>7</v>
      </c>
      <c r="G24" t="s">
        <v>7</v>
      </c>
      <c r="H24" t="s">
        <v>7</v>
      </c>
      <c r="I24" t="s">
        <v>7</v>
      </c>
      <c r="J24" t="s">
        <v>7</v>
      </c>
      <c r="K24" t="s">
        <v>7</v>
      </c>
      <c r="L24" t="s">
        <v>7</v>
      </c>
      <c r="M24" t="s">
        <v>7</v>
      </c>
    </row>
    <row r="25" spans="2:13" x14ac:dyDescent="0.25">
      <c r="B25" t="s">
        <v>233</v>
      </c>
      <c r="C25">
        <v>119.94285714285715</v>
      </c>
      <c r="D25" t="s">
        <v>7</v>
      </c>
      <c r="E25" t="s">
        <v>7</v>
      </c>
      <c r="F25" t="s">
        <v>7</v>
      </c>
      <c r="G25" t="s">
        <v>7</v>
      </c>
      <c r="H25" t="s">
        <v>7</v>
      </c>
      <c r="I25" t="s">
        <v>7</v>
      </c>
      <c r="J25" t="s">
        <v>7</v>
      </c>
      <c r="K25" t="s">
        <v>7</v>
      </c>
      <c r="L25" t="s">
        <v>7</v>
      </c>
      <c r="M25" t="s">
        <v>7</v>
      </c>
    </row>
    <row r="26" spans="2:13" x14ac:dyDescent="0.25">
      <c r="B26" t="s">
        <v>234</v>
      </c>
      <c r="C26">
        <v>228.28571428571428</v>
      </c>
      <c r="D26">
        <v>110.07142857142857</v>
      </c>
      <c r="E26" t="s">
        <v>7</v>
      </c>
      <c r="F26" t="s">
        <v>7</v>
      </c>
      <c r="G26" t="s">
        <v>7</v>
      </c>
      <c r="H26" t="s">
        <v>7</v>
      </c>
      <c r="I26" t="s">
        <v>7</v>
      </c>
      <c r="J26" t="s">
        <v>7</v>
      </c>
      <c r="K26" t="s">
        <v>7</v>
      </c>
      <c r="L26" t="s">
        <v>7</v>
      </c>
      <c r="M26" t="s">
        <v>7</v>
      </c>
    </row>
    <row r="27" spans="2:13" x14ac:dyDescent="0.25">
      <c r="B27" t="s">
        <v>235</v>
      </c>
      <c r="C27">
        <v>100.58571428571429</v>
      </c>
      <c r="D27">
        <v>51.98571428571428</v>
      </c>
      <c r="E27">
        <v>19.514285714285712</v>
      </c>
      <c r="F27">
        <v>17.328571428571429</v>
      </c>
      <c r="G27">
        <v>18.485714285714288</v>
      </c>
      <c r="H27">
        <v>10.4</v>
      </c>
      <c r="I27" t="s">
        <v>7</v>
      </c>
      <c r="J27">
        <v>11.885714285714286</v>
      </c>
      <c r="K27">
        <v>6.7714285714285714</v>
      </c>
      <c r="L27">
        <v>20.442857142857143</v>
      </c>
      <c r="M27">
        <v>15.685714285714285</v>
      </c>
    </row>
    <row r="28" spans="2:13" x14ac:dyDescent="0.25">
      <c r="B28" t="s">
        <v>236</v>
      </c>
      <c r="C28">
        <v>91.01428571428572</v>
      </c>
      <c r="D28" t="s">
        <v>7</v>
      </c>
      <c r="E28" t="s">
        <v>7</v>
      </c>
      <c r="F28" t="s">
        <v>7</v>
      </c>
      <c r="G28" t="s">
        <v>7</v>
      </c>
      <c r="H28" t="s">
        <v>7</v>
      </c>
      <c r="I28" t="s">
        <v>7</v>
      </c>
      <c r="J28" t="s">
        <v>7</v>
      </c>
      <c r="K28" t="s">
        <v>7</v>
      </c>
      <c r="L28" t="s">
        <v>7</v>
      </c>
      <c r="M28" t="s">
        <v>7</v>
      </c>
    </row>
    <row r="29" spans="2:13" x14ac:dyDescent="0.25">
      <c r="B29" t="s">
        <v>237</v>
      </c>
      <c r="C29" t="s">
        <v>7</v>
      </c>
      <c r="D29">
        <v>138.34285714285713</v>
      </c>
      <c r="E29" t="s">
        <v>7</v>
      </c>
      <c r="F29" t="s">
        <v>7</v>
      </c>
      <c r="G29" t="s">
        <v>7</v>
      </c>
      <c r="H29" t="s">
        <v>7</v>
      </c>
      <c r="I29" t="s">
        <v>7</v>
      </c>
      <c r="J29" t="s">
        <v>7</v>
      </c>
      <c r="K29" t="s">
        <v>7</v>
      </c>
      <c r="L29" t="s">
        <v>7</v>
      </c>
      <c r="M29" t="s">
        <v>7</v>
      </c>
    </row>
    <row r="30" spans="2:13" x14ac:dyDescent="0.25">
      <c r="B30" t="s">
        <v>238</v>
      </c>
      <c r="C30" t="s">
        <v>7</v>
      </c>
      <c r="D30" t="s">
        <v>7</v>
      </c>
      <c r="E30" t="s">
        <v>7</v>
      </c>
      <c r="F30" t="s">
        <v>7</v>
      </c>
      <c r="G30" t="s">
        <v>7</v>
      </c>
      <c r="H30">
        <v>16.842857142857145</v>
      </c>
      <c r="I30" t="s">
        <v>7</v>
      </c>
      <c r="J30" t="s">
        <v>7</v>
      </c>
      <c r="K30" t="s">
        <v>7</v>
      </c>
      <c r="L30" t="s">
        <v>7</v>
      </c>
      <c r="M30" t="s">
        <v>7</v>
      </c>
    </row>
    <row r="31" spans="2:13" x14ac:dyDescent="0.25">
      <c r="B31" t="s">
        <v>239</v>
      </c>
      <c r="C31">
        <v>211.98571428571429</v>
      </c>
      <c r="D31" t="s">
        <v>7</v>
      </c>
      <c r="E31" t="s">
        <v>7</v>
      </c>
      <c r="F31" t="s">
        <v>7</v>
      </c>
      <c r="G31">
        <v>23.400000000000002</v>
      </c>
      <c r="H31" t="s">
        <v>7</v>
      </c>
      <c r="I31" t="s">
        <v>7</v>
      </c>
      <c r="J31">
        <v>23.24285714285714</v>
      </c>
      <c r="K31" t="s">
        <v>7</v>
      </c>
      <c r="L31">
        <v>7</v>
      </c>
      <c r="M31">
        <v>29.12857142857143</v>
      </c>
    </row>
    <row r="32" spans="2:13" x14ac:dyDescent="0.25">
      <c r="B32" t="s">
        <v>91</v>
      </c>
      <c r="C32">
        <v>246.85714285714286</v>
      </c>
      <c r="D32">
        <v>78.914285714285711</v>
      </c>
      <c r="E32">
        <v>25.057142857142857</v>
      </c>
      <c r="F32">
        <v>31.057142857142857</v>
      </c>
      <c r="G32">
        <v>30.914285714285715</v>
      </c>
      <c r="H32">
        <v>17.5</v>
      </c>
      <c r="I32" t="s">
        <v>7</v>
      </c>
      <c r="J32">
        <v>22.928571428571427</v>
      </c>
      <c r="K32">
        <v>10.62857142857143</v>
      </c>
      <c r="L32">
        <v>16.657142857142855</v>
      </c>
      <c r="M32">
        <v>20.3</v>
      </c>
    </row>
    <row r="33" spans="2:13" x14ac:dyDescent="0.25">
      <c r="B33" t="s">
        <v>240</v>
      </c>
      <c r="C33">
        <v>124.42857142857143</v>
      </c>
      <c r="D33" t="s">
        <v>7</v>
      </c>
      <c r="E33" t="s">
        <v>7</v>
      </c>
      <c r="F33" t="s">
        <v>7</v>
      </c>
      <c r="G33" t="s">
        <v>7</v>
      </c>
      <c r="H33" t="s">
        <v>7</v>
      </c>
      <c r="I33" t="s">
        <v>7</v>
      </c>
      <c r="J33" t="s">
        <v>7</v>
      </c>
      <c r="K33" t="s">
        <v>7</v>
      </c>
      <c r="L33" t="s">
        <v>7</v>
      </c>
      <c r="M33" t="s">
        <v>7</v>
      </c>
    </row>
    <row r="34" spans="2:13" x14ac:dyDescent="0.25">
      <c r="B34" t="s">
        <v>241</v>
      </c>
      <c r="C34" t="s">
        <v>7</v>
      </c>
      <c r="D34">
        <v>31.228571428571428</v>
      </c>
      <c r="E34" t="s">
        <v>7</v>
      </c>
      <c r="F34" t="s">
        <v>7</v>
      </c>
      <c r="G34" t="s">
        <v>7</v>
      </c>
      <c r="H34" t="s">
        <v>7</v>
      </c>
      <c r="I34" t="s">
        <v>7</v>
      </c>
      <c r="J34" t="s">
        <v>7</v>
      </c>
      <c r="K34" t="s">
        <v>7</v>
      </c>
      <c r="L34" t="s">
        <v>7</v>
      </c>
      <c r="M34" t="s">
        <v>7</v>
      </c>
    </row>
    <row r="35" spans="2:13" x14ac:dyDescent="0.25">
      <c r="B35" t="s">
        <v>242</v>
      </c>
      <c r="C35">
        <v>77.05714285714285</v>
      </c>
      <c r="D35">
        <v>40.31428571428571</v>
      </c>
      <c r="E35" t="s">
        <v>7</v>
      </c>
      <c r="F35" t="s">
        <v>7</v>
      </c>
      <c r="G35" t="s">
        <v>7</v>
      </c>
      <c r="H35" t="s">
        <v>7</v>
      </c>
      <c r="I35" t="s">
        <v>7</v>
      </c>
      <c r="J35" t="s">
        <v>7</v>
      </c>
      <c r="K35" t="s">
        <v>7</v>
      </c>
      <c r="L35" t="s">
        <v>7</v>
      </c>
      <c r="M35" t="s">
        <v>7</v>
      </c>
    </row>
    <row r="36" spans="2:13" x14ac:dyDescent="0.25">
      <c r="B36" t="s">
        <v>243</v>
      </c>
      <c r="C36" t="s">
        <v>7</v>
      </c>
      <c r="D36">
        <v>100.94285714285715</v>
      </c>
      <c r="E36" t="s">
        <v>7</v>
      </c>
      <c r="F36" t="s">
        <v>7</v>
      </c>
      <c r="G36" t="s">
        <v>7</v>
      </c>
      <c r="H36" t="s">
        <v>7</v>
      </c>
      <c r="I36" t="s">
        <v>7</v>
      </c>
      <c r="J36" t="s">
        <v>7</v>
      </c>
      <c r="K36" t="s">
        <v>7</v>
      </c>
      <c r="L36">
        <v>27.914285714285715</v>
      </c>
      <c r="M36" t="s">
        <v>7</v>
      </c>
    </row>
    <row r="37" spans="2:13" x14ac:dyDescent="0.25">
      <c r="B37" t="s">
        <v>244</v>
      </c>
      <c r="C37">
        <v>264.52857142857141</v>
      </c>
      <c r="D37">
        <v>111.21428571428571</v>
      </c>
      <c r="E37">
        <v>42.671428571428571</v>
      </c>
      <c r="F37">
        <v>34.6</v>
      </c>
      <c r="G37">
        <v>52.557142857142857</v>
      </c>
      <c r="H37">
        <v>27.057142857142857</v>
      </c>
      <c r="I37" t="s">
        <v>7</v>
      </c>
      <c r="J37">
        <v>42.457142857142856</v>
      </c>
      <c r="K37" t="s">
        <v>7</v>
      </c>
      <c r="L37">
        <v>43.98571428571428</v>
      </c>
      <c r="M37" t="s">
        <v>7</v>
      </c>
    </row>
    <row r="38" spans="2:13" x14ac:dyDescent="0.25">
      <c r="B38" t="s">
        <v>245</v>
      </c>
      <c r="C38">
        <v>179.65714285714284</v>
      </c>
      <c r="D38" t="s">
        <v>7</v>
      </c>
      <c r="E38" t="s">
        <v>7</v>
      </c>
      <c r="F38" t="s">
        <v>7</v>
      </c>
      <c r="G38" t="s">
        <v>7</v>
      </c>
      <c r="H38" t="s">
        <v>7</v>
      </c>
      <c r="I38" t="s">
        <v>7</v>
      </c>
      <c r="J38" t="s">
        <v>7</v>
      </c>
      <c r="K38" t="s">
        <v>7</v>
      </c>
      <c r="L38" t="s">
        <v>7</v>
      </c>
      <c r="M38" t="s">
        <v>7</v>
      </c>
    </row>
    <row r="39" spans="2:13" x14ac:dyDescent="0.25">
      <c r="B39" t="s">
        <v>246</v>
      </c>
      <c r="C39">
        <v>158.05714285714288</v>
      </c>
      <c r="D39">
        <v>38.842857142857142</v>
      </c>
      <c r="E39">
        <v>15.342857142857143</v>
      </c>
      <c r="F39" t="s">
        <v>7</v>
      </c>
      <c r="G39" t="s">
        <v>7</v>
      </c>
      <c r="H39">
        <v>11.157142857142857</v>
      </c>
      <c r="I39" t="s">
        <v>7</v>
      </c>
      <c r="J39" t="s">
        <v>7</v>
      </c>
      <c r="K39" t="s">
        <v>7</v>
      </c>
      <c r="L39" t="s">
        <v>7</v>
      </c>
      <c r="M39" t="s">
        <v>7</v>
      </c>
    </row>
    <row r="40" spans="2:13" x14ac:dyDescent="0.25">
      <c r="B40" t="s">
        <v>247</v>
      </c>
      <c r="C40">
        <v>140.85714285714286</v>
      </c>
      <c r="D40">
        <v>39.971428571428575</v>
      </c>
      <c r="E40">
        <v>15.985714285714286</v>
      </c>
      <c r="F40">
        <v>12.671428571428573</v>
      </c>
      <c r="G40">
        <v>15.342857142857143</v>
      </c>
      <c r="H40">
        <v>10.885714285714286</v>
      </c>
      <c r="I40" t="s">
        <v>7</v>
      </c>
      <c r="J40" t="s">
        <v>7</v>
      </c>
      <c r="K40">
        <v>7.8714285714285719</v>
      </c>
      <c r="L40" t="s">
        <v>7</v>
      </c>
      <c r="M40">
        <v>14.228571428571428</v>
      </c>
    </row>
    <row r="41" spans="2:13" x14ac:dyDescent="0.25">
      <c r="B41" t="s">
        <v>248</v>
      </c>
      <c r="C41">
        <v>99.885714285714286</v>
      </c>
      <c r="D41" t="s">
        <v>7</v>
      </c>
      <c r="E41" t="s">
        <v>7</v>
      </c>
      <c r="F41" t="s">
        <v>7</v>
      </c>
      <c r="G41" t="s">
        <v>7</v>
      </c>
      <c r="H41" t="s">
        <v>7</v>
      </c>
      <c r="I41" t="s">
        <v>7</v>
      </c>
      <c r="J41" t="s">
        <v>7</v>
      </c>
      <c r="K41" t="s">
        <v>7</v>
      </c>
      <c r="L41" t="s">
        <v>7</v>
      </c>
      <c r="M41" t="s">
        <v>7</v>
      </c>
    </row>
    <row r="42" spans="2:13" x14ac:dyDescent="0.25">
      <c r="B42" t="s">
        <v>249</v>
      </c>
      <c r="C42">
        <v>265.54285714285714</v>
      </c>
      <c r="D42">
        <v>95.214285714285708</v>
      </c>
      <c r="E42">
        <v>25.814285714285713</v>
      </c>
      <c r="F42">
        <v>19.185714285714287</v>
      </c>
      <c r="G42" t="s">
        <v>7</v>
      </c>
      <c r="H42" t="s">
        <v>7</v>
      </c>
      <c r="I42" t="s">
        <v>7</v>
      </c>
      <c r="J42">
        <v>24.714285714285715</v>
      </c>
      <c r="K42">
        <v>11.614285714285714</v>
      </c>
      <c r="L42">
        <v>21.5</v>
      </c>
      <c r="M42">
        <v>8.6285714285714281</v>
      </c>
    </row>
    <row r="43" spans="2:13" x14ac:dyDescent="0.25">
      <c r="B43" t="s">
        <v>250</v>
      </c>
      <c r="C43" t="s">
        <v>7</v>
      </c>
      <c r="D43">
        <v>66.414285714285711</v>
      </c>
      <c r="E43" t="s">
        <v>7</v>
      </c>
      <c r="F43" t="s">
        <v>7</v>
      </c>
      <c r="G43" t="s">
        <v>7</v>
      </c>
      <c r="H43" t="s">
        <v>7</v>
      </c>
      <c r="I43" t="s">
        <v>7</v>
      </c>
      <c r="J43" t="s">
        <v>7</v>
      </c>
      <c r="K43" t="s">
        <v>7</v>
      </c>
      <c r="L43" t="s">
        <v>7</v>
      </c>
      <c r="M43" t="s">
        <v>7</v>
      </c>
    </row>
    <row r="44" spans="2:13" x14ac:dyDescent="0.25">
      <c r="B44" t="s">
        <v>251</v>
      </c>
      <c r="C44" t="s">
        <v>7</v>
      </c>
      <c r="D44" t="s">
        <v>7</v>
      </c>
      <c r="E44">
        <v>39.914285714285711</v>
      </c>
      <c r="F44" t="s">
        <v>7</v>
      </c>
      <c r="G44" t="s">
        <v>7</v>
      </c>
      <c r="H44" t="s">
        <v>7</v>
      </c>
      <c r="I44" t="s">
        <v>7</v>
      </c>
      <c r="J44" t="s">
        <v>7</v>
      </c>
      <c r="K44" t="s">
        <v>7</v>
      </c>
      <c r="L44" t="s">
        <v>7</v>
      </c>
      <c r="M44" t="s">
        <v>7</v>
      </c>
    </row>
    <row r="45" spans="2:13" x14ac:dyDescent="0.25">
      <c r="B45" t="s">
        <v>252</v>
      </c>
      <c r="C45" t="s">
        <v>7</v>
      </c>
      <c r="D45">
        <v>102.17142857142858</v>
      </c>
      <c r="E45">
        <v>21.842857142857145</v>
      </c>
      <c r="F45">
        <v>25.171428571428571</v>
      </c>
      <c r="G45" t="s">
        <v>7</v>
      </c>
      <c r="H45" t="s">
        <v>7</v>
      </c>
      <c r="I45" t="s">
        <v>7</v>
      </c>
      <c r="J45">
        <v>21.785714285714285</v>
      </c>
      <c r="K45" t="s">
        <v>7</v>
      </c>
      <c r="L45">
        <v>27.071428571428573</v>
      </c>
      <c r="M45" t="s">
        <v>7</v>
      </c>
    </row>
    <row r="46" spans="2:13" x14ac:dyDescent="0.25">
      <c r="B46" t="s">
        <v>253</v>
      </c>
      <c r="C46">
        <v>124.95714285714287</v>
      </c>
      <c r="D46">
        <v>78.714285714285708</v>
      </c>
      <c r="E46" t="s">
        <v>7</v>
      </c>
      <c r="F46" t="s">
        <v>7</v>
      </c>
      <c r="G46" t="s">
        <v>7</v>
      </c>
      <c r="H46" t="s">
        <v>7</v>
      </c>
      <c r="I46" t="s">
        <v>7</v>
      </c>
      <c r="J46" t="s">
        <v>7</v>
      </c>
      <c r="K46" t="s">
        <v>7</v>
      </c>
      <c r="L46" t="s">
        <v>7</v>
      </c>
      <c r="M46" t="s">
        <v>7</v>
      </c>
    </row>
    <row r="47" spans="2:13" x14ac:dyDescent="0.25">
      <c r="B47" t="s">
        <v>254</v>
      </c>
      <c r="C47">
        <v>122.58571428571429</v>
      </c>
      <c r="D47" t="s">
        <v>7</v>
      </c>
      <c r="E47" t="s">
        <v>7</v>
      </c>
      <c r="F47" t="s">
        <v>7</v>
      </c>
      <c r="G47" t="s">
        <v>7</v>
      </c>
      <c r="H47" t="s">
        <v>7</v>
      </c>
      <c r="I47" t="s">
        <v>7</v>
      </c>
      <c r="J47" t="s">
        <v>7</v>
      </c>
      <c r="K47" t="s">
        <v>7</v>
      </c>
      <c r="L47" t="s">
        <v>7</v>
      </c>
      <c r="M47" t="s">
        <v>7</v>
      </c>
    </row>
    <row r="48" spans="2:13" x14ac:dyDescent="0.25">
      <c r="B48" t="s">
        <v>255</v>
      </c>
      <c r="C48" t="s">
        <v>7</v>
      </c>
      <c r="D48" t="s">
        <v>7</v>
      </c>
      <c r="E48">
        <v>43.828571428571429</v>
      </c>
      <c r="F48" t="s">
        <v>7</v>
      </c>
      <c r="G48" t="s">
        <v>7</v>
      </c>
      <c r="H48" t="s">
        <v>7</v>
      </c>
      <c r="I48" t="s">
        <v>7</v>
      </c>
      <c r="J48" t="s">
        <v>7</v>
      </c>
      <c r="K48" t="s">
        <v>7</v>
      </c>
      <c r="L48" t="s">
        <v>7</v>
      </c>
      <c r="M48" t="s">
        <v>7</v>
      </c>
    </row>
    <row r="49" spans="2:13" x14ac:dyDescent="0.25">
      <c r="B49" t="s">
        <v>256</v>
      </c>
      <c r="C49" t="s">
        <v>7</v>
      </c>
      <c r="D49" t="s">
        <v>7</v>
      </c>
      <c r="E49" t="s">
        <v>7</v>
      </c>
      <c r="F49" t="s">
        <v>7</v>
      </c>
      <c r="G49" t="s">
        <v>7</v>
      </c>
      <c r="H49" t="s">
        <v>7</v>
      </c>
      <c r="I49" t="s">
        <v>7</v>
      </c>
      <c r="J49" t="s">
        <v>7</v>
      </c>
      <c r="K49" t="s">
        <v>7</v>
      </c>
      <c r="L49">
        <v>23.485714285714288</v>
      </c>
      <c r="M49" t="s">
        <v>7</v>
      </c>
    </row>
    <row r="50" spans="2:13" x14ac:dyDescent="0.25">
      <c r="B50" t="s">
        <v>257</v>
      </c>
      <c r="C50">
        <v>269.47142857142859</v>
      </c>
      <c r="D50">
        <v>102.05714285714285</v>
      </c>
      <c r="E50">
        <v>36.24285714285714</v>
      </c>
      <c r="F50">
        <v>30.62857142857143</v>
      </c>
      <c r="G50" t="s">
        <v>7</v>
      </c>
      <c r="H50" t="s">
        <v>7</v>
      </c>
      <c r="I50" t="s">
        <v>7</v>
      </c>
      <c r="J50">
        <v>33.114285714285714</v>
      </c>
      <c r="K50" t="s">
        <v>7</v>
      </c>
      <c r="L50" t="s">
        <v>7</v>
      </c>
      <c r="M50" t="s">
        <v>7</v>
      </c>
    </row>
    <row r="51" spans="2:13" x14ac:dyDescent="0.25">
      <c r="B51" t="s">
        <v>258</v>
      </c>
      <c r="C51">
        <v>147.68571428571428</v>
      </c>
      <c r="D51" t="s">
        <v>7</v>
      </c>
      <c r="E51" t="s">
        <v>7</v>
      </c>
      <c r="F51" t="s">
        <v>7</v>
      </c>
      <c r="G51" t="s">
        <v>7</v>
      </c>
      <c r="H51" t="s">
        <v>7</v>
      </c>
      <c r="I51" t="s">
        <v>7</v>
      </c>
      <c r="J51" t="s">
        <v>7</v>
      </c>
      <c r="K51" t="s">
        <v>7</v>
      </c>
      <c r="L51" t="s">
        <v>7</v>
      </c>
      <c r="M51" t="s">
        <v>7</v>
      </c>
    </row>
    <row r="52" spans="2:13" x14ac:dyDescent="0.25">
      <c r="B52" t="s">
        <v>259</v>
      </c>
      <c r="C52" t="s">
        <v>7</v>
      </c>
      <c r="D52">
        <v>95.314285714285717</v>
      </c>
      <c r="E52" t="s">
        <v>7</v>
      </c>
      <c r="F52" t="s">
        <v>7</v>
      </c>
      <c r="G52" t="s">
        <v>7</v>
      </c>
      <c r="H52" t="s">
        <v>7</v>
      </c>
      <c r="I52" t="s">
        <v>7</v>
      </c>
      <c r="J52" t="s">
        <v>7</v>
      </c>
      <c r="K52" t="s">
        <v>7</v>
      </c>
      <c r="L52" t="s">
        <v>7</v>
      </c>
      <c r="M52" t="s">
        <v>7</v>
      </c>
    </row>
    <row r="53" spans="2:13" x14ac:dyDescent="0.25">
      <c r="B53" t="s">
        <v>260</v>
      </c>
      <c r="C53" t="s">
        <v>7</v>
      </c>
      <c r="D53" t="s">
        <v>7</v>
      </c>
      <c r="E53" t="s">
        <v>7</v>
      </c>
      <c r="F53" t="s">
        <v>7</v>
      </c>
      <c r="G53">
        <v>33.357142857142854</v>
      </c>
      <c r="H53" t="s">
        <v>7</v>
      </c>
      <c r="I53" t="s">
        <v>7</v>
      </c>
      <c r="J53" t="s">
        <v>7</v>
      </c>
      <c r="K53" t="s">
        <v>7</v>
      </c>
      <c r="L53" t="s">
        <v>7</v>
      </c>
      <c r="M53" t="s">
        <v>7</v>
      </c>
    </row>
    <row r="54" spans="2:13" x14ac:dyDescent="0.25">
      <c r="B54" t="s">
        <v>261</v>
      </c>
      <c r="C54">
        <v>350.67142857142852</v>
      </c>
      <c r="D54">
        <v>156.95714285714286</v>
      </c>
      <c r="E54">
        <v>44.914285714285711</v>
      </c>
      <c r="F54">
        <v>42.142857142857146</v>
      </c>
      <c r="G54">
        <v>47.157142857142858</v>
      </c>
      <c r="H54">
        <v>37.114285714285714</v>
      </c>
      <c r="I54">
        <v>14.6</v>
      </c>
      <c r="J54">
        <v>37.885714285714286</v>
      </c>
      <c r="K54">
        <v>21.142857142857142</v>
      </c>
      <c r="L54">
        <v>38.48571428571428</v>
      </c>
      <c r="M54">
        <v>32.642857142857146</v>
      </c>
    </row>
    <row r="55" spans="2:13" x14ac:dyDescent="0.25">
      <c r="B55" t="s">
        <v>262</v>
      </c>
      <c r="C55">
        <v>326.54285714285714</v>
      </c>
      <c r="D55">
        <v>128.67142857142858</v>
      </c>
      <c r="E55">
        <v>42.9</v>
      </c>
      <c r="F55">
        <v>36.842857142857142</v>
      </c>
      <c r="G55">
        <v>40.614285714285714</v>
      </c>
      <c r="H55">
        <v>36.542857142857144</v>
      </c>
      <c r="I55">
        <v>15.299999999999999</v>
      </c>
      <c r="J55">
        <v>44.24285714285714</v>
      </c>
      <c r="K55">
        <v>20.714285714285715</v>
      </c>
      <c r="L55">
        <v>34.471428571428575</v>
      </c>
      <c r="M55">
        <v>39.98571428571428</v>
      </c>
    </row>
    <row r="56" spans="2:13" x14ac:dyDescent="0.25">
      <c r="B56" t="s">
        <v>263</v>
      </c>
      <c r="C56">
        <v>96.685714285714283</v>
      </c>
      <c r="D56" t="s">
        <v>7</v>
      </c>
      <c r="E56" t="s">
        <v>7</v>
      </c>
      <c r="F56" t="s">
        <v>7</v>
      </c>
      <c r="G56" t="s">
        <v>7</v>
      </c>
      <c r="H56" t="s">
        <v>7</v>
      </c>
      <c r="I56" t="s">
        <v>7</v>
      </c>
      <c r="J56" t="s">
        <v>7</v>
      </c>
      <c r="K56" t="s">
        <v>7</v>
      </c>
      <c r="L56" t="s">
        <v>7</v>
      </c>
      <c r="M56" t="s">
        <v>7</v>
      </c>
    </row>
    <row r="57" spans="2:13" x14ac:dyDescent="0.25">
      <c r="B57" t="s">
        <v>264</v>
      </c>
      <c r="C57">
        <v>212.64285714285714</v>
      </c>
      <c r="D57">
        <v>58.31428571428571</v>
      </c>
      <c r="E57">
        <v>28.171428571428571</v>
      </c>
      <c r="F57" t="s">
        <v>7</v>
      </c>
      <c r="G57">
        <v>23.37142857142857</v>
      </c>
      <c r="H57">
        <v>22.971428571428572</v>
      </c>
      <c r="I57" t="s">
        <v>7</v>
      </c>
      <c r="J57">
        <v>29</v>
      </c>
      <c r="K57" t="s">
        <v>7</v>
      </c>
      <c r="L57" t="s">
        <v>7</v>
      </c>
      <c r="M57" t="s">
        <v>7</v>
      </c>
    </row>
    <row r="58" spans="2:13" x14ac:dyDescent="0.25">
      <c r="B58" t="s">
        <v>265</v>
      </c>
      <c r="C58" t="s">
        <v>7</v>
      </c>
      <c r="D58">
        <v>124.78571428571429</v>
      </c>
      <c r="E58" t="s">
        <v>7</v>
      </c>
      <c r="F58" t="s">
        <v>7</v>
      </c>
      <c r="G58" t="s">
        <v>7</v>
      </c>
      <c r="H58" t="s">
        <v>7</v>
      </c>
      <c r="I58" t="s">
        <v>7</v>
      </c>
      <c r="J58" t="s">
        <v>7</v>
      </c>
      <c r="K58" t="s">
        <v>7</v>
      </c>
      <c r="L58" t="s">
        <v>7</v>
      </c>
      <c r="M58" t="s">
        <v>7</v>
      </c>
    </row>
    <row r="59" spans="2:13" x14ac:dyDescent="0.25">
      <c r="B59" t="s">
        <v>89</v>
      </c>
      <c r="C59">
        <v>232.98571428571429</v>
      </c>
      <c r="D59">
        <v>91.98571428571428</v>
      </c>
      <c r="E59">
        <v>40.157142857142858</v>
      </c>
      <c r="F59">
        <v>29.542857142857144</v>
      </c>
      <c r="G59">
        <v>40.028571428571425</v>
      </c>
      <c r="H59" t="s">
        <v>7</v>
      </c>
      <c r="I59" t="s">
        <v>7</v>
      </c>
      <c r="J59">
        <v>26.142857142857142</v>
      </c>
      <c r="K59">
        <v>7.7142857142857144</v>
      </c>
      <c r="L59" t="s">
        <v>7</v>
      </c>
      <c r="M59">
        <v>26.74285714285714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920609AE79A2D147BE705567FE1EE30F" ma:contentTypeVersion="16" ma:contentTypeDescription="Создание документа." ma:contentTypeScope="" ma:versionID="3d7dfb031c7942f0299d1233ec5840d7">
  <xsd:schema xmlns:xsd="http://www.w3.org/2001/XMLSchema" xmlns:xs="http://www.w3.org/2001/XMLSchema" xmlns:p="http://schemas.microsoft.com/office/2006/metadata/properties" xmlns:ns2="aa1fe1a4-b744-4817-8833-61bd1aed8d59" xmlns:ns3="05c0f392-1b27-4416-b392-f455c43cd137" targetNamespace="http://schemas.microsoft.com/office/2006/metadata/properties" ma:root="true" ma:fieldsID="bb8f5837543d28eb1a15752d85a39ffb" ns2:_="" ns3:_="">
    <xsd:import namespace="aa1fe1a4-b744-4817-8833-61bd1aed8d59"/>
    <xsd:import namespace="05c0f392-1b27-4416-b392-f455c43cd1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fe1a4-b744-4817-8833-61bd1aed8d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Теги изображений" ma:readOnly="false" ma:fieldId="{5cf76f15-5ced-4ddc-b409-7134ff3c332f}" ma:taxonomyMulti="true" ma:sspId="a64f6fa0-3c24-4139-8d1b-05cacd3167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c0f392-1b27-4416-b392-f455c43cd13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d22d12b-416a-475b-9de6-b7d4c70a68a6}" ma:internalName="TaxCatchAll" ma:showField="CatchAllData" ma:web="05c0f392-1b27-4416-b392-f455c43cd1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5c0f392-1b27-4416-b392-f455c43cd137" xsi:nil="true"/>
    <lcf76f155ced4ddcb4097134ff3c332f xmlns="aa1fe1a4-b744-4817-8833-61bd1aed8d59">
      <Terms xmlns="http://schemas.microsoft.com/office/infopath/2007/PartnerControls"/>
    </lcf76f155ced4ddcb4097134ff3c332f>
  </documentManagement>
</p:properties>
</file>

<file path=customXml/item4.xml>��
</file>

<file path=customXml/itemProps1.xml><?xml version="1.0" encoding="utf-8"?>
<ds:datastoreItem xmlns:ds="http://schemas.openxmlformats.org/officeDocument/2006/customXml" ds:itemID="{4C7E2E1E-930F-4F02-B898-4CC4EC92C86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BE18578-5B7A-4DB1-A779-55B6FE0E77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1fe1a4-b744-4817-8833-61bd1aed8d59"/>
    <ds:schemaRef ds:uri="05c0f392-1b27-4416-b392-f455c43cd1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F60A4E9-79F3-46FD-8097-13A28E7EBB1A}">
  <ds:schemaRefs>
    <ds:schemaRef ds:uri="http://schemas.microsoft.com/office/2006/metadata/properties"/>
    <ds:schemaRef ds:uri="http://schemas.microsoft.com/office/infopath/2007/PartnerControls"/>
    <ds:schemaRef ds:uri="05c0f392-1b27-4416-b392-f455c43cd137"/>
    <ds:schemaRef ds:uri="aa1fe1a4-b744-4817-8833-61bd1aed8d59"/>
  </ds:schemaRefs>
</ds:datastoreItem>
</file>

<file path=customXml/itemProps4.xml><?xml version="1.0" encoding="utf-8"?>
<ds:datastoreItem xmlns:ds="http://schemas.openxmlformats.org/officeDocument/2006/customXml" ds:itemID="{02FF5CA1-E9D0-4C47-A3C8-CF141844A3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TEMPLATE</vt:lpstr>
      <vt:lpstr>ТВ Каналы</vt:lpstr>
      <vt:lpstr>Радиостанции</vt:lpstr>
      <vt:lpstr>Коэфы качество контакта</vt:lpstr>
      <vt:lpstr>ЦА по городам</vt:lpstr>
      <vt:lpstr>Коэфы брендирование</vt:lpstr>
      <vt:lpstr>ТВ</vt:lpstr>
      <vt:lpstr>OOH</vt:lpstr>
      <vt:lpstr>Метро</vt:lpstr>
      <vt:lpstr>Radio</vt:lpstr>
      <vt:lpstr>Indoor</vt:lpstr>
      <vt:lpstr>ТВ исходник</vt:lpstr>
      <vt:lpstr>Радио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Daria Kalinovskaya</dc:creator>
  <cp:keywords/>
  <dc:description/>
  <cp:lastModifiedBy>Julia Radetskaya</cp:lastModifiedBy>
  <cp:revision/>
  <dcterms:created xsi:type="dcterms:W3CDTF">2024-08-06T10:20:02Z</dcterms:created>
  <dcterms:modified xsi:type="dcterms:W3CDTF">2026-01-18T09:34:12Z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0x010100920609AE79A2D147BE705567FE1EE30F</vt:lpwstr>
  </property>
  <property fmtid="{D5CDD505-2E9C-101B-9397-08002B2CF9AE}" pid="3" name="MediaServiceImageTags">
    <vt:lpwstr/>
  </property>
</Properties>
</file>