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om\Desktop\calculator_app\"/>
    </mc:Choice>
  </mc:AlternateContent>
  <xr:revisionPtr revIDLastSave="0" documentId="8_{259F6C68-A49E-45DB-A835-89E6536ADECB}" xr6:coauthVersionLast="47" xr6:coauthVersionMax="47" xr10:uidLastSave="{00000000-0000-0000-0000-000000000000}"/>
  <bookViews>
    <workbookView xWindow="28680" yWindow="-120" windowWidth="29040" windowHeight="15720" xr2:uid="{3833B953-B659-4477-B07F-29B1E90D553D}"/>
  </bookViews>
  <sheets>
    <sheet name="Медиа факторы" sheetId="3" r:id="rId1"/>
    <sheet name="Фильтры" sheetId="10" r:id="rId2"/>
    <sheet name="Total_Москва" sheetId="4" r:id="rId3"/>
    <sheet name="Москва" sheetId="12" r:id="rId4"/>
    <sheet name="Списки" sheetId="13" r:id="rId5"/>
    <sheet name="Описание" sheetId="14" r:id="rId6"/>
    <sheet name="Форматы" sheetId="15" r:id="rId7"/>
    <sheet name="PR" sheetId="16" r:id="rId8"/>
  </sheets>
  <externalReferences>
    <externalReference r:id="rId9"/>
    <externalReference r:id="rId10"/>
  </externalReferences>
  <definedNames>
    <definedName name="Indoor" localSheetId="2">OFFSET([1]Indoor!$A$2,MATCH(Total_Москва!#REF!,[1]Indoor!$A$2:$A$996,0)-1,1,COUNTIF([1]Indoor!$A$2:$A$996,Total_Москва!#REF!),1)</definedName>
    <definedName name="Indoor" localSheetId="0">OFFSET([1]Indoor!$A$2,MATCH('Медиа факторы'!#REF!,[1]Indoor!$A$2:$A$996,0)-1,1,COUNTIF([1]Indoor!$A$2:$A$996,'Медиа факторы'!#REF!),1)</definedName>
    <definedName name="Indoor" localSheetId="3">OFFSET([2]Indoor!$A$2,MATCH(Москва!$E$4,[2]Indoor!$A$2:$A$996,0)-1,1,COUNTIF([2]Indoor!$A$2:$A$996,Москва!$E$4),1)</definedName>
    <definedName name="Indoor" localSheetId="1">OFFSET([1]Indoor!$A$2,MATCH(Фильтры!#REF!,[1]Indoor!$A$2:$A$996,0)-1,1,COUNTIF([1]Indoor!$A$2:$A$996,Фильтры!#REF!),1)</definedName>
    <definedName name="Indoor">OFFSET([1]Indoor!$A$2,MATCH(#REF!,[1]Indoor!$A$2:$A$996,0)-1,1,COUNTIF([1]Indoor!$A$2:$A$996,#REF!),1)</definedName>
    <definedName name="OTSРадио" localSheetId="2">OFFSET([1]Радиостанции!$B$1,MATCH(Total_Москва!#REF!,[1]Радиостанции!$B:$B,0)-1,3,COUNTIF([1]Радиостанции!$B:$B,Total_Москва!#REF!),1)</definedName>
    <definedName name="OTSРадио" localSheetId="0">OFFSET([1]Радиостанции!$B$1,MATCH('Медиа факторы'!$C1,[1]Радиостанции!$B:$B,0)-1,3,COUNTIF([1]Радиостанции!$B:$B,'Медиа факторы'!$C1),1)</definedName>
    <definedName name="OTSРадио" localSheetId="3">OFFSET([2]Радиостанции!$B$1,MATCH(Москва!$E1,[2]Радиостанции!$B:$B,0)-1,3,COUNTIF([2]Радиостанции!$B:$B,Москва!$E1),1)</definedName>
    <definedName name="OTSРадио" localSheetId="1">OFFSET([1]Радиостанции!$B$1,MATCH(Фильтры!$B1,[1]Радиостанции!$B:$B,0)-1,3,COUNTIF([1]Радиостанции!$B:$B,Фильтры!$B1),1)</definedName>
    <definedName name="OTSРадио">OFFSET([1]Радиостанции!$B$1,MATCH(#REF!,[1]Радиостанции!$B:$B,0)-1,3,COUNTIF([1]Радиостанции!$B:$B,#REF!),1)</definedName>
    <definedName name="OTSРадиоМосква" localSheetId="2">OFFSET([1]Радиостанции!$C$1,MATCH(Total_Москва!$E1,[1]Радиостанции!$C:$C,0)-1,3,COUNTIF([1]Радиостанции!$C:$C,Total_Москва!$E1),1)</definedName>
    <definedName name="OTSРадиоМосква" localSheetId="0">OFFSET([1]Радиостанции!$C$1,MATCH('Медиа факторы'!$N1,[1]Радиостанции!$C:$C,0)-1,3,COUNTIF([1]Радиостанции!$C:$C,'Медиа факторы'!$N1),1)</definedName>
    <definedName name="OTSРадиоМосква" localSheetId="3">OFFSET([2]Радиостанции!$C$1,MATCH(Москва!$P1,[2]Радиостанции!$C:$C,0)-1,3,COUNTIF([2]Радиостанции!$C:$C,Москва!$P1),1)</definedName>
    <definedName name="OTSРадиоМосква" localSheetId="1">OFFSET([1]Радиостанции!$C$1,MATCH(Фильтры!#REF!,[1]Радиостанции!$C:$C,0)-1,3,COUNTIF([1]Радиостанции!$C:$C,Фильтры!#REF!),1)</definedName>
    <definedName name="OTSРадиоМосква">OFFSET([1]Радиостанции!$C$1,MATCH(#REF!,[1]Радиостанции!$C:$C,0)-1,3,COUNTIF([1]Радиостанции!$C:$C,#REF!),1)</definedName>
    <definedName name="OTSТВ" localSheetId="2">OFFSET('[1]ТВ Каналы'!$B$1,MATCH(Total_Москва!#REF!,'[1]ТВ Каналы'!$B:$B,0)-1,4,COUNTIF('[1]ТВ Каналы'!$B:$B,Total_Москва!#REF!),1)</definedName>
    <definedName name="OTSТВ" localSheetId="0">OFFSET('[1]ТВ Каналы'!$B$1,MATCH('Медиа факторы'!$C1,'[1]ТВ Каналы'!$B:$B,0)-1,4,COUNTIF('[1]ТВ Каналы'!$B:$B,'Медиа факторы'!$C1),1)</definedName>
    <definedName name="OTSТВ" localSheetId="3">OFFSET('[2]ТВ Каналы'!$B$1,MATCH(Москва!$E1,'[2]ТВ Каналы'!$B:$B,0)-1,4,COUNTIF('[2]ТВ Каналы'!$B:$B,Москва!$E1),1)</definedName>
    <definedName name="OTSТВ" localSheetId="1">OFFSET('[1]ТВ Каналы'!$B$1,MATCH(Фильтры!$B1,'[1]ТВ Каналы'!$B:$B,0)-1,4,COUNTIF('[1]ТВ Каналы'!$B:$B,Фильтры!$B1),1)</definedName>
    <definedName name="OTSТВ">OFFSET('[1]ТВ Каналы'!$B$1,MATCH(#REF!,'[1]ТВ Каналы'!$B:$B,0)-1,4,COUNTIF('[1]ТВ Каналы'!$B:$B,#REF!),1)</definedName>
    <definedName name="OTSТВМосква" localSheetId="2">OFFSET('[1]ТВ Каналы'!$C$1,MATCH(Total_Москва!$E1,'[1]ТВ Каналы'!$C:$C,0)-1,3,COUNTIF('[1]ТВ Каналы'!$C:$C,Total_Москва!$E1),1)</definedName>
    <definedName name="OTSТВМосква" localSheetId="0">OFFSET('[1]ТВ Каналы'!$C$1,MATCH('Медиа факторы'!$N1,'[1]ТВ Каналы'!$C:$C,0)-1,3,COUNTIF('[1]ТВ Каналы'!$C:$C,'Медиа факторы'!$N1),1)</definedName>
    <definedName name="OTSТВМосква" localSheetId="3">OFFSET('[2]ТВ Каналы'!$C$1,MATCH(Москва!$P1,'[2]ТВ Каналы'!$C:$C,0)-1,3,COUNTIF('[2]ТВ Каналы'!$C:$C,Москва!$P1),1)</definedName>
    <definedName name="OTSТВМосква" localSheetId="1">OFFSET('[1]ТВ Каналы'!$C$1,MATCH(Фильтры!#REF!,'[1]ТВ Каналы'!$C:$C,0)-1,3,COUNTIF('[1]ТВ Каналы'!$C:$C,Фильтры!#REF!),1)</definedName>
    <definedName name="OTSТВМосква">OFFSET('[1]ТВ Каналы'!$C$1,MATCH(#REF!,'[1]ТВ Каналы'!$C:$C,0)-1,3,COUNTIF('[1]ТВ Каналы'!$C:$C,#REF!),1)</definedName>
    <definedName name="OTSТВСумм" localSheetId="2">SUM(Total_Москва!OTSТВ)</definedName>
    <definedName name="OTSТВСумм" localSheetId="0">SUM('Медиа факторы'!OTSТВ)</definedName>
    <definedName name="OTSТВСумм" localSheetId="3">SUM(Москва!OTSТВ)</definedName>
    <definedName name="OTSТВСумм" localSheetId="1">SUM(Фильтры!OTSТВ)</definedName>
    <definedName name="OTSТВСумм">SUM(OTSТВ)</definedName>
    <definedName name="Канал" localSheetId="2">OFFSET([1]ТВ!$A$1,MATCH(Total_Москва!#REF!,[1]ТВ!$A:$A,0)-1,1,COUNTIF([1]ТВ!$A:$A,Total_Москва!#REF!),1)</definedName>
    <definedName name="Канал" localSheetId="0">OFFSET([1]ТВ!$A$1,MATCH('Медиа факторы'!#REF!,[1]ТВ!$A:$A,0)-1,1,COUNTIF([1]ТВ!$A:$A,'Медиа факторы'!#REF!),1)</definedName>
    <definedName name="Канал" localSheetId="3">OFFSET([2]ТВ!$A$1,MATCH(Москва!$E$4,[2]ТВ!$A:$A,0)-1,1,COUNTIF([2]ТВ!$A:$A,Москва!$E$4),1)</definedName>
    <definedName name="Канал" localSheetId="1">OFFSET([1]ТВ!$A$1,MATCH(Фильтры!#REF!,[1]ТВ!$A:$A,0)-1,1,COUNTIF([1]ТВ!$A:$A,Фильтры!#REF!),1)</definedName>
    <definedName name="Канал">OFFSET([1]ТВ!$A$1,MATCH(#REF!,[1]ТВ!$A:$A,0)-1,1,COUNTIF([1]ТВ!$A:$A,#REF!),1)</definedName>
    <definedName name="МинутыРадио" localSheetId="2">OFFSET([1]Радиостанции!$B$1,MATCH(Total_Москва!#REF!,[1]Радиостанции!$B:$B,0)-1,2,COUNTIF([1]Радиостанции!$B:$B,Total_Москва!#REF!),1)</definedName>
    <definedName name="МинутыРадио" localSheetId="0">OFFSET([1]Радиостанции!$B$1,MATCH('Медиа факторы'!$C1,[1]Радиостанции!$B:$B,0)-1,2,COUNTIF([1]Радиостанции!$B:$B,'Медиа факторы'!$C1),1)</definedName>
    <definedName name="МинутыРадио" localSheetId="3">OFFSET([2]Радиостанции!$B$1,MATCH(Москва!$E1,[2]Радиостанции!$B:$B,0)-1,2,COUNTIF([2]Радиостанции!$B:$B,Москва!$E1),1)</definedName>
    <definedName name="МинутыРадио" localSheetId="1">OFFSET([1]Радиостанции!$B$1,MATCH(Фильтры!$B1,[1]Радиостанции!$B:$B,0)-1,2,COUNTIF([1]Радиостанции!$B:$B,Фильтры!$B1),1)</definedName>
    <definedName name="МинутыРадио">OFFSET([1]Радиостанции!$B$1,MATCH(#REF!,[1]Радиостанции!$B:$B,0)-1,2,COUNTIF([1]Радиостанции!$B:$B,#REF!),1)</definedName>
    <definedName name="МинутыРадиоМосква" localSheetId="2">OFFSET([1]Радиостанции!$C$1,MATCH(Total_Москва!$E1,[1]Радиостанции!$C:$C,0)-1,2,COUNTIF([1]Радиостанции!$C:$C,Total_Москва!$E1),1)</definedName>
    <definedName name="МинутыРадиоМосква" localSheetId="0">OFFSET([1]Радиостанции!$C$1,MATCH('Медиа факторы'!$N1,[1]Радиостанции!$C:$C,0)-1,2,COUNTIF([1]Радиостанции!$C:$C,'Медиа факторы'!$N1),1)</definedName>
    <definedName name="МинутыРадиоМосква" localSheetId="3">OFFSET([2]Радиостанции!$C$1,MATCH(Москва!$P1,[2]Радиостанции!$C:$C,0)-1,2,COUNTIF([2]Радиостанции!$C:$C,Москва!$P1),1)</definedName>
    <definedName name="МинутыРадиоМосква" localSheetId="1">OFFSET([1]Радиостанции!$C$1,MATCH(Фильтры!#REF!,[1]Радиостанции!$C:$C,0)-1,2,COUNTIF([1]Радиостанции!$C:$C,Фильтры!#REF!),1)</definedName>
    <definedName name="МинутыРадиоМосква">OFFSET([1]Радиостанции!$C$1,MATCH(#REF!,[1]Радиостанции!$C:$C,0)-1,2,COUNTIF([1]Радиостанции!$C:$C,#REF!),1)</definedName>
    <definedName name="МинутыТВ" localSheetId="2">OFFSET('[1]ТВ Каналы'!$B$1,MATCH(Total_Москва!#REF!,'[1]ТВ Каналы'!$B:$B,0)-1,2,COUNTIF('[1]ТВ Каналы'!$B:$B,Total_Москва!#REF!),1)</definedName>
    <definedName name="МинутыТВ" localSheetId="0">OFFSET('[1]ТВ Каналы'!$B$1,MATCH('Медиа факторы'!$C1,'[1]ТВ Каналы'!$B:$B,0)-1,2,COUNTIF('[1]ТВ Каналы'!$B:$B,'Медиа факторы'!$C1),1)</definedName>
    <definedName name="МинутыТВ" localSheetId="3">OFFSET('[2]ТВ Каналы'!$B$1,MATCH(Москва!$E1,'[2]ТВ Каналы'!$B:$B,0)-1,2,COUNTIF('[2]ТВ Каналы'!$B:$B,Москва!$E1),1)</definedName>
    <definedName name="МинутыТВ" localSheetId="1">OFFSET('[1]ТВ Каналы'!$B$1,MATCH(Фильтры!$B1,'[1]ТВ Каналы'!$B:$B,0)-1,2,COUNTIF('[1]ТВ Каналы'!$B:$B,Фильтры!$B1),1)</definedName>
    <definedName name="МинутыТВ">OFFSET('[1]ТВ Каналы'!$B$1,MATCH(#REF!,'[1]ТВ Каналы'!$B:$B,0)-1,2,COUNTIF('[1]ТВ Каналы'!$B:$B,#REF!),1)</definedName>
    <definedName name="МинутыТВМосква" localSheetId="2">OFFSET('[1]ТВ Каналы'!$C$1,MATCH(Total_Москва!$E1,'[1]ТВ Каналы'!$C:$C,0)-1,2,COUNTIF('[1]ТВ Каналы'!$C:$C,Total_Москва!$E1),1)</definedName>
    <definedName name="МинутыТВМосква" localSheetId="0">OFFSET('[1]ТВ Каналы'!$C$1,MATCH('Медиа факторы'!$N1,'[1]ТВ Каналы'!$C:$C,0)-1,2,COUNTIF('[1]ТВ Каналы'!$C:$C,'Медиа факторы'!$N1),1)</definedName>
    <definedName name="МинутыТВМосква" localSheetId="3">OFFSET('[2]ТВ Каналы'!$C$1,MATCH(Москва!$P1,'[2]ТВ Каналы'!$C:$C,0)-1,2,COUNTIF('[2]ТВ Каналы'!$C:$C,Москва!$P1),1)</definedName>
    <definedName name="МинутыТВМосква" localSheetId="1">OFFSET('[1]ТВ Каналы'!$C$1,MATCH(Фильтры!#REF!,'[1]ТВ Каналы'!$C:$C,0)-1,2,COUNTIF('[1]ТВ Каналы'!$C:$C,Фильтры!#REF!),1)</definedName>
    <definedName name="МинутыТВМосква">OFFSET('[1]ТВ Каналы'!$C$1,MATCH(#REF!,'[1]ТВ Каналы'!$C:$C,0)-1,2,COUNTIF('[1]ТВ Каналы'!$C:$C,#REF!),1)</definedName>
    <definedName name="Радио" localSheetId="2">OFFSET([1]Radio!$A$1,MATCH(Total_Москва!#REF!,[1]Radio!$A:$A,0)-1,1,COUNTIF([1]Radio!$A:$A,Total_Москва!#REF!),1)</definedName>
    <definedName name="Радио" localSheetId="0">OFFSET([1]Radio!$A$1,MATCH('Медиа факторы'!#REF!,[1]Radio!$A:$A,0)-1,1,COUNTIF([1]Radio!$A:$A,'Медиа факторы'!#REF!),1)</definedName>
    <definedName name="Радио" localSheetId="3">OFFSET([2]Radio!$A$1,MATCH(Москва!$E$4,[2]Radio!$A:$A,0)-1,1,COUNTIF([2]Radio!$A:$A,Москва!$E$4),1)</definedName>
    <definedName name="Радио" localSheetId="1">OFFSET([1]Radio!$A$1,MATCH(Фильтры!#REF!,[1]Radio!$A:$A,0)-1,1,COUNTIF([1]Radio!$A:$A,Фильтры!#REF!),1)</definedName>
    <definedName name="Радио">OFFSET([1]Radio!$A$1,MATCH(#REF!,[1]Radio!$A:$A,0)-1,1,COUNTIF([1]Radio!$A:$A,#REF!),1)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2" l="1"/>
  <c r="P11" i="12"/>
  <c r="K11" i="12" s="1"/>
  <c r="J11" i="12" s="1" a="1"/>
  <c r="J11" i="12" s="1"/>
  <c r="N12" i="12"/>
  <c r="P12" i="12"/>
  <c r="K12" i="12" s="1"/>
  <c r="J12" i="12" s="1" a="1"/>
  <c r="J12" i="12" s="1"/>
  <c r="O12" i="12" s="1"/>
  <c r="J14" i="12" a="1"/>
  <c r="J14" i="12" s="1"/>
  <c r="N14" i="12"/>
  <c r="J15" i="12" a="1"/>
  <c r="J15" i="12" s="1"/>
  <c r="O15" i="12" s="1"/>
  <c r="N15" i="12"/>
  <c r="J16" i="12" a="1"/>
  <c r="J16" i="12" s="1"/>
  <c r="O16" i="12" s="1"/>
  <c r="N16" i="12"/>
  <c r="J17" i="12" a="1"/>
  <c r="J17" i="12" s="1"/>
  <c r="O17" i="12" s="1"/>
  <c r="N17" i="12"/>
  <c r="J18" i="12" a="1"/>
  <c r="J18" i="12" s="1"/>
  <c r="O18" i="12" s="1"/>
  <c r="N18" i="12"/>
  <c r="J19" i="12" a="1"/>
  <c r="J19" i="12" s="1"/>
  <c r="O19" i="12" s="1"/>
  <c r="N19" i="12"/>
  <c r="J20" i="12" a="1"/>
  <c r="J20" i="12" s="1"/>
  <c r="O20" i="12" s="1"/>
  <c r="N20" i="12"/>
  <c r="J21" i="12" a="1"/>
  <c r="J21" i="12" s="1"/>
  <c r="O21" i="12" s="1"/>
  <c r="N21" i="12"/>
  <c r="J23" i="12" a="1"/>
  <c r="J23" i="12" s="1"/>
  <c r="N23" i="12"/>
  <c r="J24" i="12" a="1"/>
  <c r="J24" i="12" s="1"/>
  <c r="O24" i="12" s="1" a="1"/>
  <c r="O24" i="12" s="1"/>
  <c r="N24" i="12"/>
  <c r="J25" i="12" a="1"/>
  <c r="J25" i="12" s="1"/>
  <c r="O25" i="12" s="1" a="1"/>
  <c r="O25" i="12" s="1"/>
  <c r="N25" i="12"/>
  <c r="J26" i="12" a="1"/>
  <c r="J26" i="12" s="1"/>
  <c r="O26" i="12" s="1" a="1"/>
  <c r="O26" i="12" s="1"/>
  <c r="N26" i="12"/>
  <c r="J27" i="12" a="1"/>
  <c r="J27" i="12" s="1"/>
  <c r="O27" i="12" s="1" a="1"/>
  <c r="O27" i="12" s="1"/>
  <c r="N27" i="12"/>
  <c r="J28" i="12" a="1"/>
  <c r="J28" i="12" s="1"/>
  <c r="O28" i="12" s="1" a="1"/>
  <c r="O28" i="12" s="1"/>
  <c r="N28" i="12"/>
  <c r="J29" i="12" a="1"/>
  <c r="J29" i="12" s="1"/>
  <c r="O29" i="12" s="1" a="1"/>
  <c r="O29" i="12" s="1"/>
  <c r="N29" i="12"/>
  <c r="J30" i="12" a="1"/>
  <c r="J30" i="12" s="1"/>
  <c r="O30" i="12" s="1" a="1"/>
  <c r="O30" i="12" s="1"/>
  <c r="N30" i="12"/>
  <c r="J31" i="12" a="1"/>
  <c r="J31" i="12" s="1"/>
  <c r="O31" i="12" s="1" a="1"/>
  <c r="O31" i="12" s="1"/>
  <c r="N31" i="12"/>
  <c r="J32" i="12" a="1"/>
  <c r="J32" i="12" s="1"/>
  <c r="O32" i="12" s="1" a="1"/>
  <c r="O32" i="12" s="1"/>
  <c r="N32" i="12"/>
  <c r="J33" i="12" a="1"/>
  <c r="J33" i="12" s="1"/>
  <c r="O33" i="12" s="1" a="1"/>
  <c r="O33" i="12" s="1"/>
  <c r="N33" i="12"/>
  <c r="J34" i="12" a="1"/>
  <c r="J34" i="12" s="1"/>
  <c r="O34" i="12" s="1" a="1"/>
  <c r="O34" i="12" s="1"/>
  <c r="N34" i="12"/>
  <c r="J35" i="12" a="1"/>
  <c r="J35" i="12" s="1"/>
  <c r="O35" i="12" s="1" a="1"/>
  <c r="O35" i="12" s="1"/>
  <c r="N35" i="12"/>
  <c r="J36" i="12" a="1"/>
  <c r="J36" i="12" s="1"/>
  <c r="O36" i="12" s="1" a="1"/>
  <c r="O36" i="12" s="1"/>
  <c r="N36" i="12"/>
  <c r="J37" i="12" a="1"/>
  <c r="J37" i="12" s="1"/>
  <c r="O37" i="12" s="1" a="1"/>
  <c r="O37" i="12" s="1"/>
  <c r="N37" i="12"/>
  <c r="J38" i="12" a="1"/>
  <c r="J38" i="12" s="1"/>
  <c r="O38" i="12" s="1" a="1"/>
  <c r="O38" i="12" s="1"/>
  <c r="N38" i="12"/>
  <c r="J39" i="12" a="1"/>
  <c r="J39" i="12" s="1"/>
  <c r="O39" i="12" s="1" a="1"/>
  <c r="O39" i="12" s="1"/>
  <c r="N39" i="12"/>
  <c r="J40" i="12" a="1"/>
  <c r="J40" i="12" s="1"/>
  <c r="O40" i="12" s="1" a="1"/>
  <c r="O40" i="12" s="1"/>
  <c r="N40" i="12"/>
  <c r="J41" i="12" a="1"/>
  <c r="J41" i="12" s="1"/>
  <c r="O41" i="12" s="1" a="1"/>
  <c r="O41" i="12" s="1"/>
  <c r="N41" i="12"/>
  <c r="J42" i="12" a="1"/>
  <c r="J42" i="12" s="1"/>
  <c r="O42" i="12" s="1" a="1"/>
  <c r="O42" i="12" s="1"/>
  <c r="N42" i="12"/>
  <c r="J44" i="12" a="1"/>
  <c r="J44" i="12" s="1"/>
  <c r="O44" i="12" s="1"/>
  <c r="N44" i="12"/>
  <c r="J45" i="12" a="1"/>
  <c r="J45" i="12" s="1"/>
  <c r="O45" i="12" s="1"/>
  <c r="N45" i="12"/>
  <c r="J46" i="12" a="1"/>
  <c r="J46" i="12" s="1"/>
  <c r="O46" i="12" s="1"/>
  <c r="N46" i="12"/>
  <c r="J47" i="12" a="1"/>
  <c r="J47" i="12" s="1"/>
  <c r="O47" i="12" s="1"/>
  <c r="N47" i="12"/>
  <c r="J48" i="12" a="1"/>
  <c r="J48" i="12" s="1"/>
  <c r="O48" i="12" s="1"/>
  <c r="N48" i="12"/>
  <c r="N50" i="12"/>
  <c r="P50" i="12"/>
  <c r="K50" i="12" s="1"/>
  <c r="J50" i="12" s="1" a="1"/>
  <c r="J50" i="12" s="1"/>
  <c r="N51" i="12"/>
  <c r="P51" i="12"/>
  <c r="K51" i="12" s="1"/>
  <c r="J51" i="12" s="1" a="1"/>
  <c r="J51" i="12" s="1"/>
  <c r="O51" i="12" s="1"/>
  <c r="J53" i="12" a="1"/>
  <c r="J53" i="12" s="1"/>
  <c r="O53" i="12" s="1"/>
  <c r="N53" i="12"/>
  <c r="J54" i="12" a="1"/>
  <c r="J54" i="12" s="1"/>
  <c r="O54" i="12" s="1"/>
  <c r="N54" i="12"/>
  <c r="J55" i="12" a="1"/>
  <c r="J55" i="12" s="1"/>
  <c r="O55" i="12" s="1"/>
  <c r="N55" i="12"/>
  <c r="J56" i="12" a="1"/>
  <c r="J56" i="12" s="1"/>
  <c r="O56" i="12" s="1"/>
  <c r="N56" i="12"/>
  <c r="J57" i="12" a="1"/>
  <c r="J57" i="12" s="1"/>
  <c r="O57" i="12" s="1"/>
  <c r="N57" i="12"/>
  <c r="J58" i="12" a="1"/>
  <c r="J58" i="12" s="1"/>
  <c r="O58" i="12" s="1"/>
  <c r="N58" i="12"/>
  <c r="J59" i="12" a="1"/>
  <c r="J59" i="12" s="1"/>
  <c r="O59" i="12" s="1"/>
  <c r="N59" i="12"/>
  <c r="J60" i="12" a="1"/>
  <c r="J60" i="12" s="1"/>
  <c r="O60" i="12" s="1"/>
  <c r="N60" i="12"/>
  <c r="J62" i="12" a="1"/>
  <c r="J62" i="12" s="1"/>
  <c r="O62" i="12"/>
  <c r="J63" i="12" a="1"/>
  <c r="J63" i="12" s="1"/>
  <c r="J64" i="12" a="1"/>
  <c r="J64" i="12"/>
  <c r="O64" i="12" s="1"/>
  <c r="J65" i="12" a="1"/>
  <c r="J65" i="12" s="1"/>
  <c r="O65" i="12" s="1"/>
  <c r="J66" i="12" a="1"/>
  <c r="J66" i="12" s="1"/>
  <c r="O66" i="12" s="1"/>
  <c r="J67" i="12" a="1"/>
  <c r="J67" i="12" s="1"/>
  <c r="O67" i="12" s="1"/>
  <c r="J69" i="12" a="1"/>
  <c r="J69" i="12" s="1"/>
  <c r="J70" i="12" a="1"/>
  <c r="J70" i="12" s="1"/>
  <c r="O70" i="12" s="1"/>
  <c r="J71" i="12" a="1"/>
  <c r="J71" i="12" s="1"/>
  <c r="O71" i="12" s="1"/>
  <c r="J72" i="12" a="1"/>
  <c r="J72" i="12"/>
  <c r="O72" i="12" s="1"/>
  <c r="J73" i="12" a="1"/>
  <c r="J73" i="12" s="1"/>
  <c r="O73" i="12" s="1"/>
  <c r="J74" i="12" a="1"/>
  <c r="J74" i="12" s="1"/>
  <c r="O74" i="12" s="1"/>
  <c r="J76" i="12" a="1"/>
  <c r="J76" i="12" s="1"/>
  <c r="O76" i="12" s="1" a="1"/>
  <c r="O76" i="12" s="1"/>
  <c r="J77" i="12" a="1"/>
  <c r="J77" i="12" s="1"/>
  <c r="J78" i="12" a="1"/>
  <c r="J78" i="12" s="1"/>
  <c r="O78" i="12" s="1" a="1"/>
  <c r="O78" i="12" s="1"/>
  <c r="J79" i="12" a="1"/>
  <c r="J79" i="12" s="1"/>
  <c r="O79" i="12" s="1" a="1"/>
  <c r="O79" i="12" s="1"/>
  <c r="J81" i="12" a="1"/>
  <c r="J81" i="12" s="1"/>
  <c r="J82" i="12" a="1"/>
  <c r="J82" i="12" s="1"/>
  <c r="O82" i="12" s="1" a="1"/>
  <c r="O82" i="12" s="1"/>
  <c r="J84" i="12" a="1"/>
  <c r="J84" i="12" s="1"/>
  <c r="J85" i="12" a="1"/>
  <c r="J85" i="12" s="1"/>
  <c r="O85" i="12" s="1" a="1"/>
  <c r="O85" i="12" s="1"/>
  <c r="J86" i="12" a="1"/>
  <c r="J86" i="12" s="1"/>
  <c r="O86" i="12" s="1" a="1"/>
  <c r="O86" i="12" s="1"/>
  <c r="J87" i="12" a="1"/>
  <c r="J87" i="12" s="1"/>
  <c r="O87" i="12" s="1" a="1"/>
  <c r="O87" i="12" s="1"/>
  <c r="J88" i="12" a="1"/>
  <c r="J88" i="12" s="1"/>
  <c r="O88" i="12" s="1" a="1"/>
  <c r="O88" i="12" s="1"/>
  <c r="J89" i="12" a="1"/>
  <c r="J89" i="12" s="1"/>
  <c r="O89" i="12" s="1" a="1"/>
  <c r="O89" i="12" s="1"/>
  <c r="J90" i="12" a="1"/>
  <c r="J90" i="12" s="1"/>
  <c r="O90" i="12" s="1" a="1"/>
  <c r="O90" i="12" s="1"/>
  <c r="J91" i="12" a="1"/>
  <c r="J91" i="12" s="1"/>
  <c r="O91" i="12" s="1" a="1"/>
  <c r="O91" i="12" s="1"/>
  <c r="J92" i="12" a="1"/>
  <c r="J92" i="12" s="1"/>
  <c r="O92" i="12" s="1" a="1"/>
  <c r="O92" i="12" s="1"/>
  <c r="J93" i="12" a="1"/>
  <c r="J93" i="12" s="1"/>
  <c r="O93" i="12" s="1" a="1"/>
  <c r="O93" i="12" s="1"/>
  <c r="J94" i="12" a="1"/>
  <c r="J94" i="12" s="1"/>
  <c r="O94" i="12" s="1" a="1"/>
  <c r="O94" i="12" s="1"/>
  <c r="J95" i="12" a="1"/>
  <c r="J95" i="12" s="1"/>
  <c r="O95" i="12" s="1" a="1"/>
  <c r="O95" i="12" s="1"/>
  <c r="J96" i="12" a="1"/>
  <c r="J96" i="12" s="1"/>
  <c r="O96" i="12" s="1" a="1"/>
  <c r="O96" i="12" s="1"/>
  <c r="J97" i="12" a="1"/>
  <c r="J97" i="12" s="1"/>
  <c r="O97" i="12" s="1" a="1"/>
  <c r="O97" i="12" s="1"/>
  <c r="J98" i="12" a="1"/>
  <c r="J98" i="12" s="1"/>
  <c r="O98" i="12" s="1" a="1"/>
  <c r="O98" i="12" s="1"/>
  <c r="J99" i="12" a="1"/>
  <c r="J99" i="12" s="1"/>
  <c r="O99" i="12" s="1" a="1"/>
  <c r="O99" i="12" s="1"/>
  <c r="J100" i="12" a="1"/>
  <c r="J100" i="12" s="1"/>
  <c r="O100" i="12" s="1" a="1"/>
  <c r="O100" i="12" s="1"/>
  <c r="J101" i="12" a="1"/>
  <c r="J101" i="12" s="1"/>
  <c r="O101" i="12" s="1" a="1"/>
  <c r="O101" i="12" s="1"/>
  <c r="J102" i="12" a="1"/>
  <c r="J102" i="12" s="1"/>
  <c r="O102" i="12" s="1" a="1"/>
  <c r="O102" i="12" s="1"/>
  <c r="J103" i="12" a="1"/>
  <c r="J103" i="12" s="1"/>
  <c r="O103" i="12" s="1" a="1"/>
  <c r="O103" i="12" s="1"/>
  <c r="J104" i="12" a="1"/>
  <c r="J104" i="12" s="1"/>
  <c r="O104" i="12" s="1" a="1"/>
  <c r="O104" i="12" s="1"/>
  <c r="J105" i="12" a="1"/>
  <c r="J105" i="12" s="1"/>
  <c r="O105" i="12" s="1" a="1"/>
  <c r="O105" i="12" s="1"/>
  <c r="J107" i="12" a="1"/>
  <c r="J107" i="12" s="1"/>
  <c r="J109" i="12" a="1"/>
  <c r="J109" i="12" s="1"/>
  <c r="J108" i="12" s="1"/>
  <c r="J111" i="12" a="1"/>
  <c r="J111" i="12" s="1"/>
  <c r="J113" i="12" a="1"/>
  <c r="J113" i="12" s="1"/>
  <c r="J114" i="12" a="1"/>
  <c r="J114" i="12" s="1"/>
  <c r="O114" i="12" s="1" a="1"/>
  <c r="O114" i="12" s="1"/>
  <c r="J115" i="12" a="1"/>
  <c r="J115" i="12" s="1"/>
  <c r="O115" i="12" s="1" a="1"/>
  <c r="O115" i="12" s="1"/>
  <c r="H125" i="12"/>
  <c r="O107" i="12" l="1" a="1"/>
  <c r="O107" i="12" s="1"/>
  <c r="J106" i="12"/>
  <c r="O106" i="12" a="1"/>
  <c r="O106" i="12" s="1"/>
  <c r="O14" i="12"/>
  <c r="J13" i="12"/>
  <c r="O13" i="12" s="1"/>
  <c r="O113" i="12" a="1"/>
  <c r="O113" i="12" s="1"/>
  <c r="J112" i="12"/>
  <c r="O84" i="12" a="1"/>
  <c r="O84" i="12" s="1"/>
  <c r="O83" i="12" s="1"/>
  <c r="J83" i="12"/>
  <c r="J75" i="12"/>
  <c r="O77" i="12" a="1"/>
  <c r="O77" i="12" s="1"/>
  <c r="O75" i="12" s="1"/>
  <c r="O50" i="12"/>
  <c r="J49" i="12"/>
  <c r="O52" i="12"/>
  <c r="O111" i="12" a="1"/>
  <c r="O111" i="12" s="1"/>
  <c r="O110" i="12" s="1"/>
  <c r="J110" i="12"/>
  <c r="O81" i="12" a="1"/>
  <c r="O81" i="12" s="1"/>
  <c r="O80" i="12" s="1"/>
  <c r="J80" i="12"/>
  <c r="J22" i="12"/>
  <c r="O22" i="12" s="1"/>
  <c r="O23" i="12" a="1"/>
  <c r="O23" i="12" s="1"/>
  <c r="J10" i="12"/>
  <c r="O11" i="12"/>
  <c r="O63" i="12"/>
  <c r="J61" i="12"/>
  <c r="O61" i="12" s="1"/>
  <c r="J68" i="12"/>
  <c r="O68" i="12" s="1"/>
  <c r="O69" i="12"/>
  <c r="O109" i="12" a="1"/>
  <c r="O109" i="12" s="1"/>
  <c r="J43" i="12"/>
  <c r="O43" i="12" s="1"/>
  <c r="O108" i="12" a="1"/>
  <c r="O108" i="12" s="1"/>
  <c r="J52" i="12"/>
  <c r="O112" i="12" l="1"/>
  <c r="O49" i="12"/>
  <c r="O10" i="12"/>
  <c r="C9" i="10" l="1"/>
  <c r="N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<sst xmlns="http://schemas.openxmlformats.org/spreadsheetml/2006/main" count="646" uniqueCount="196">
  <si>
    <t xml:space="preserve">Стоимость за посетителя мероприятия </t>
  </si>
  <si>
    <t xml:space="preserve">Стоимость за охваченного пользователя </t>
  </si>
  <si>
    <t xml:space="preserve">Стоимость за контакт </t>
  </si>
  <si>
    <t>Стоимость привлеченного клиента</t>
  </si>
  <si>
    <t>ЭФФЕКТИВНОСТЬ</t>
  </si>
  <si>
    <t>Общий бюджет</t>
  </si>
  <si>
    <t>Продакшен фото-зоны и лайтбокса, букингсекретных артистов</t>
  </si>
  <si>
    <t xml:space="preserve">Интеграционный платеж (организатору) </t>
  </si>
  <si>
    <t>БЮДЖЕТ</t>
  </si>
  <si>
    <t>Количество проданных билетов через виджит/витрину</t>
  </si>
  <si>
    <t xml:space="preserve">Агентская комиссия </t>
  </si>
  <si>
    <t>GMV</t>
  </si>
  <si>
    <t>Средняя цена билета</t>
  </si>
  <si>
    <t>Кол-во посетителей всего, тыс.</t>
  </si>
  <si>
    <t>ПЛАНОВЫЙ РЕЗУЛЬТАТ МЕРОПРИЯТИЯ</t>
  </si>
  <si>
    <t>Итог</t>
  </si>
  <si>
    <t>Интеграция в посты у артиста</t>
  </si>
  <si>
    <t>Лого партнера</t>
  </si>
  <si>
    <t>PR публикации</t>
  </si>
  <si>
    <t>Интеграция в фото и видео отчеты</t>
  </si>
  <si>
    <t>Тип активации: ДОПОЛНИТЕЛЬНЫЕ АКТИВАЦИИ ПОСЛЕ МЕРОПРИЯТИЯ</t>
  </si>
  <si>
    <t>UGC</t>
  </si>
  <si>
    <t xml:space="preserve">Взаимодействие с артистом во время мероприятия </t>
  </si>
  <si>
    <t>Различные акции с участием промо-персонала</t>
  </si>
  <si>
    <t>Промо-акции</t>
  </si>
  <si>
    <t>Брендирование</t>
  </si>
  <si>
    <t>раздача/продажа брендированного мерча на площадке</t>
  </si>
  <si>
    <t>флаги/штендеры/лайтбоксы/расклеенные печатные лого/тейбл-тенты на локации мероприятия</t>
  </si>
  <si>
    <t>AR-фотозона (с интерактивом)</t>
  </si>
  <si>
    <t>брендированная зона раздачи мерча</t>
  </si>
  <si>
    <t>брендированная раздатка (например, флешмоб с брендированными масками с лицом артиста)</t>
  </si>
  <si>
    <t>брендинг одежды персонала (бармены, гардеробщики)</t>
  </si>
  <si>
    <t>брендинг браслетов</t>
  </si>
  <si>
    <t>бренд-зона/лаундж-зона</t>
  </si>
  <si>
    <t>размещение арт-объекта</t>
  </si>
  <si>
    <t>брендинг вип-зоны</t>
  </si>
  <si>
    <t>Видео</t>
  </si>
  <si>
    <t>Экраны на сцене</t>
  </si>
  <si>
    <t>Тип активации: ПРОДВИЖЕНИЕ НА МЕРОПРИЯТИИ</t>
  </si>
  <si>
    <t>PR</t>
  </si>
  <si>
    <t>300 тыс</t>
  </si>
  <si>
    <t>Статьи о событии</t>
  </si>
  <si>
    <t>Хронометраж</t>
  </si>
  <si>
    <t>Айдентика Бренда партнера на сайте</t>
  </si>
  <si>
    <t>Billboard в шапке сайта</t>
  </si>
  <si>
    <t>Digital</t>
  </si>
  <si>
    <t>Промо-пост</t>
  </si>
  <si>
    <t>Баннеры</t>
  </si>
  <si>
    <t>Время взаимодействия с креативом</t>
  </si>
  <si>
    <t>Прямая Реклама</t>
  </si>
  <si>
    <t>Радио</t>
  </si>
  <si>
    <t>Indoor</t>
  </si>
  <si>
    <t>Авиапарк</t>
  </si>
  <si>
    <t>ООН</t>
  </si>
  <si>
    <t>BB</t>
  </si>
  <si>
    <t xml:space="preserve"> Тип активации: ДО МЕРОПРИЯТИЯ (медиа продвижение и PR)</t>
  </si>
  <si>
    <t>Охват 16+  ('000) (с учетом доли брендирования)</t>
  </si>
  <si>
    <r>
      <t xml:space="preserve">OTS 16+   ('000)
</t>
    </r>
    <r>
      <rPr>
        <b/>
        <i/>
        <sz val="10"/>
        <color theme="1"/>
        <rFont val="Aptos Narrow"/>
        <family val="2"/>
        <scheme val="minor"/>
      </rPr>
      <t>(с учетом доли брендирования)</t>
    </r>
  </si>
  <si>
    <t>Охват 16+* ('000)</t>
  </si>
  <si>
    <t xml:space="preserve">
OTS 16+  ('000)
</t>
  </si>
  <si>
    <t>Доля брендирования</t>
  </si>
  <si>
    <t>Период размещения, дни</t>
  </si>
  <si>
    <t>Форматы</t>
  </si>
  <si>
    <t>Описание</t>
  </si>
  <si>
    <t>Медиа факторы</t>
  </si>
  <si>
    <t>Общий период размещения</t>
  </si>
  <si>
    <t>количество дней на фестивале/площадке</t>
  </si>
  <si>
    <t>ЦА</t>
  </si>
  <si>
    <t>Характеристики инвентаря и аудитории</t>
  </si>
  <si>
    <t>Взаимодействие с контентом</t>
  </si>
  <si>
    <t>Блок</t>
  </si>
  <si>
    <t>Название</t>
  </si>
  <si>
    <t>Данные</t>
  </si>
  <si>
    <t>План посетителей (в тыс. человек)</t>
  </si>
  <si>
    <t>ПАРАМЕТРЫ</t>
  </si>
  <si>
    <t>Сайт / размер аудитории</t>
  </si>
  <si>
    <t>Количество просмотров статьи/блога, тыс. или заполнить сайт</t>
  </si>
  <si>
    <t>Посты в социальных сетях, опубликованные посетителями мероприятия</t>
  </si>
  <si>
    <t xml:space="preserve">Интеграция в шоу (например, сброс брендированных шаров, упоминания от артиста на сцене)
</t>
  </si>
  <si>
    <t xml:space="preserve">Голосовое сообщение во время мероприятия </t>
  </si>
  <si>
    <t>Аудио</t>
  </si>
  <si>
    <t>Голосовое сообщение до старта мероприятия</t>
  </si>
  <si>
    <t xml:space="preserve">Лого на входе </t>
  </si>
  <si>
    <t>Плазменные панели на територии локации/стадиона</t>
  </si>
  <si>
    <t>Экраны в чаше локации/стадиона</t>
  </si>
  <si>
    <t>Посев в VK</t>
  </si>
  <si>
    <t>Блогеры в VK</t>
  </si>
  <si>
    <t>Блогеры в TG</t>
  </si>
  <si>
    <t>Посев в TG</t>
  </si>
  <si>
    <t>Статьи с упоминанием события</t>
  </si>
  <si>
    <t>Количество просмотров статьи, тыс. или заполнить сайт</t>
  </si>
  <si>
    <t>Баннер боковой во 2м экране</t>
  </si>
  <si>
    <t>Баннер боковой в 1 экране</t>
  </si>
  <si>
    <t>Посешаемость сайта за весь период, тыс. или заполнить сайт</t>
  </si>
  <si>
    <t>Размер аудитории ресурса в тыс. (без продвижения)</t>
  </si>
  <si>
    <t>Количество показов за весь период, тыс.</t>
  </si>
  <si>
    <t>Радиостанции из списка</t>
  </si>
  <si>
    <t>Спонсорство</t>
  </si>
  <si>
    <t>Радиостанции</t>
  </si>
  <si>
    <t>Количество выходов за весь период</t>
  </si>
  <si>
    <t>Стикеры в вагонах над дверью</t>
  </si>
  <si>
    <t>Метро</t>
  </si>
  <si>
    <t>Стикеры в вагонах А2</t>
  </si>
  <si>
    <t>Digital Screen на ст.Савеловская</t>
  </si>
  <si>
    <t>DCF на ст.метро</t>
  </si>
  <si>
    <t>Digital Screen в вагонах</t>
  </si>
  <si>
    <t>Количество веток</t>
  </si>
  <si>
    <t>Количество выходов в день</t>
  </si>
  <si>
    <t>ТЦ Коламбус</t>
  </si>
  <si>
    <t>ПВЗ</t>
  </si>
  <si>
    <t>ТЦ Атриум</t>
  </si>
  <si>
    <t>-</t>
  </si>
  <si>
    <t>CF</t>
  </si>
  <si>
    <t>SS</t>
  </si>
  <si>
    <t>PL</t>
  </si>
  <si>
    <t>DBB</t>
  </si>
  <si>
    <t>Количество сторон</t>
  </si>
  <si>
    <t>Каналы из списка</t>
  </si>
  <si>
    <t>ТВ</t>
  </si>
  <si>
    <t>Каналы</t>
  </si>
  <si>
    <t>Количество минут в день</t>
  </si>
  <si>
    <t>Индекс качества (для медиа)</t>
  </si>
  <si>
    <t>Как оцениваем OTS медиа, в случае отсутствия данных по OTS и Охватам у поставщика</t>
  </si>
  <si>
    <t>#</t>
  </si>
  <si>
    <t>в тысячах человек</t>
  </si>
  <si>
    <t>План посетителей</t>
  </si>
  <si>
    <t>в днях</t>
  </si>
  <si>
    <t>Площадка</t>
  </si>
  <si>
    <t>концерт/фестиваль/площадка</t>
  </si>
  <si>
    <t>Тип площадки</t>
  </si>
  <si>
    <t>Москва</t>
  </si>
  <si>
    <t>15 городов</t>
  </si>
  <si>
    <t>Гео</t>
  </si>
  <si>
    <t>Унифицированная аудитория для всех медиа, тыс. 16+</t>
  </si>
  <si>
    <t>Параметры</t>
  </si>
  <si>
    <t>ЦА (унифицированная аудитория для всех медиа, тыс. 16+)</t>
  </si>
  <si>
    <t>ГЕО</t>
  </si>
  <si>
    <t>Санкт-Петербург</t>
  </si>
  <si>
    <t>Екатеринбург</t>
  </si>
  <si>
    <t>Томск</t>
  </si>
  <si>
    <t>Кемерово</t>
  </si>
  <si>
    <t>Казань</t>
  </si>
  <si>
    <t>Новосибирск</t>
  </si>
  <si>
    <t>Краснодар</t>
  </si>
  <si>
    <t>Сочи</t>
  </si>
  <si>
    <t>Чебоксары</t>
  </si>
  <si>
    <t>Нижний Новгород</t>
  </si>
  <si>
    <t>Хабаровск</t>
  </si>
  <si>
    <t>Калининград</t>
  </si>
  <si>
    <t>Омск</t>
  </si>
  <si>
    <t>Воронеж</t>
  </si>
  <si>
    <t>Фильтр</t>
  </si>
  <si>
    <t>Список</t>
  </si>
  <si>
    <t>Концерт</t>
  </si>
  <si>
    <t>Фестиваль</t>
  </si>
  <si>
    <t>DSS</t>
  </si>
  <si>
    <t>DCF</t>
  </si>
  <si>
    <t>Медиафасады</t>
  </si>
  <si>
    <t>Карусель</t>
  </si>
  <si>
    <t>OLV - размещение в видео (in-stream)</t>
  </si>
  <si>
    <t>HTML5 баннер</t>
  </si>
  <si>
    <t>Билборд в ВК</t>
  </si>
  <si>
    <t>Видео без продвижения</t>
  </si>
  <si>
    <t>Промо-пост без продвижения</t>
  </si>
  <si>
    <t>FullScreen</t>
  </si>
  <si>
    <t>Billboard внизу страницы</t>
  </si>
  <si>
    <t>размещение на кнопке "Купить билет на МТС Live"</t>
  </si>
  <si>
    <t>персональные браслеты (фан зона/танц пол)</t>
  </si>
  <si>
    <t>печатные баннеры/бегущие строки на трибунах</t>
  </si>
  <si>
    <t>брендинг кресел во всем зале</t>
  </si>
  <si>
    <t>брендинг сидушек/пуфиков/шезлонгов в общих зонах</t>
  </si>
  <si>
    <t>брендинг зоны бара</t>
  </si>
  <si>
    <t>брендинг сцены/спортивной площадки (например, логотип на льду на хоккее)</t>
  </si>
  <si>
    <t>брендинг меню</t>
  </si>
  <si>
    <t>брендинг посуды в баре</t>
  </si>
  <si>
    <t>брендинг гардероба</t>
  </si>
  <si>
    <t>брендинг номерков</t>
  </si>
  <si>
    <t>брендинг зоны туалета</t>
  </si>
  <si>
    <t>брендинг одежды артистов/спорстменов</t>
  </si>
  <si>
    <t>брендирование подарков (новогодние елки)</t>
  </si>
  <si>
    <t>Фотозона</t>
  </si>
  <si>
    <t>Sostav</t>
  </si>
  <si>
    <t>Marie Claire</t>
  </si>
  <si>
    <t>НСН</t>
  </si>
  <si>
    <t>Woman.ru</t>
  </si>
  <si>
    <t>Thegirl.ru</t>
  </si>
  <si>
    <t>The Blueprint</t>
  </si>
  <si>
    <t>AdIndex</t>
  </si>
  <si>
    <t>РБК</t>
  </si>
  <si>
    <t>Коммерсант</t>
  </si>
  <si>
    <t>Известия</t>
  </si>
  <si>
    <t>100 тыс</t>
  </si>
  <si>
    <t>200 тыс</t>
  </si>
  <si>
    <t>400 тыс</t>
  </si>
  <si>
    <t>500 тыс</t>
  </si>
  <si>
    <t>1 млн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</si>
</sst>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[$₽-419]_-;\-* #,##0.00\ [$₽-419]_-;_-* &quot;-&quot;??\ [$₽-419]_-;_-@_-"/>
    <numFmt numFmtId="166" formatCode="0.000"/>
    <numFmt numFmtId="167" formatCode="_-* #,##0.0_-;\-* #,##0.0_-;_-* &quot;-&quot;??_-;_-@_-"/>
  </numFmts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i/>
      <sz val="10"/>
      <color rgb="FF000000"/>
      <name val="Aptos Narrow"/>
      <family val="2"/>
      <charset val="204"/>
      <scheme val="minor"/>
    </font>
    <font>
      <b/>
      <i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b/>
      <i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charset val="204"/>
      <scheme val="minor"/>
    </font>
    <font>
      <sz val="10"/>
      <color rgb="FFFF0000"/>
      <name val="Aptos Narrow"/>
      <family val="2"/>
      <charset val="204"/>
      <scheme val="minor"/>
    </font>
    <font>
      <b/>
      <sz val="10"/>
      <color rgb="FF00B050"/>
      <name val="Aptos Narrow"/>
      <family val="2"/>
      <charset val="204"/>
      <scheme val="minor"/>
    </font>
    <font>
      <i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</cellStyleXfs>
  <cellXfs count="196">
    <xf numFmtId="0" fontId="0" fillId="0" borderId="0" xfId="0"/>
    <xf numFmtId="0" fontId="2" fillId="2" borderId="0" xfId="4" applyFill="1" applyProtection="1">
      <protection locked="0"/>
    </xf>
    <xf numFmtId="0" fontId="2" fillId="2" borderId="0" xfId="4" applyFill="1" applyAlignment="1" applyProtection="1">
      <alignment horizontal="center"/>
      <protection locked="0"/>
    </xf>
    <xf numFmtId="0" fontId="2" fillId="2" borderId="0" xfId="4" applyFill="1" applyAlignment="1" applyProtection="1">
      <alignment horizontal="left" vertical="top" wrapText="1"/>
      <protection locked="0"/>
    </xf>
    <xf numFmtId="0" fontId="2" fillId="2" borderId="0" xfId="4" applyFill="1" applyAlignment="1" applyProtection="1">
      <alignment horizontal="center" vertical="top" wrapText="1"/>
      <protection locked="0"/>
    </xf>
    <xf numFmtId="0" fontId="2" fillId="2" borderId="0" xfId="4" applyFill="1" applyAlignment="1" applyProtection="1">
      <alignment horizontal="left" vertical="top"/>
      <protection locked="0"/>
    </xf>
    <xf numFmtId="0" fontId="2" fillId="2" borderId="0" xfId="4" applyFill="1" applyAlignment="1" applyProtection="1">
      <alignment horizontal="center" vertical="top"/>
      <protection locked="0"/>
    </xf>
    <xf numFmtId="0" fontId="2" fillId="2" borderId="0" xfId="4" applyFill="1" applyAlignment="1" applyProtection="1">
      <alignment horizontal="center" vertical="center" wrapText="1"/>
      <protection locked="0"/>
    </xf>
    <xf numFmtId="0" fontId="3" fillId="2" borderId="0" xfId="4" applyFont="1" applyFill="1" applyAlignment="1" applyProtection="1">
      <alignment horizontal="left" vertical="top"/>
      <protection locked="0"/>
    </xf>
    <xf numFmtId="0" fontId="3" fillId="2" borderId="0" xfId="4" applyFont="1" applyFill="1" applyAlignment="1" applyProtection="1">
      <alignment horizontal="center" vertical="top"/>
      <protection locked="0"/>
    </xf>
    <xf numFmtId="0" fontId="2" fillId="2" borderId="0" xfId="4" applyFill="1" applyAlignment="1" applyProtection="1">
      <alignment vertical="center" wrapText="1"/>
      <protection locked="0"/>
    </xf>
    <xf numFmtId="0" fontId="2" fillId="2" borderId="1" xfId="4" applyFill="1" applyBorder="1" applyAlignment="1" applyProtection="1">
      <alignment horizontal="left" vertical="top" wrapText="1"/>
      <protection locked="0"/>
    </xf>
    <xf numFmtId="0" fontId="2" fillId="2" borderId="1" xfId="4" applyFill="1" applyBorder="1" applyAlignment="1" applyProtection="1">
      <alignment horizontal="left" vertical="top"/>
      <protection locked="0"/>
    </xf>
    <xf numFmtId="0" fontId="6" fillId="2" borderId="0" xfId="4" applyFont="1" applyFill="1" applyProtection="1">
      <protection locked="0"/>
    </xf>
    <xf numFmtId="0" fontId="6" fillId="5" borderId="1" xfId="4" applyFont="1" applyFill="1" applyBorder="1" applyAlignment="1" applyProtection="1">
      <alignment horizontal="left" vertical="top"/>
      <protection locked="0"/>
    </xf>
    <xf numFmtId="0" fontId="6" fillId="5" borderId="1" xfId="4" applyFont="1" applyFill="1" applyBorder="1" applyAlignment="1" applyProtection="1">
      <alignment horizontal="center" vertical="center" wrapText="1"/>
      <protection locked="0"/>
    </xf>
    <xf numFmtId="164" fontId="2" fillId="3" borderId="1" xfId="4" applyNumberFormat="1" applyFill="1" applyBorder="1"/>
    <xf numFmtId="0" fontId="2" fillId="3" borderId="1" xfId="4" applyFill="1" applyBorder="1" applyAlignment="1">
      <alignment vertical="center" wrapText="1"/>
    </xf>
    <xf numFmtId="0" fontId="2" fillId="4" borderId="1" xfId="4" applyFill="1" applyBorder="1" applyAlignment="1" applyProtection="1">
      <alignment vertical="center" wrapText="1"/>
      <protection locked="0"/>
    </xf>
    <xf numFmtId="164" fontId="2" fillId="4" borderId="1" xfId="1" applyNumberFormat="1" applyFont="1" applyFill="1" applyBorder="1" applyAlignment="1" applyProtection="1">
      <alignment vertical="center" wrapText="1"/>
      <protection locked="0"/>
    </xf>
    <xf numFmtId="164" fontId="2" fillId="3" borderId="1" xfId="1" applyNumberFormat="1" applyFont="1" applyFill="1" applyBorder="1" applyAlignment="1" applyProtection="1">
      <alignment vertical="center" wrapText="1"/>
    </xf>
    <xf numFmtId="9" fontId="2" fillId="4" borderId="2" xfId="3" applyFont="1" applyFill="1" applyBorder="1" applyAlignment="1" applyProtection="1">
      <alignment horizontal="center" vertical="top" wrapText="1"/>
      <protection locked="0"/>
    </xf>
    <xf numFmtId="0" fontId="0" fillId="4" borderId="1" xfId="0" quotePrefix="1" applyFill="1" applyBorder="1" applyAlignment="1" applyProtection="1">
      <alignment horizontal="center"/>
      <protection locked="0"/>
    </xf>
    <xf numFmtId="0" fontId="2" fillId="2" borderId="3" xfId="4" quotePrefix="1" applyFill="1" applyBorder="1" applyAlignment="1" applyProtection="1">
      <alignment horizontal="left" vertical="top" wrapText="1"/>
      <protection locked="0"/>
    </xf>
    <xf numFmtId="0" fontId="2" fillId="0" borderId="0" xfId="4" applyProtection="1">
      <protection locked="0"/>
    </xf>
    <xf numFmtId="164" fontId="7" fillId="5" borderId="1" xfId="4" applyNumberFormat="1" applyFont="1" applyFill="1" applyBorder="1"/>
    <xf numFmtId="164" fontId="7" fillId="5" borderId="1" xfId="1" applyNumberFormat="1" applyFont="1" applyFill="1" applyBorder="1" applyAlignment="1" applyProtection="1">
      <alignment vertical="center" wrapText="1"/>
    </xf>
    <xf numFmtId="0" fontId="8" fillId="5" borderId="1" xfId="4" applyFont="1" applyFill="1" applyBorder="1" applyAlignment="1" applyProtection="1">
      <alignment horizontal="center" vertical="center"/>
      <protection locked="0"/>
    </xf>
    <xf numFmtId="0" fontId="2" fillId="4" borderId="1" xfId="4" applyFill="1" applyBorder="1" applyAlignment="1" applyProtection="1">
      <alignment horizontal="center" vertical="top" wrapText="1"/>
      <protection locked="0"/>
    </xf>
    <xf numFmtId="0" fontId="2" fillId="4" borderId="1" xfId="4" applyFill="1" applyBorder="1" applyAlignment="1" applyProtection="1">
      <alignment vertical="top" wrapText="1"/>
      <protection locked="0"/>
    </xf>
    <xf numFmtId="43" fontId="2" fillId="3" borderId="1" xfId="1" applyFont="1" applyFill="1" applyBorder="1" applyAlignment="1" applyProtection="1">
      <alignment vertical="center" wrapText="1"/>
    </xf>
    <xf numFmtId="164" fontId="2" fillId="4" borderId="1" xfId="1" applyNumberFormat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2" fillId="2" borderId="3" xfId="4" applyFill="1" applyBorder="1" applyAlignment="1" applyProtection="1">
      <alignment horizontal="left" vertical="top" wrapText="1"/>
      <protection locked="0"/>
    </xf>
    <xf numFmtId="43" fontId="7" fillId="5" borderId="1" xfId="1" applyFont="1" applyFill="1" applyBorder="1" applyAlignment="1" applyProtection="1">
      <alignment vertical="center" wrapText="1"/>
    </xf>
    <xf numFmtId="167" fontId="2" fillId="3" borderId="1" xfId="4" applyNumberFormat="1" applyFill="1" applyBorder="1"/>
    <xf numFmtId="0" fontId="2" fillId="2" borderId="3" xfId="4" applyFill="1" applyBorder="1" applyAlignment="1" applyProtection="1">
      <alignment vertical="top" wrapText="1"/>
      <protection locked="0"/>
    </xf>
    <xf numFmtId="0" fontId="2" fillId="2" borderId="1" xfId="4" applyFill="1" applyBorder="1" applyAlignment="1" applyProtection="1">
      <alignment vertical="top"/>
      <protection locked="0"/>
    </xf>
    <xf numFmtId="0" fontId="2" fillId="3" borderId="1" xfId="4" applyFill="1" applyBorder="1"/>
    <xf numFmtId="0" fontId="2" fillId="4" borderId="1" xfId="4" applyFill="1" applyBorder="1" applyAlignment="1" applyProtection="1">
      <alignment horizontal="center" vertical="center" wrapText="1"/>
      <protection locked="0"/>
    </xf>
    <xf numFmtId="2" fontId="2" fillId="3" borderId="1" xfId="4" applyNumberFormat="1" applyFill="1" applyBorder="1" applyAlignment="1">
      <alignment vertical="center" wrapText="1"/>
    </xf>
    <xf numFmtId="9" fontId="2" fillId="4" borderId="2" xfId="4" applyNumberFormat="1" applyFill="1" applyBorder="1" applyAlignment="1" applyProtection="1">
      <alignment horizontal="center" vertical="center" wrapText="1"/>
      <protection locked="0"/>
    </xf>
    <xf numFmtId="0" fontId="3" fillId="2" borderId="1" xfId="4" applyFont="1" applyFill="1" applyBorder="1" applyAlignment="1" applyProtection="1">
      <alignment horizontal="left" vertical="top"/>
      <protection locked="0"/>
    </xf>
    <xf numFmtId="0" fontId="9" fillId="4" borderId="1" xfId="4" applyFont="1" applyFill="1" applyBorder="1" applyAlignment="1" applyProtection="1">
      <alignment vertical="center" wrapText="1"/>
      <protection locked="0"/>
    </xf>
    <xf numFmtId="0" fontId="3" fillId="4" borderId="1" xfId="4" applyFont="1" applyFill="1" applyBorder="1" applyAlignment="1" applyProtection="1">
      <alignment horizontal="left" vertical="top" wrapText="1"/>
      <protection locked="0"/>
    </xf>
    <xf numFmtId="164" fontId="3" fillId="4" borderId="1" xfId="1" applyNumberFormat="1" applyFont="1" applyFill="1" applyBorder="1" applyAlignment="1" applyProtection="1">
      <alignment horizontal="left" vertical="top" wrapText="1"/>
      <protection locked="0"/>
    </xf>
    <xf numFmtId="43" fontId="2" fillId="3" borderId="1" xfId="4" applyNumberFormat="1" applyFill="1" applyBorder="1"/>
    <xf numFmtId="164" fontId="10" fillId="5" borderId="1" xfId="4" applyNumberFormat="1" applyFont="1" applyFill="1" applyBorder="1" applyAlignment="1">
      <alignment horizontal="center" vertical="center" wrapText="1"/>
    </xf>
    <xf numFmtId="0" fontId="11" fillId="2" borderId="0" xfId="4" applyFont="1" applyFill="1" applyProtection="1">
      <protection locked="0"/>
    </xf>
    <xf numFmtId="0" fontId="12" fillId="4" borderId="1" xfId="5" applyFill="1" applyBorder="1" applyAlignment="1" applyProtection="1">
      <alignment horizontal="left" vertical="top" wrapText="1"/>
      <protection locked="0"/>
    </xf>
    <xf numFmtId="0" fontId="2" fillId="4" borderId="1" xfId="4" applyFill="1" applyBorder="1" applyAlignment="1" applyProtection="1">
      <alignment horizontal="left" vertical="top" wrapText="1"/>
      <protection locked="0"/>
    </xf>
    <xf numFmtId="164" fontId="2" fillId="4" borderId="1" xfId="1" applyNumberFormat="1" applyFont="1" applyFill="1" applyBorder="1" applyAlignment="1" applyProtection="1">
      <alignment horizontal="left" vertical="top" wrapText="1"/>
      <protection locked="0"/>
    </xf>
    <xf numFmtId="9" fontId="2" fillId="4" borderId="1" xfId="4" applyNumberFormat="1" applyFill="1" applyBorder="1" applyAlignment="1" applyProtection="1">
      <alignment horizontal="center" vertical="center" wrapText="1"/>
      <protection locked="0"/>
    </xf>
    <xf numFmtId="0" fontId="2" fillId="2" borderId="1" xfId="4" applyFill="1" applyBorder="1" applyAlignment="1" applyProtection="1">
      <alignment vertical="top" wrapText="1"/>
      <protection locked="0"/>
    </xf>
    <xf numFmtId="0" fontId="2" fillId="0" borderId="1" xfId="4" applyBorder="1" applyAlignment="1" applyProtection="1">
      <alignment vertical="top"/>
      <protection locked="0"/>
    </xf>
    <xf numFmtId="0" fontId="7" fillId="5" borderId="1" xfId="4" applyFont="1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10" fillId="5" borderId="1" xfId="4" applyFont="1" applyFill="1" applyBorder="1" applyAlignment="1" applyProtection="1">
      <alignment horizontal="center" vertical="center" wrapText="1"/>
      <protection locked="0"/>
    </xf>
    <xf numFmtId="0" fontId="6" fillId="2" borderId="1" xfId="4" applyFont="1" applyFill="1" applyBorder="1" applyAlignment="1" applyProtection="1">
      <alignment vertical="top" wrapText="1"/>
      <protection locked="0"/>
    </xf>
    <xf numFmtId="0" fontId="6" fillId="2" borderId="4" xfId="4" applyFont="1" applyFill="1" applyBorder="1" applyAlignment="1" applyProtection="1">
      <alignment vertical="top" wrapText="1"/>
      <protection locked="0"/>
    </xf>
    <xf numFmtId="0" fontId="6" fillId="6" borderId="1" xfId="4" applyFont="1" applyFill="1" applyBorder="1" applyAlignment="1" applyProtection="1">
      <alignment vertical="top" wrapText="1"/>
      <protection locked="0"/>
    </xf>
    <xf numFmtId="0" fontId="6" fillId="6" borderId="4" xfId="4" applyFont="1" applyFill="1" applyBorder="1" applyAlignment="1" applyProtection="1">
      <alignment vertical="top" wrapText="1"/>
      <protection locked="0"/>
    </xf>
    <xf numFmtId="0" fontId="15" fillId="7" borderId="1" xfId="4" applyFont="1" applyFill="1" applyBorder="1" applyAlignment="1" applyProtection="1">
      <alignment horizontal="center" vertical="center"/>
      <protection locked="0"/>
    </xf>
    <xf numFmtId="0" fontId="16" fillId="7" borderId="1" xfId="4" applyFont="1" applyFill="1" applyBorder="1" applyAlignment="1" applyProtection="1">
      <alignment vertical="top"/>
      <protection locked="0"/>
    </xf>
    <xf numFmtId="0" fontId="17" fillId="5" borderId="1" xfId="4" applyFont="1" applyFill="1" applyBorder="1" applyAlignment="1" applyProtection="1">
      <alignment horizontal="center" vertical="center"/>
      <protection locked="0"/>
    </xf>
    <xf numFmtId="0" fontId="8" fillId="7" borderId="1" xfId="4" applyFont="1" applyFill="1" applyBorder="1" applyAlignment="1" applyProtection="1">
      <alignment vertical="center" wrapText="1"/>
      <protection locked="0"/>
    </xf>
    <xf numFmtId="0" fontId="8" fillId="7" borderId="1" xfId="4" applyFont="1" applyFill="1" applyBorder="1" applyAlignment="1" applyProtection="1">
      <alignment horizontal="center" vertical="center" wrapText="1"/>
      <protection locked="0"/>
    </xf>
    <xf numFmtId="0" fontId="2" fillId="7" borderId="1" xfId="4" applyFill="1" applyBorder="1" applyAlignment="1" applyProtection="1">
      <alignment vertical="center" wrapText="1"/>
      <protection locked="0"/>
    </xf>
    <xf numFmtId="0" fontId="10" fillId="5" borderId="1" xfId="4" applyFont="1" applyFill="1" applyBorder="1" applyAlignment="1" applyProtection="1">
      <alignment horizontal="center" vertical="center"/>
      <protection locked="0"/>
    </xf>
    <xf numFmtId="0" fontId="13" fillId="5" borderId="1" xfId="4" applyFont="1" applyFill="1" applyBorder="1" applyAlignment="1" applyProtection="1">
      <alignment horizontal="center" vertical="center" wrapText="1"/>
      <protection locked="0"/>
    </xf>
    <xf numFmtId="0" fontId="13" fillId="5" borderId="1" xfId="4" applyFont="1" applyFill="1" applyBorder="1" applyAlignment="1" applyProtection="1">
      <alignment vertical="center" wrapText="1"/>
      <protection locked="0"/>
    </xf>
    <xf numFmtId="0" fontId="2" fillId="2" borderId="1" xfId="4" applyFill="1" applyBorder="1" applyAlignment="1" applyProtection="1">
      <alignment horizontal="left" vertical="center" wrapText="1"/>
      <protection locked="0"/>
    </xf>
    <xf numFmtId="0" fontId="2" fillId="2" borderId="1" xfId="4" applyFill="1" applyBorder="1" applyAlignment="1" applyProtection="1">
      <alignment horizontal="left" vertical="center"/>
      <protection locked="0"/>
    </xf>
    <xf numFmtId="0" fontId="7" fillId="2" borderId="1" xfId="4" applyFont="1" applyFill="1" applyBorder="1" applyAlignment="1" applyProtection="1">
      <alignment horizontal="left" vertical="center"/>
      <protection locked="0"/>
    </xf>
    <xf numFmtId="0" fontId="5" fillId="2" borderId="1" xfId="4" applyFont="1" applyFill="1" applyBorder="1" applyAlignment="1" applyProtection="1">
      <alignment horizontal="left" vertical="center" wrapText="1"/>
      <protection locked="0"/>
    </xf>
    <xf numFmtId="166" fontId="2" fillId="3" borderId="1" xfId="1" applyNumberFormat="1" applyFont="1" applyFill="1" applyBorder="1" applyAlignment="1" applyProtection="1">
      <alignment horizontal="left" vertical="center" wrapText="1"/>
    </xf>
    <xf numFmtId="165" fontId="2" fillId="4" borderId="1" xfId="1" applyNumberFormat="1" applyFont="1" applyFill="1" applyBorder="1" applyAlignment="1" applyProtection="1">
      <alignment horizontal="left" vertical="center" wrapText="1"/>
      <protection locked="0"/>
    </xf>
    <xf numFmtId="43" fontId="2" fillId="4" borderId="1" xfId="1" applyFont="1" applyFill="1" applyBorder="1" applyAlignment="1" applyProtection="1">
      <alignment horizontal="left" vertical="center" wrapText="1"/>
      <protection locked="0"/>
    </xf>
    <xf numFmtId="164" fontId="2" fillId="4" borderId="1" xfId="1" applyNumberFormat="1" applyFont="1" applyFill="1" applyBorder="1" applyAlignment="1" applyProtection="1">
      <alignment horizontal="left" vertical="center" wrapText="1"/>
      <protection locked="0"/>
    </xf>
    <xf numFmtId="44" fontId="2" fillId="4" borderId="1" xfId="4" applyNumberFormat="1" applyFill="1" applyBorder="1" applyAlignment="1" applyProtection="1">
      <alignment horizontal="left" vertical="center" wrapText="1"/>
      <protection locked="0"/>
    </xf>
    <xf numFmtId="44" fontId="2" fillId="3" borderId="1" xfId="4" applyNumberFormat="1" applyFill="1" applyBorder="1" applyAlignment="1">
      <alignment horizontal="left" vertical="center" wrapText="1"/>
    </xf>
    <xf numFmtId="44" fontId="2" fillId="4" borderId="1" xfId="2" applyFont="1" applyFill="1" applyBorder="1" applyAlignment="1" applyProtection="1">
      <alignment horizontal="left" vertical="center" wrapText="1"/>
      <protection locked="0"/>
    </xf>
    <xf numFmtId="0" fontId="2" fillId="2" borderId="0" xfId="4" applyFill="1" applyAlignment="1" applyProtection="1">
      <alignment vertical="top" wrapText="1"/>
      <protection locked="0"/>
    </xf>
    <xf numFmtId="0" fontId="0" fillId="4" borderId="1" xfId="0" applyFill="1" applyBorder="1" applyProtection="1">
      <protection locked="0"/>
    </xf>
    <xf numFmtId="0" fontId="2" fillId="4" borderId="1" xfId="4" applyFill="1" applyBorder="1" applyAlignment="1" applyProtection="1">
      <alignment horizontal="right" vertical="top" wrapText="1"/>
      <protection locked="0"/>
    </xf>
    <xf numFmtId="44" fontId="4" fillId="3" borderId="4" xfId="4" applyNumberFormat="1" applyFont="1" applyFill="1" applyBorder="1" applyAlignment="1">
      <alignment horizontal="left" vertical="center" wrapText="1"/>
    </xf>
    <xf numFmtId="164" fontId="2" fillId="3" borderId="1" xfId="4" applyNumberFormat="1" applyFill="1" applyBorder="1" applyAlignment="1">
      <alignment horizontal="right" vertical="top" wrapText="1"/>
    </xf>
    <xf numFmtId="0" fontId="3" fillId="2" borderId="0" xfId="4" applyFont="1" applyFill="1" applyAlignment="1" applyProtection="1">
      <alignment horizontal="right" vertical="top"/>
      <protection locked="0"/>
    </xf>
    <xf numFmtId="0" fontId="2" fillId="2" borderId="1" xfId="4" applyFill="1" applyBorder="1" applyProtection="1">
      <protection locked="0"/>
    </xf>
    <xf numFmtId="0" fontId="2" fillId="2" borderId="1" xfId="4" applyFill="1" applyBorder="1" applyAlignment="1" applyProtection="1">
      <alignment horizontal="center" vertical="top"/>
      <protection locked="0"/>
    </xf>
    <xf numFmtId="0" fontId="2" fillId="2" borderId="6" xfId="4" applyFill="1" applyBorder="1" applyAlignment="1" applyProtection="1">
      <alignment horizontal="center"/>
      <protection locked="0"/>
    </xf>
    <xf numFmtId="0" fontId="5" fillId="2" borderId="6" xfId="4" applyFont="1" applyFill="1" applyBorder="1" applyAlignment="1" applyProtection="1">
      <alignment horizontal="center" vertical="top" wrapText="1"/>
      <protection locked="0"/>
    </xf>
    <xf numFmtId="164" fontId="2" fillId="2" borderId="1" xfId="4" applyNumberFormat="1" applyFill="1" applyBorder="1" applyAlignment="1" applyProtection="1">
      <alignment horizontal="left" vertical="top" wrapText="1"/>
      <protection locked="0"/>
    </xf>
    <xf numFmtId="0" fontId="2" fillId="2" borderId="7" xfId="4" applyFill="1" applyBorder="1" applyAlignment="1" applyProtection="1">
      <alignment horizontal="center"/>
      <protection locked="0"/>
    </xf>
    <xf numFmtId="0" fontId="5" fillId="2" borderId="7" xfId="4" applyFont="1" applyFill="1" applyBorder="1" applyAlignment="1" applyProtection="1">
      <alignment horizontal="center" vertical="top" wrapText="1"/>
      <protection locked="0"/>
    </xf>
    <xf numFmtId="0" fontId="2" fillId="2" borderId="1" xfId="4" applyFill="1" applyBorder="1" applyAlignment="1" applyProtection="1">
      <alignment horizontal="center" vertical="top" wrapText="1"/>
      <protection locked="0"/>
    </xf>
    <xf numFmtId="0" fontId="2" fillId="0" borderId="1" xfId="4" applyBorder="1" applyAlignment="1" applyProtection="1">
      <alignment horizontal="left" vertical="top" wrapText="1"/>
      <protection locked="0"/>
    </xf>
    <xf numFmtId="0" fontId="2" fillId="0" borderId="1" xfId="4" applyBorder="1" applyAlignment="1" applyProtection="1">
      <alignment horizontal="center" vertical="top" wrapText="1"/>
      <protection locked="0"/>
    </xf>
    <xf numFmtId="0" fontId="2" fillId="2" borderId="2" xfId="4" applyFill="1" applyBorder="1" applyAlignment="1" applyProtection="1">
      <alignment horizontal="left" vertical="top" wrapText="1"/>
      <protection locked="0"/>
    </xf>
    <xf numFmtId="0" fontId="2" fillId="2" borderId="2" xfId="4" applyFill="1" applyBorder="1" applyAlignment="1" applyProtection="1">
      <alignment horizontal="left" vertical="top"/>
      <protection locked="0"/>
    </xf>
    <xf numFmtId="0" fontId="2" fillId="2" borderId="4" xfId="4" applyFill="1" applyBorder="1" applyAlignment="1" applyProtection="1">
      <alignment horizontal="center"/>
      <protection locked="0"/>
    </xf>
    <xf numFmtId="0" fontId="5" fillId="2" borderId="4" xfId="4" applyFont="1" applyFill="1" applyBorder="1" applyAlignment="1" applyProtection="1">
      <alignment horizontal="center" vertical="top" wrapText="1"/>
      <protection locked="0"/>
    </xf>
    <xf numFmtId="164" fontId="7" fillId="5" borderId="1" xfId="4" applyNumberFormat="1" applyFont="1" applyFill="1" applyBorder="1" applyAlignment="1">
      <alignment horizontal="left" vertical="top" wrapText="1"/>
    </xf>
    <xf numFmtId="0" fontId="7" fillId="5" borderId="1" xfId="4" quotePrefix="1" applyFont="1" applyFill="1" applyBorder="1" applyAlignment="1">
      <alignment horizontal="left" vertical="top" wrapText="1"/>
    </xf>
    <xf numFmtId="0" fontId="7" fillId="5" borderId="1" xfId="4" quotePrefix="1" applyFont="1" applyFill="1" applyBorder="1" applyAlignment="1" applyProtection="1">
      <alignment horizontal="left" vertical="top" wrapText="1"/>
      <protection locked="0"/>
    </xf>
    <xf numFmtId="164" fontId="7" fillId="5" borderId="1" xfId="4" quotePrefix="1" applyNumberFormat="1" applyFont="1" applyFill="1" applyBorder="1" applyAlignment="1">
      <alignment horizontal="left" vertical="top" wrapText="1"/>
    </xf>
    <xf numFmtId="0" fontId="6" fillId="5" borderId="1" xfId="4" quotePrefix="1" applyFont="1" applyFill="1" applyBorder="1" applyAlignment="1" applyProtection="1">
      <alignment horizontal="left" vertical="top" wrapText="1"/>
      <protection locked="0"/>
    </xf>
    <xf numFmtId="164" fontId="6" fillId="5" borderId="1" xfId="1" quotePrefix="1" applyNumberFormat="1" applyFont="1" applyFill="1" applyBorder="1" applyAlignment="1" applyProtection="1">
      <alignment horizontal="left" vertical="top" wrapText="1"/>
      <protection locked="0"/>
    </xf>
    <xf numFmtId="0" fontId="6" fillId="5" borderId="2" xfId="4" quotePrefix="1" applyFont="1" applyFill="1" applyBorder="1" applyAlignment="1" applyProtection="1">
      <alignment horizontal="left" vertical="top" wrapText="1"/>
      <protection locked="0"/>
    </xf>
    <xf numFmtId="0" fontId="6" fillId="5" borderId="1" xfId="4" quotePrefix="1" applyFont="1" applyFill="1" applyBorder="1" applyAlignment="1" applyProtection="1">
      <alignment horizontal="center" vertical="top" wrapText="1"/>
      <protection locked="0"/>
    </xf>
    <xf numFmtId="0" fontId="6" fillId="5" borderId="3" xfId="4" quotePrefix="1" applyFont="1" applyFill="1" applyBorder="1" applyAlignment="1" applyProtection="1">
      <alignment horizontal="left" vertical="top" wrapText="1"/>
      <protection locked="0"/>
    </xf>
    <xf numFmtId="0" fontId="18" fillId="2" borderId="0" xfId="4" applyFont="1" applyFill="1" applyAlignment="1" applyProtection="1">
      <alignment horizontal="right" vertical="top"/>
      <protection locked="0"/>
    </xf>
    <xf numFmtId="2" fontId="2" fillId="5" borderId="1" xfId="4" applyNumberFormat="1" applyFill="1" applyBorder="1" applyAlignment="1">
      <alignment vertical="center" wrapText="1"/>
    </xf>
    <xf numFmtId="0" fontId="2" fillId="5" borderId="1" xfId="4" applyFill="1" applyBorder="1" applyAlignment="1" applyProtection="1">
      <alignment vertical="center" wrapText="1"/>
      <protection locked="0"/>
    </xf>
    <xf numFmtId="0" fontId="8" fillId="5" borderId="1" xfId="4" applyFont="1" applyFill="1" applyBorder="1" applyAlignment="1" applyProtection="1">
      <alignment horizontal="center" vertical="center" wrapText="1"/>
      <protection locked="0"/>
    </xf>
    <xf numFmtId="164" fontId="2" fillId="5" borderId="1" xfId="1" applyNumberFormat="1" applyFont="1" applyFill="1" applyBorder="1" applyAlignment="1" applyProtection="1">
      <alignment vertical="center" wrapText="1"/>
      <protection locked="0"/>
    </xf>
    <xf numFmtId="9" fontId="2" fillId="5" borderId="2" xfId="4" applyNumberFormat="1" applyFill="1" applyBorder="1" applyAlignment="1" applyProtection="1">
      <alignment horizontal="center" vertical="center" wrapText="1"/>
      <protection locked="0"/>
    </xf>
    <xf numFmtId="0" fontId="2" fillId="5" borderId="1" xfId="4" applyFill="1" applyBorder="1" applyAlignment="1" applyProtection="1">
      <alignment horizontal="center" vertical="top" wrapText="1"/>
      <protection locked="0"/>
    </xf>
    <xf numFmtId="0" fontId="2" fillId="5" borderId="3" xfId="4" applyFill="1" applyBorder="1" applyAlignment="1" applyProtection="1">
      <alignment horizontal="left" vertical="top" wrapText="1"/>
      <protection locked="0"/>
    </xf>
    <xf numFmtId="167" fontId="7" fillId="5" borderId="1" xfId="4" applyNumberFormat="1" applyFont="1" applyFill="1" applyBorder="1"/>
    <xf numFmtId="0" fontId="8" fillId="5" borderId="1" xfId="4" applyFont="1" applyFill="1" applyBorder="1" applyAlignment="1">
      <alignment horizontal="center" vertical="center" wrapText="1"/>
    </xf>
    <xf numFmtId="164" fontId="8" fillId="5" borderId="1" xfId="4" applyNumberFormat="1" applyFont="1" applyFill="1" applyBorder="1" applyAlignment="1">
      <alignment horizontal="center" vertical="center" wrapText="1"/>
    </xf>
    <xf numFmtId="164" fontId="8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5" borderId="2" xfId="4" applyFont="1" applyFill="1" applyBorder="1" applyAlignment="1" applyProtection="1">
      <alignment horizontal="center" vertical="center" wrapText="1"/>
      <protection locked="0"/>
    </xf>
    <xf numFmtId="0" fontId="8" fillId="5" borderId="3" xfId="4" applyFont="1" applyFill="1" applyBorder="1" applyAlignment="1" applyProtection="1">
      <alignment horizontal="center" vertical="center"/>
      <protection locked="0"/>
    </xf>
    <xf numFmtId="164" fontId="8" fillId="5" borderId="1" xfId="4" applyNumberFormat="1" applyFont="1" applyFill="1" applyBorder="1" applyAlignment="1">
      <alignment horizontal="right" vertical="center" wrapText="1"/>
    </xf>
    <xf numFmtId="164" fontId="2" fillId="3" borderId="1" xfId="1" applyNumberFormat="1" applyFont="1" applyFill="1" applyBorder="1" applyAlignment="1" applyProtection="1">
      <alignment horizontal="left" vertical="top" wrapText="1"/>
      <protection locked="0"/>
    </xf>
    <xf numFmtId="164" fontId="0" fillId="3" borderId="1" xfId="1" applyNumberFormat="1" applyFont="1" applyFill="1" applyBorder="1" applyProtection="1"/>
    <xf numFmtId="164" fontId="10" fillId="5" borderId="1" xfId="4" applyNumberFormat="1" applyFont="1" applyFill="1" applyBorder="1"/>
    <xf numFmtId="0" fontId="2" fillId="4" borderId="6" xfId="4" applyFill="1" applyBorder="1" applyAlignment="1" applyProtection="1">
      <alignment vertical="center" wrapText="1"/>
      <protection locked="0"/>
    </xf>
    <xf numFmtId="0" fontId="2" fillId="2" borderId="9" xfId="4" applyFill="1" applyBorder="1" applyAlignment="1" applyProtection="1">
      <alignment vertical="top" wrapText="1"/>
      <protection locked="0"/>
    </xf>
    <xf numFmtId="0" fontId="2" fillId="2" borderId="6" xfId="4" applyFill="1" applyBorder="1" applyAlignment="1" applyProtection="1">
      <alignment vertical="top"/>
      <protection locked="0"/>
    </xf>
    <xf numFmtId="164" fontId="13" fillId="5" borderId="1" xfId="4" applyNumberFormat="1" applyFont="1" applyFill="1" applyBorder="1" applyAlignment="1">
      <alignment horizontal="center" vertical="center" wrapText="1"/>
    </xf>
    <xf numFmtId="0" fontId="2" fillId="5" borderId="1" xfId="4" applyFill="1" applyBorder="1" applyAlignment="1" applyProtection="1">
      <alignment horizontal="left" vertical="top" wrapText="1"/>
      <protection locked="0"/>
    </xf>
    <xf numFmtId="9" fontId="2" fillId="5" borderId="1" xfId="4" applyNumberForma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2" fillId="5" borderId="1" xfId="4" applyFill="1" applyBorder="1" applyAlignment="1" applyProtection="1">
      <alignment vertical="top" wrapText="1"/>
      <protection locked="0"/>
    </xf>
    <xf numFmtId="0" fontId="2" fillId="4" borderId="4" xfId="4" applyFill="1" applyBorder="1" applyAlignment="1" applyProtection="1">
      <alignment vertical="center" wrapText="1"/>
      <protection locked="0"/>
    </xf>
    <xf numFmtId="164" fontId="2" fillId="4" borderId="4" xfId="1" applyNumberFormat="1" applyFont="1" applyFill="1" applyBorder="1" applyAlignment="1" applyProtection="1">
      <alignment vertical="center" wrapText="1"/>
      <protection locked="0"/>
    </xf>
    <xf numFmtId="0" fontId="2" fillId="2" borderId="4" xfId="4" applyFill="1" applyBorder="1" applyAlignment="1" applyProtection="1">
      <alignment vertical="top"/>
      <protection locked="0"/>
    </xf>
    <xf numFmtId="0" fontId="8" fillId="5" borderId="4" xfId="4" applyFont="1" applyFill="1" applyBorder="1" applyAlignment="1" applyProtection="1">
      <alignment horizontal="center" vertical="center"/>
      <protection locked="0"/>
    </xf>
    <xf numFmtId="0" fontId="11" fillId="2" borderId="0" xfId="0" applyFont="1" applyFill="1"/>
    <xf numFmtId="0" fontId="3" fillId="2" borderId="0" xfId="4" applyFont="1" applyFill="1" applyAlignment="1" applyProtection="1">
      <alignment horizontal="right" vertical="center"/>
      <protection locked="0"/>
    </xf>
    <xf numFmtId="0" fontId="8" fillId="2" borderId="0" xfId="4" applyFont="1" applyFill="1" applyAlignment="1" applyProtection="1">
      <alignment horizontal="center" vertical="center" wrapText="1"/>
      <protection locked="0"/>
    </xf>
    <xf numFmtId="0" fontId="2" fillId="4" borderId="10" xfId="4" applyFill="1" applyBorder="1" applyAlignment="1" applyProtection="1">
      <alignment horizontal="right" vertical="top" wrapText="1"/>
      <protection locked="0"/>
    </xf>
    <xf numFmtId="0" fontId="2" fillId="0" borderId="11" xfId="4" applyBorder="1" applyProtection="1">
      <protection locked="0"/>
    </xf>
    <xf numFmtId="0" fontId="6" fillId="2" borderId="12" xfId="4" applyFont="1" applyFill="1" applyBorder="1" applyAlignment="1" applyProtection="1">
      <alignment horizontal="left" vertical="top" wrapText="1"/>
      <protection locked="0"/>
    </xf>
    <xf numFmtId="0" fontId="2" fillId="4" borderId="13" xfId="4" applyFill="1" applyBorder="1" applyAlignment="1" applyProtection="1">
      <alignment horizontal="right" vertical="top" wrapText="1"/>
      <protection locked="0"/>
    </xf>
    <xf numFmtId="0" fontId="6" fillId="0" borderId="14" xfId="4" applyFont="1" applyBorder="1" applyAlignment="1" applyProtection="1">
      <alignment horizontal="left" vertical="top" wrapText="1"/>
      <protection locked="0"/>
    </xf>
    <xf numFmtId="0" fontId="0" fillId="4" borderId="15" xfId="0" applyFill="1" applyBorder="1" applyProtection="1">
      <protection locked="0"/>
    </xf>
    <xf numFmtId="0" fontId="2" fillId="0" borderId="16" xfId="4" applyBorder="1" applyAlignment="1" applyProtection="1">
      <alignment horizontal="left" vertical="top"/>
      <protection locked="0"/>
    </xf>
    <xf numFmtId="0" fontId="6" fillId="2" borderId="17" xfId="4" applyFont="1" applyFill="1" applyBorder="1" applyAlignment="1" applyProtection="1">
      <alignment horizontal="left" vertical="top" wrapText="1"/>
      <protection locked="0"/>
    </xf>
    <xf numFmtId="0" fontId="2" fillId="0" borderId="0" xfId="4" applyAlignment="1" applyProtection="1">
      <alignment horizontal="left" vertical="top"/>
      <protection locked="0"/>
    </xf>
    <xf numFmtId="0" fontId="6" fillId="2" borderId="14" xfId="4" applyFont="1" applyFill="1" applyBorder="1" applyAlignment="1" applyProtection="1">
      <alignment horizontal="left" vertical="top" wrapText="1"/>
      <protection locked="0"/>
    </xf>
    <xf numFmtId="0" fontId="2" fillId="4" borderId="18" xfId="4" applyFill="1" applyBorder="1" applyAlignment="1" applyProtection="1">
      <alignment horizontal="right" vertical="top" wrapText="1"/>
      <protection locked="0"/>
    </xf>
    <xf numFmtId="0" fontId="2" fillId="0" borderId="19" xfId="4" applyBorder="1" applyAlignment="1" applyProtection="1">
      <alignment horizontal="left" vertical="top"/>
      <protection locked="0"/>
    </xf>
    <xf numFmtId="0" fontId="6" fillId="2" borderId="20" xfId="4" applyFont="1" applyFill="1" applyBorder="1" applyAlignment="1" applyProtection="1">
      <alignment horizontal="left" vertical="top" wrapText="1"/>
      <protection locked="0"/>
    </xf>
    <xf numFmtId="0" fontId="8" fillId="2" borderId="0" xfId="4" applyFont="1" applyFill="1" applyAlignment="1" applyProtection="1">
      <alignment horizontal="center" vertical="center"/>
      <protection locked="0"/>
    </xf>
    <xf numFmtId="164" fontId="2" fillId="3" borderId="18" xfId="4" applyNumberFormat="1" applyFill="1" applyBorder="1" applyAlignment="1">
      <alignment horizontal="right" vertical="top" wrapText="1"/>
    </xf>
    <xf numFmtId="0" fontId="2" fillId="2" borderId="19" xfId="4" applyFill="1" applyBorder="1" applyAlignment="1" applyProtection="1">
      <alignment horizontal="left" vertical="top" wrapText="1"/>
      <protection locked="0"/>
    </xf>
    <xf numFmtId="0" fontId="8" fillId="5" borderId="21" xfId="4" applyFont="1" applyFill="1" applyBorder="1" applyAlignment="1" applyProtection="1">
      <alignment horizontal="center" vertical="center"/>
      <protection locked="0"/>
    </xf>
    <xf numFmtId="0" fontId="8" fillId="5" borderId="22" xfId="4" applyFont="1" applyFill="1" applyBorder="1" applyAlignment="1" applyProtection="1">
      <alignment horizontal="center" vertical="center"/>
      <protection locked="0"/>
    </xf>
    <xf numFmtId="0" fontId="8" fillId="5" borderId="23" xfId="4" applyFont="1" applyFill="1" applyBorder="1" applyAlignment="1" applyProtection="1">
      <alignment horizontal="center" vertical="center"/>
      <protection locked="0"/>
    </xf>
    <xf numFmtId="44" fontId="16" fillId="3" borderId="1" xfId="4" applyNumberFormat="1" applyFont="1" applyFill="1" applyBorder="1" applyAlignment="1">
      <alignment horizontal="left" vertical="center" wrapText="1"/>
    </xf>
    <xf numFmtId="0" fontId="19" fillId="0" borderId="0" xfId="0" applyFont="1"/>
    <xf numFmtId="0" fontId="20" fillId="0" borderId="0" xfId="0" applyFont="1"/>
    <xf numFmtId="0" fontId="10" fillId="0" borderId="1" xfId="4" applyFont="1" applyBorder="1" applyAlignment="1" applyProtection="1">
      <alignment horizontal="center" vertical="center"/>
      <protection locked="0"/>
    </xf>
    <xf numFmtId="0" fontId="4" fillId="0" borderId="1" xfId="4" applyFont="1" applyBorder="1" applyAlignment="1" applyProtection="1">
      <alignment horizontal="center" vertical="center"/>
      <protection locked="0"/>
    </xf>
    <xf numFmtId="0" fontId="4" fillId="5" borderId="1" xfId="4" applyFont="1" applyFill="1" applyBorder="1" applyAlignment="1" applyProtection="1">
      <alignment horizontal="center" vertical="center"/>
      <protection locked="0"/>
    </xf>
    <xf numFmtId="0" fontId="2" fillId="2" borderId="0" xfId="4" applyFill="1" applyAlignment="1" applyProtection="1">
      <alignment horizontal="center" vertical="top" wrapText="1"/>
      <protection locked="0"/>
    </xf>
    <xf numFmtId="44" fontId="2" fillId="4" borderId="1" xfId="2" applyFont="1" applyFill="1" applyBorder="1" applyAlignment="1" applyProtection="1">
      <alignment horizontal="left" vertical="top" wrapText="1"/>
      <protection locked="0"/>
    </xf>
    <xf numFmtId="44" fontId="2" fillId="4" borderId="1" xfId="4" applyNumberFormat="1" applyFill="1" applyBorder="1" applyAlignment="1" applyProtection="1">
      <alignment horizontal="center" vertical="top" wrapText="1"/>
      <protection locked="0"/>
    </xf>
    <xf numFmtId="44" fontId="4" fillId="3" borderId="1" xfId="4" applyNumberFormat="1" applyFont="1" applyFill="1" applyBorder="1" applyAlignment="1">
      <alignment horizontal="center" vertical="top" wrapText="1"/>
    </xf>
    <xf numFmtId="44" fontId="2" fillId="3" borderId="1" xfId="4" applyNumberFormat="1" applyFill="1" applyBorder="1" applyAlignment="1">
      <alignment horizontal="center" vertical="top" wrapText="1"/>
    </xf>
    <xf numFmtId="44" fontId="2" fillId="3" borderId="3" xfId="4" applyNumberFormat="1" applyFill="1" applyBorder="1" applyAlignment="1">
      <alignment horizontal="center" vertical="top" wrapText="1"/>
    </xf>
    <xf numFmtId="44" fontId="2" fillId="3" borderId="8" xfId="4" applyNumberFormat="1" applyFill="1" applyBorder="1" applyAlignment="1">
      <alignment horizontal="center" vertical="top" wrapText="1"/>
    </xf>
    <xf numFmtId="44" fontId="2" fillId="3" borderId="2" xfId="4" applyNumberFormat="1" applyFill="1" applyBorder="1" applyAlignment="1">
      <alignment horizontal="center" vertical="top" wrapText="1"/>
    </xf>
    <xf numFmtId="44" fontId="2" fillId="4" borderId="3" xfId="4" applyNumberFormat="1" applyFill="1" applyBorder="1" applyAlignment="1" applyProtection="1">
      <alignment horizontal="center" vertical="top" wrapText="1"/>
      <protection locked="0"/>
    </xf>
    <xf numFmtId="44" fontId="2" fillId="4" borderId="8" xfId="4" applyNumberFormat="1" applyFill="1" applyBorder="1" applyAlignment="1" applyProtection="1">
      <alignment horizontal="center" vertical="top" wrapText="1"/>
      <protection locked="0"/>
    </xf>
    <xf numFmtId="44" fontId="2" fillId="4" borderId="2" xfId="4" applyNumberFormat="1" applyFill="1" applyBorder="1" applyAlignment="1" applyProtection="1">
      <alignment horizontal="center" vertical="top" wrapText="1"/>
      <protection locked="0"/>
    </xf>
    <xf numFmtId="165" fontId="2" fillId="4" borderId="1" xfId="1" applyNumberFormat="1" applyFont="1" applyFill="1" applyBorder="1" applyAlignment="1" applyProtection="1">
      <alignment horizontal="center" vertical="top" wrapText="1"/>
      <protection locked="0"/>
    </xf>
    <xf numFmtId="0" fontId="2" fillId="2" borderId="4" xfId="4" applyFill="1" applyBorder="1" applyAlignment="1" applyProtection="1">
      <alignment horizontal="center" vertical="top"/>
      <protection locked="0"/>
    </xf>
    <xf numFmtId="0" fontId="2" fillId="2" borderId="7" xfId="4" applyFill="1" applyBorder="1" applyAlignment="1" applyProtection="1">
      <alignment horizontal="center" vertical="top"/>
      <protection locked="0"/>
    </xf>
    <xf numFmtId="0" fontId="2" fillId="2" borderId="6" xfId="4" applyFill="1" applyBorder="1" applyAlignment="1" applyProtection="1">
      <alignment horizontal="center" vertical="top"/>
      <protection locked="0"/>
    </xf>
    <xf numFmtId="0" fontId="5" fillId="2" borderId="4" xfId="4" applyFont="1" applyFill="1" applyBorder="1" applyAlignment="1" applyProtection="1">
      <alignment horizontal="center" vertical="top" wrapText="1"/>
      <protection locked="0"/>
    </xf>
    <xf numFmtId="0" fontId="5" fillId="2" borderId="7" xfId="4" applyFont="1" applyFill="1" applyBorder="1" applyAlignment="1" applyProtection="1">
      <alignment horizontal="center" vertical="top" wrapText="1"/>
      <protection locked="0"/>
    </xf>
    <xf numFmtId="164" fontId="2" fillId="4" borderId="3" xfId="1" applyNumberFormat="1" applyFont="1" applyFill="1" applyBorder="1" applyAlignment="1" applyProtection="1">
      <alignment horizontal="center" vertical="top" wrapText="1"/>
      <protection locked="0"/>
    </xf>
    <xf numFmtId="164" fontId="2" fillId="4" borderId="8" xfId="1" applyNumberFormat="1" applyFont="1" applyFill="1" applyBorder="1" applyAlignment="1" applyProtection="1">
      <alignment horizontal="center" vertical="top" wrapText="1"/>
      <protection locked="0"/>
    </xf>
    <xf numFmtId="164" fontId="2" fillId="4" borderId="2" xfId="1" applyNumberFormat="1" applyFont="1" applyFill="1" applyBorder="1" applyAlignment="1" applyProtection="1">
      <alignment horizontal="center" vertical="top" wrapText="1"/>
      <protection locked="0"/>
    </xf>
    <xf numFmtId="43" fontId="2" fillId="4" borderId="1" xfId="1" applyFont="1" applyFill="1" applyBorder="1" applyAlignment="1" applyProtection="1">
      <alignment horizontal="center" vertical="top" wrapText="1"/>
      <protection locked="0"/>
    </xf>
    <xf numFmtId="166" fontId="2" fillId="3" borderId="1" xfId="1" applyNumberFormat="1" applyFont="1" applyFill="1" applyBorder="1" applyAlignment="1" applyProtection="1">
      <alignment horizontal="center" vertical="top" wrapText="1"/>
    </xf>
    <xf numFmtId="0" fontId="8" fillId="5" borderId="1" xfId="4" applyFont="1" applyFill="1" applyBorder="1" applyAlignment="1" applyProtection="1">
      <alignment horizontal="center" vertical="center" wrapText="1"/>
      <protection locked="0"/>
    </xf>
    <xf numFmtId="0" fontId="6" fillId="2" borderId="1" xfId="4" applyFont="1" applyFill="1" applyBorder="1" applyAlignment="1" applyProtection="1">
      <alignment horizontal="center" vertical="top" wrapText="1"/>
      <protection locked="0"/>
    </xf>
    <xf numFmtId="0" fontId="6" fillId="2" borderId="4" xfId="4" applyFont="1" applyFill="1" applyBorder="1" applyAlignment="1" applyProtection="1">
      <alignment horizontal="center" vertical="top" wrapText="1"/>
      <protection locked="0"/>
    </xf>
    <xf numFmtId="0" fontId="6" fillId="2" borderId="7" xfId="4" applyFont="1" applyFill="1" applyBorder="1" applyAlignment="1" applyProtection="1">
      <alignment horizontal="center" vertical="top" wrapText="1"/>
      <protection locked="0"/>
    </xf>
    <xf numFmtId="0" fontId="6" fillId="2" borderId="6" xfId="4" applyFont="1" applyFill="1" applyBorder="1" applyAlignment="1" applyProtection="1">
      <alignment horizontal="center" vertical="top" wrapText="1"/>
      <protection locked="0"/>
    </xf>
  </cellXfs>
  <cellStyles count="6">
    <cellStyle name="Normal 2" xfId="4" xr:uid="{4908D4D9-8299-46F4-8D63-B0692826B18B}"/>
    <cellStyle name="Гиперссылка" xfId="5" builtinId="8"/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com\Desktop\&#1052;&#1058;&#1057;\&#1051;&#1072;&#1080;&#774;&#1074;%20&#1051;&#1077;&#1090;&#1086;%202025%20(1)%20&#8212;%20&#1082;&#1086;&#1087;&#1080;&#1103;.xlsm" TargetMode="External"/><Relationship Id="rId1" Type="http://schemas.openxmlformats.org/officeDocument/2006/relationships/externalLinkPath" Target="/Users/icom/Desktop/&#1052;&#1058;&#1057;/&#1051;&#1072;&#1080;&#774;&#1074;%20&#1051;&#1077;&#1090;&#1086;%202025%20(1)%20&#8212;%20&#1082;&#1086;&#1087;&#1080;&#1103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com\Desktop\&#1052;&#1058;&#1057;\&#1051;&#1072;&#1080;&#774;&#1074;%20&#1051;&#1077;&#1090;&#1086;%202025%20(1).xlsm" TargetMode="External"/><Relationship Id="rId1" Type="http://schemas.openxmlformats.org/officeDocument/2006/relationships/externalLinkPath" Target="/Users/icom/Desktop/&#1052;&#1058;&#1057;/&#1051;&#1072;&#1080;&#774;&#1074;%20&#1051;&#1077;&#1090;&#1086;%202025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оронеж"/>
      <sheetName val="Омск"/>
      <sheetName val="Калининград"/>
      <sheetName val="Хабаровск"/>
      <sheetName val="Нижний Новгород"/>
      <sheetName val="Чебоксары"/>
      <sheetName val="Сочи"/>
      <sheetName val="Краснодар"/>
      <sheetName val="Новосибирск"/>
      <sheetName val="Казань"/>
      <sheetName val="Кемерово"/>
      <sheetName val="Томск"/>
      <sheetName val="Екатеринбург"/>
      <sheetName val="Санкт-Петербург"/>
      <sheetName val="ЧЕК-ЛИСТ"/>
      <sheetName val="Итоговые показатели по городам"/>
      <sheetName val="UFO"/>
      <sheetName val="ТВ Каналы"/>
      <sheetName val="Радиостанции"/>
      <sheetName val="Списки"/>
      <sheetName val="Коэфы качество контакта"/>
      <sheetName val="ЦА по городам"/>
      <sheetName val="Коэфы брендирование"/>
      <sheetName val="ТВ"/>
      <sheetName val="OOH"/>
      <sheetName val="Метро"/>
      <sheetName val="Radio"/>
      <sheetName val="Indoor"/>
      <sheetName val="ТВ исходник"/>
      <sheetName val="Ради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Спонсорство</v>
          </cell>
          <cell r="C4" t="str">
            <v>МоскваСпонсорство</v>
          </cell>
        </row>
        <row r="5">
          <cell r="B5" t="str">
            <v>Спонсорство</v>
          </cell>
          <cell r="C5" t="str">
            <v>МоскваСпонсорство</v>
          </cell>
        </row>
        <row r="6">
          <cell r="B6" t="str">
            <v>Спонсорство</v>
          </cell>
          <cell r="C6" t="str">
            <v>Санкт-ПетербургСпонсорство</v>
          </cell>
        </row>
        <row r="7">
          <cell r="B7" t="str">
            <v>Спонсорство</v>
          </cell>
          <cell r="C7" t="str">
            <v>Санкт-ПетербургСпонсорство</v>
          </cell>
        </row>
        <row r="8">
          <cell r="B8" t="str">
            <v>Прямая Реклама</v>
          </cell>
          <cell r="C8" t="str">
            <v>Санкт-ПетербургПрямая Реклама</v>
          </cell>
        </row>
        <row r="9">
          <cell r="B9" t="str">
            <v>Прямая Реклама</v>
          </cell>
          <cell r="C9" t="str">
            <v>Санкт-ПетербургПрямая Реклама</v>
          </cell>
        </row>
        <row r="10">
          <cell r="B10" t="str">
            <v>Спонсорство</v>
          </cell>
        </row>
        <row r="11">
          <cell r="B11" t="str">
            <v>Спонсорство</v>
          </cell>
          <cell r="C11" t="str">
            <v>КраснодарСпонсорство</v>
          </cell>
        </row>
        <row r="12">
          <cell r="B12" t="str">
            <v>Прямая Реклама</v>
          </cell>
          <cell r="C12" t="str">
            <v>ВоронежПрямая Реклама</v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</sheetData>
      <sheetData sheetId="18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Прямая Реклама</v>
          </cell>
          <cell r="C4" t="str">
            <v>МоскваПрямая Реклама</v>
          </cell>
        </row>
        <row r="5">
          <cell r="B5" t="str">
            <v>Прямая Реклама</v>
          </cell>
          <cell r="C5" t="str">
            <v>МоскваПрямая Реклама</v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  <row r="996">
          <cell r="C996" t="str">
            <v/>
          </cell>
        </row>
        <row r="997">
          <cell r="C997" t="str">
            <v/>
          </cell>
        </row>
        <row r="998">
          <cell r="C998" t="str">
            <v/>
          </cell>
        </row>
        <row r="999">
          <cell r="C999" t="str">
            <v/>
          </cell>
        </row>
        <row r="1000">
          <cell r="C1000" t="str">
            <v/>
          </cell>
        </row>
        <row r="1001">
          <cell r="C1001" t="str">
            <v/>
          </cell>
        </row>
        <row r="1002">
          <cell r="C1002" t="str">
            <v/>
          </cell>
        </row>
        <row r="1003">
          <cell r="C1003" t="str">
            <v/>
          </cell>
        </row>
        <row r="1004">
          <cell r="C1004" t="str">
            <v/>
          </cell>
        </row>
        <row r="1005">
          <cell r="C1005" t="str">
            <v/>
          </cell>
        </row>
        <row r="1006">
          <cell r="C1006" t="str">
            <v/>
          </cell>
        </row>
        <row r="1007">
          <cell r="C1007" t="str">
            <v/>
          </cell>
        </row>
        <row r="1008">
          <cell r="C1008" t="str">
            <v/>
          </cell>
        </row>
        <row r="1009">
          <cell r="C1009" t="str">
            <v/>
          </cell>
        </row>
        <row r="1010">
          <cell r="C1010" t="str">
            <v/>
          </cell>
        </row>
        <row r="1011">
          <cell r="C1011" t="str">
            <v/>
          </cell>
        </row>
        <row r="1012">
          <cell r="C1012" t="str">
            <v/>
          </cell>
        </row>
        <row r="1013">
          <cell r="C1013" t="str">
            <v/>
          </cell>
        </row>
        <row r="1014">
          <cell r="C1014" t="str">
            <v/>
          </cell>
        </row>
        <row r="1015">
          <cell r="C1015" t="str">
            <v/>
          </cell>
        </row>
        <row r="1016">
          <cell r="C1016" t="str">
            <v/>
          </cell>
        </row>
        <row r="1017">
          <cell r="C1017" t="str">
            <v/>
          </cell>
        </row>
        <row r="1018">
          <cell r="C1018" t="str">
            <v/>
          </cell>
        </row>
        <row r="1019">
          <cell r="C1019" t="str">
            <v/>
          </cell>
        </row>
        <row r="1020">
          <cell r="C1020" t="str">
            <v/>
          </cell>
        </row>
        <row r="1021">
          <cell r="C1021" t="str">
            <v/>
          </cell>
        </row>
        <row r="1022">
          <cell r="C1022" t="str">
            <v/>
          </cell>
        </row>
        <row r="1023">
          <cell r="C1023" t="str">
            <v/>
          </cell>
        </row>
        <row r="1024">
          <cell r="C1024" t="str">
            <v/>
          </cell>
        </row>
        <row r="1025">
          <cell r="C1025" t="str">
            <v/>
          </cell>
        </row>
        <row r="1026">
          <cell r="C1026" t="str">
            <v/>
          </cell>
        </row>
        <row r="1027">
          <cell r="C1027" t="str">
            <v/>
          </cell>
        </row>
        <row r="1028">
          <cell r="C1028" t="str">
            <v/>
          </cell>
        </row>
      </sheetData>
      <sheetData sheetId="19">
        <row r="2">
          <cell r="F2" t="str">
            <v>Видео</v>
          </cell>
        </row>
      </sheetData>
      <sheetData sheetId="20">
        <row r="2">
          <cell r="A2" t="str">
            <v>Специальные проекты (среднее время на проекте)</v>
          </cell>
        </row>
      </sheetData>
      <sheetData sheetId="21">
        <row r="2">
          <cell r="A2" t="str">
            <v>Москва</v>
          </cell>
        </row>
      </sheetData>
      <sheetData sheetId="22">
        <row r="2">
          <cell r="A2" t="str">
            <v>Голосовое сообщение до старта мероприятия</v>
          </cell>
        </row>
      </sheetData>
      <sheetData sheetId="23">
        <row r="1">
          <cell r="A1" t="str">
            <v>Регион</v>
          </cell>
        </row>
        <row r="2">
          <cell r="A2" t="str">
            <v>Воронеж</v>
          </cell>
        </row>
        <row r="3">
          <cell r="A3" t="str">
            <v>Воронеж</v>
          </cell>
        </row>
        <row r="4">
          <cell r="A4" t="str">
            <v>Воронеж</v>
          </cell>
        </row>
        <row r="5">
          <cell r="A5" t="str">
            <v>Воронеж</v>
          </cell>
        </row>
        <row r="6">
          <cell r="A6" t="str">
            <v>Воронеж</v>
          </cell>
        </row>
        <row r="7">
          <cell r="A7" t="str">
            <v>Воронеж</v>
          </cell>
        </row>
        <row r="8">
          <cell r="A8" t="str">
            <v>Воронеж</v>
          </cell>
        </row>
        <row r="9">
          <cell r="A9" t="str">
            <v>Воронеж</v>
          </cell>
        </row>
        <row r="10">
          <cell r="A10" t="str">
            <v>Воронеж</v>
          </cell>
        </row>
        <row r="11">
          <cell r="A11" t="str">
            <v>Воронеж</v>
          </cell>
        </row>
        <row r="12">
          <cell r="A12" t="str">
            <v>Воронеж</v>
          </cell>
        </row>
        <row r="13">
          <cell r="A13" t="str">
            <v>Воронеж</v>
          </cell>
        </row>
        <row r="14">
          <cell r="A14" t="str">
            <v>Воронеж</v>
          </cell>
        </row>
        <row r="15">
          <cell r="A15" t="str">
            <v>Воронеж</v>
          </cell>
        </row>
        <row r="16">
          <cell r="A16" t="str">
            <v>Воронеж</v>
          </cell>
        </row>
        <row r="17">
          <cell r="A17" t="str">
            <v>Воронеж</v>
          </cell>
        </row>
        <row r="18">
          <cell r="A18" t="str">
            <v>Воронеж</v>
          </cell>
        </row>
        <row r="19">
          <cell r="A19" t="str">
            <v>Воронеж</v>
          </cell>
        </row>
        <row r="20">
          <cell r="A20" t="str">
            <v>Воронеж</v>
          </cell>
        </row>
        <row r="21">
          <cell r="A21" t="str">
            <v>Воронеж</v>
          </cell>
        </row>
        <row r="22">
          <cell r="A22" t="str">
            <v>Воронеж</v>
          </cell>
        </row>
        <row r="23">
          <cell r="A23" t="str">
            <v>Воронеж</v>
          </cell>
        </row>
        <row r="24">
          <cell r="A24" t="str">
            <v>Воронеж</v>
          </cell>
        </row>
        <row r="25">
          <cell r="A25" t="str">
            <v>Воронеж</v>
          </cell>
        </row>
        <row r="26">
          <cell r="A26" t="str">
            <v>Воронеж</v>
          </cell>
        </row>
        <row r="27">
          <cell r="A27" t="str">
            <v>Воронеж</v>
          </cell>
        </row>
        <row r="28">
          <cell r="A28" t="str">
            <v>Воронеж</v>
          </cell>
        </row>
        <row r="29">
          <cell r="A29" t="str">
            <v>Воронеж</v>
          </cell>
        </row>
        <row r="30">
          <cell r="A30" t="str">
            <v>Воронеж</v>
          </cell>
        </row>
        <row r="31">
          <cell r="A31" t="str">
            <v>Воронеж</v>
          </cell>
        </row>
        <row r="32">
          <cell r="A32" t="str">
            <v>Воронеж</v>
          </cell>
        </row>
        <row r="33">
          <cell r="A33" t="str">
            <v>Воронеж</v>
          </cell>
        </row>
        <row r="34">
          <cell r="A34" t="str">
            <v>Воронеж</v>
          </cell>
        </row>
        <row r="35">
          <cell r="A35" t="str">
            <v>Воронеж</v>
          </cell>
        </row>
        <row r="36">
          <cell r="A36" t="str">
            <v>Воронеж</v>
          </cell>
        </row>
        <row r="37">
          <cell r="A37" t="str">
            <v>Воронеж</v>
          </cell>
        </row>
        <row r="38">
          <cell r="A38" t="str">
            <v>Воронеж</v>
          </cell>
        </row>
        <row r="39">
          <cell r="A39" t="str">
            <v>Воронеж</v>
          </cell>
        </row>
        <row r="40">
          <cell r="A40" t="str">
            <v>Воронеж</v>
          </cell>
        </row>
        <row r="41">
          <cell r="A41" t="str">
            <v>Екатеринбург</v>
          </cell>
        </row>
        <row r="42">
          <cell r="A42" t="str">
            <v>Екатеринбург</v>
          </cell>
        </row>
        <row r="43">
          <cell r="A43" t="str">
            <v>Екатеринбург</v>
          </cell>
        </row>
        <row r="44">
          <cell r="A44" t="str">
            <v>Екатеринбург</v>
          </cell>
        </row>
        <row r="45">
          <cell r="A45" t="str">
            <v>Екатеринбург</v>
          </cell>
        </row>
        <row r="46">
          <cell r="A46" t="str">
            <v>Екатеринбург</v>
          </cell>
        </row>
        <row r="47">
          <cell r="A47" t="str">
            <v>Екатеринбург</v>
          </cell>
        </row>
        <row r="48">
          <cell r="A48" t="str">
            <v>Екатеринбург</v>
          </cell>
        </row>
        <row r="49">
          <cell r="A49" t="str">
            <v>Екатеринбург</v>
          </cell>
        </row>
        <row r="50">
          <cell r="A50" t="str">
            <v>Екатеринбург</v>
          </cell>
        </row>
        <row r="51">
          <cell r="A51" t="str">
            <v>Екатеринбург</v>
          </cell>
        </row>
        <row r="52">
          <cell r="A52" t="str">
            <v>Екатеринбург</v>
          </cell>
        </row>
        <row r="53">
          <cell r="A53" t="str">
            <v>Екатеринбург</v>
          </cell>
        </row>
        <row r="54">
          <cell r="A54" t="str">
            <v>Екатеринбург</v>
          </cell>
        </row>
        <row r="55">
          <cell r="A55" t="str">
            <v>Екатеринбург</v>
          </cell>
        </row>
        <row r="56">
          <cell r="A56" t="str">
            <v>Екатеринбург</v>
          </cell>
        </row>
        <row r="57">
          <cell r="A57" t="str">
            <v>Екатеринбург</v>
          </cell>
        </row>
        <row r="58">
          <cell r="A58" t="str">
            <v>Екатеринбург</v>
          </cell>
        </row>
        <row r="59">
          <cell r="A59" t="str">
            <v>Екатеринбург</v>
          </cell>
        </row>
        <row r="60">
          <cell r="A60" t="str">
            <v>Екатеринбург</v>
          </cell>
        </row>
        <row r="61">
          <cell r="A61" t="str">
            <v>Екатеринбург</v>
          </cell>
        </row>
        <row r="62">
          <cell r="A62" t="str">
            <v>Екатеринбург</v>
          </cell>
        </row>
        <row r="63">
          <cell r="A63" t="str">
            <v>Екатеринбург</v>
          </cell>
        </row>
        <row r="64">
          <cell r="A64" t="str">
            <v>Екатеринбург</v>
          </cell>
        </row>
        <row r="65">
          <cell r="A65" t="str">
            <v>Екатеринбург</v>
          </cell>
        </row>
        <row r="66">
          <cell r="A66" t="str">
            <v>Екатеринбург</v>
          </cell>
        </row>
        <row r="67">
          <cell r="A67" t="str">
            <v>Екатеринбург</v>
          </cell>
        </row>
        <row r="68">
          <cell r="A68" t="str">
            <v>Екатеринбург</v>
          </cell>
        </row>
        <row r="69">
          <cell r="A69" t="str">
            <v>Екатеринбург</v>
          </cell>
        </row>
        <row r="70">
          <cell r="A70" t="str">
            <v>Екатеринбург</v>
          </cell>
        </row>
        <row r="71">
          <cell r="A71" t="str">
            <v>Екатеринбург</v>
          </cell>
        </row>
        <row r="72">
          <cell r="A72" t="str">
            <v>Екатеринбург</v>
          </cell>
        </row>
        <row r="73">
          <cell r="A73" t="str">
            <v>Екатеринбург</v>
          </cell>
        </row>
        <row r="74">
          <cell r="A74" t="str">
            <v>Екатеринбург</v>
          </cell>
        </row>
        <row r="75">
          <cell r="A75" t="str">
            <v>Екатеринбург</v>
          </cell>
        </row>
        <row r="76">
          <cell r="A76" t="str">
            <v>Екатеринбург</v>
          </cell>
        </row>
        <row r="77">
          <cell r="A77" t="str">
            <v>Екатеринбург</v>
          </cell>
        </row>
        <row r="78">
          <cell r="A78" t="str">
            <v>Екатеринбург</v>
          </cell>
        </row>
        <row r="79">
          <cell r="A79" t="str">
            <v>Екатеринбург</v>
          </cell>
        </row>
        <row r="80">
          <cell r="A80" t="str">
            <v>Екатеринбург</v>
          </cell>
        </row>
        <row r="81">
          <cell r="A81" t="str">
            <v>Екатеринбург</v>
          </cell>
        </row>
        <row r="82">
          <cell r="A82" t="str">
            <v>Казань</v>
          </cell>
        </row>
        <row r="83">
          <cell r="A83" t="str">
            <v>Казань</v>
          </cell>
        </row>
        <row r="84">
          <cell r="A84" t="str">
            <v>Казань</v>
          </cell>
        </row>
        <row r="85">
          <cell r="A85" t="str">
            <v>Казань</v>
          </cell>
        </row>
        <row r="86">
          <cell r="A86" t="str">
            <v>Казань</v>
          </cell>
        </row>
        <row r="87">
          <cell r="A87" t="str">
            <v>Казань</v>
          </cell>
        </row>
        <row r="88">
          <cell r="A88" t="str">
            <v>Казань</v>
          </cell>
        </row>
        <row r="89">
          <cell r="A89" t="str">
            <v>Казань</v>
          </cell>
        </row>
        <row r="90">
          <cell r="A90" t="str">
            <v>Казань</v>
          </cell>
        </row>
        <row r="91">
          <cell r="A91" t="str">
            <v>Казань</v>
          </cell>
        </row>
        <row r="92">
          <cell r="A92" t="str">
            <v>Казань</v>
          </cell>
        </row>
        <row r="93">
          <cell r="A93" t="str">
            <v>Казань</v>
          </cell>
        </row>
        <row r="94">
          <cell r="A94" t="str">
            <v>Казань</v>
          </cell>
        </row>
        <row r="95">
          <cell r="A95" t="str">
            <v>Казань</v>
          </cell>
        </row>
        <row r="96">
          <cell r="A96" t="str">
            <v>Казань</v>
          </cell>
        </row>
        <row r="97">
          <cell r="A97" t="str">
            <v>Казань</v>
          </cell>
        </row>
        <row r="98">
          <cell r="A98" t="str">
            <v>Казань</v>
          </cell>
        </row>
        <row r="99">
          <cell r="A99" t="str">
            <v>Казань</v>
          </cell>
        </row>
        <row r="100">
          <cell r="A100" t="str">
            <v>Казань</v>
          </cell>
        </row>
        <row r="101">
          <cell r="A101" t="str">
            <v>Казань</v>
          </cell>
        </row>
        <row r="102">
          <cell r="A102" t="str">
            <v>Казань</v>
          </cell>
        </row>
        <row r="103">
          <cell r="A103" t="str">
            <v>Казань</v>
          </cell>
        </row>
        <row r="104">
          <cell r="A104" t="str">
            <v>Казань</v>
          </cell>
        </row>
        <row r="105">
          <cell r="A105" t="str">
            <v>Казань</v>
          </cell>
        </row>
        <row r="106">
          <cell r="A106" t="str">
            <v>Казань</v>
          </cell>
        </row>
        <row r="107">
          <cell r="A107" t="str">
            <v>Казань</v>
          </cell>
        </row>
        <row r="108">
          <cell r="A108" t="str">
            <v>Казань</v>
          </cell>
        </row>
        <row r="109">
          <cell r="A109" t="str">
            <v>Казань</v>
          </cell>
        </row>
        <row r="110">
          <cell r="A110" t="str">
            <v>Казань</v>
          </cell>
        </row>
        <row r="111">
          <cell r="A111" t="str">
            <v>Казань</v>
          </cell>
        </row>
        <row r="112">
          <cell r="A112" t="str">
            <v>Казань</v>
          </cell>
        </row>
        <row r="113">
          <cell r="A113" t="str">
            <v>Казань</v>
          </cell>
        </row>
        <row r="114">
          <cell r="A114" t="str">
            <v>Казань</v>
          </cell>
        </row>
        <row r="115">
          <cell r="A115" t="str">
            <v>Казань</v>
          </cell>
        </row>
        <row r="116">
          <cell r="A116" t="str">
            <v>Казань</v>
          </cell>
        </row>
        <row r="117">
          <cell r="A117" t="str">
            <v>Казань</v>
          </cell>
        </row>
        <row r="118">
          <cell r="A118" t="str">
            <v>Казань</v>
          </cell>
        </row>
        <row r="119">
          <cell r="A119" t="str">
            <v>Казань</v>
          </cell>
        </row>
        <row r="120">
          <cell r="A120" t="str">
            <v>Казань</v>
          </cell>
        </row>
        <row r="121">
          <cell r="A121" t="str">
            <v>Кемерово</v>
          </cell>
        </row>
        <row r="122">
          <cell r="A122" t="str">
            <v>Кемерово</v>
          </cell>
        </row>
        <row r="123">
          <cell r="A123" t="str">
            <v>Кемерово</v>
          </cell>
        </row>
        <row r="124">
          <cell r="A124" t="str">
            <v>Кемерово</v>
          </cell>
        </row>
        <row r="125">
          <cell r="A125" t="str">
            <v>Кемерово</v>
          </cell>
        </row>
        <row r="126">
          <cell r="A126" t="str">
            <v>Кемерово</v>
          </cell>
        </row>
        <row r="127">
          <cell r="A127" t="str">
            <v>Кемерово</v>
          </cell>
        </row>
        <row r="128">
          <cell r="A128" t="str">
            <v>Кемерово</v>
          </cell>
        </row>
        <row r="129">
          <cell r="A129" t="str">
            <v>Кемерово</v>
          </cell>
        </row>
        <row r="130">
          <cell r="A130" t="str">
            <v>Кемерово</v>
          </cell>
        </row>
        <row r="131">
          <cell r="A131" t="str">
            <v>Кемерово</v>
          </cell>
        </row>
        <row r="132">
          <cell r="A132" t="str">
            <v>Кемерово</v>
          </cell>
        </row>
        <row r="133">
          <cell r="A133" t="str">
            <v>Кемерово</v>
          </cell>
        </row>
        <row r="134">
          <cell r="A134" t="str">
            <v>Кемерово</v>
          </cell>
        </row>
        <row r="135">
          <cell r="A135" t="str">
            <v>Кемерово</v>
          </cell>
        </row>
        <row r="136">
          <cell r="A136" t="str">
            <v>Кемерово</v>
          </cell>
        </row>
        <row r="137">
          <cell r="A137" t="str">
            <v>Кемерово</v>
          </cell>
        </row>
        <row r="138">
          <cell r="A138" t="str">
            <v>Кемерово</v>
          </cell>
        </row>
        <row r="139">
          <cell r="A139" t="str">
            <v>Кемерово</v>
          </cell>
        </row>
        <row r="140">
          <cell r="A140" t="str">
            <v>Кемерово</v>
          </cell>
        </row>
        <row r="141">
          <cell r="A141" t="str">
            <v>Кемерово</v>
          </cell>
        </row>
        <row r="142">
          <cell r="A142" t="str">
            <v>Кемерово</v>
          </cell>
        </row>
        <row r="143">
          <cell r="A143" t="str">
            <v>Кемерово</v>
          </cell>
        </row>
        <row r="144">
          <cell r="A144" t="str">
            <v>Кемерово</v>
          </cell>
        </row>
        <row r="145">
          <cell r="A145" t="str">
            <v>Кемерово</v>
          </cell>
        </row>
        <row r="146">
          <cell r="A146" t="str">
            <v>Кемерово</v>
          </cell>
        </row>
        <row r="147">
          <cell r="A147" t="str">
            <v>Кемерово</v>
          </cell>
        </row>
        <row r="148">
          <cell r="A148" t="str">
            <v>Кемерово</v>
          </cell>
        </row>
        <row r="149">
          <cell r="A149" t="str">
            <v>Кемерово</v>
          </cell>
        </row>
        <row r="150">
          <cell r="A150" t="str">
            <v>Кемерово</v>
          </cell>
        </row>
        <row r="151">
          <cell r="A151" t="str">
            <v>Кемерово</v>
          </cell>
        </row>
        <row r="152">
          <cell r="A152" t="str">
            <v>Кемерово</v>
          </cell>
        </row>
        <row r="153">
          <cell r="A153" t="str">
            <v>Кемерово</v>
          </cell>
        </row>
        <row r="154">
          <cell r="A154" t="str">
            <v>Кемерово</v>
          </cell>
        </row>
        <row r="155">
          <cell r="A155" t="str">
            <v>Кемерово</v>
          </cell>
        </row>
        <row r="156">
          <cell r="A156" t="str">
            <v>Кемерово</v>
          </cell>
        </row>
        <row r="157">
          <cell r="A157" t="str">
            <v>Кемерово</v>
          </cell>
        </row>
        <row r="158">
          <cell r="A158" t="str">
            <v>Кемерово</v>
          </cell>
        </row>
        <row r="159">
          <cell r="A159" t="str">
            <v>Краснодар</v>
          </cell>
        </row>
        <row r="160">
          <cell r="A160" t="str">
            <v>Краснодар</v>
          </cell>
        </row>
        <row r="161">
          <cell r="A161" t="str">
            <v>Краснодар</v>
          </cell>
        </row>
        <row r="162">
          <cell r="A162" t="str">
            <v>Краснодар</v>
          </cell>
        </row>
        <row r="163">
          <cell r="A163" t="str">
            <v>Краснодар</v>
          </cell>
        </row>
        <row r="164">
          <cell r="A164" t="str">
            <v>Краснодар</v>
          </cell>
        </row>
        <row r="165">
          <cell r="A165" t="str">
            <v>Краснодар</v>
          </cell>
        </row>
        <row r="166">
          <cell r="A166" t="str">
            <v>Краснодар</v>
          </cell>
        </row>
        <row r="167">
          <cell r="A167" t="str">
            <v>Краснодар</v>
          </cell>
        </row>
        <row r="168">
          <cell r="A168" t="str">
            <v>Краснодар</v>
          </cell>
        </row>
        <row r="169">
          <cell r="A169" t="str">
            <v>Краснодар</v>
          </cell>
        </row>
        <row r="170">
          <cell r="A170" t="str">
            <v>Краснодар</v>
          </cell>
        </row>
        <row r="171">
          <cell r="A171" t="str">
            <v>Краснодар</v>
          </cell>
        </row>
        <row r="172">
          <cell r="A172" t="str">
            <v>Краснодар</v>
          </cell>
        </row>
        <row r="173">
          <cell r="A173" t="str">
            <v>Краснодар</v>
          </cell>
        </row>
        <row r="174">
          <cell r="A174" t="str">
            <v>Краснодар</v>
          </cell>
        </row>
        <row r="175">
          <cell r="A175" t="str">
            <v>Краснодар</v>
          </cell>
        </row>
        <row r="176">
          <cell r="A176" t="str">
            <v>Краснодар</v>
          </cell>
        </row>
        <row r="177">
          <cell r="A177" t="str">
            <v>Краснодар</v>
          </cell>
        </row>
        <row r="178">
          <cell r="A178" t="str">
            <v>Краснодар</v>
          </cell>
        </row>
        <row r="179">
          <cell r="A179" t="str">
            <v>Краснодар</v>
          </cell>
        </row>
        <row r="180">
          <cell r="A180" t="str">
            <v>Краснодар</v>
          </cell>
        </row>
        <row r="181">
          <cell r="A181" t="str">
            <v>Краснодар</v>
          </cell>
        </row>
        <row r="182">
          <cell r="A182" t="str">
            <v>Краснодар</v>
          </cell>
        </row>
        <row r="183">
          <cell r="A183" t="str">
            <v>Краснодар</v>
          </cell>
        </row>
        <row r="184">
          <cell r="A184" t="str">
            <v>Краснодар</v>
          </cell>
        </row>
        <row r="185">
          <cell r="A185" t="str">
            <v>Краснодар</v>
          </cell>
        </row>
        <row r="186">
          <cell r="A186" t="str">
            <v>Краснодар</v>
          </cell>
        </row>
        <row r="187">
          <cell r="A187" t="str">
            <v>Краснодар</v>
          </cell>
        </row>
        <row r="188">
          <cell r="A188" t="str">
            <v>Краснодар</v>
          </cell>
        </row>
        <row r="189">
          <cell r="A189" t="str">
            <v>Краснодар</v>
          </cell>
        </row>
        <row r="190">
          <cell r="A190" t="str">
            <v>Краснодар</v>
          </cell>
        </row>
        <row r="191">
          <cell r="A191" t="str">
            <v>Краснодар</v>
          </cell>
        </row>
        <row r="192">
          <cell r="A192" t="str">
            <v>Краснодар</v>
          </cell>
        </row>
        <row r="193">
          <cell r="A193" t="str">
            <v>Москва</v>
          </cell>
        </row>
        <row r="194">
          <cell r="A194" t="str">
            <v>Москва</v>
          </cell>
        </row>
        <row r="195">
          <cell r="A195" t="str">
            <v>Москва</v>
          </cell>
        </row>
        <row r="196">
          <cell r="A196" t="str">
            <v>Москва</v>
          </cell>
        </row>
        <row r="197">
          <cell r="A197" t="str">
            <v>Москва</v>
          </cell>
        </row>
        <row r="198">
          <cell r="A198" t="str">
            <v>Москва</v>
          </cell>
        </row>
        <row r="199">
          <cell r="A199" t="str">
            <v>Москва</v>
          </cell>
        </row>
        <row r="200">
          <cell r="A200" t="str">
            <v>Москва</v>
          </cell>
        </row>
        <row r="201">
          <cell r="A201" t="str">
            <v>Москва</v>
          </cell>
        </row>
        <row r="202">
          <cell r="A202" t="str">
            <v>Москва</v>
          </cell>
        </row>
        <row r="203">
          <cell r="A203" t="str">
            <v>Москва</v>
          </cell>
        </row>
        <row r="204">
          <cell r="A204" t="str">
            <v>Москва</v>
          </cell>
        </row>
        <row r="205">
          <cell r="A205" t="str">
            <v>Москва</v>
          </cell>
        </row>
        <row r="206">
          <cell r="A206" t="str">
            <v>Москва</v>
          </cell>
        </row>
        <row r="207">
          <cell r="A207" t="str">
            <v>Москва</v>
          </cell>
        </row>
        <row r="208">
          <cell r="A208" t="str">
            <v>Москва</v>
          </cell>
        </row>
        <row r="209">
          <cell r="A209" t="str">
            <v>Москва</v>
          </cell>
        </row>
        <row r="210">
          <cell r="A210" t="str">
            <v>Москва</v>
          </cell>
        </row>
        <row r="211">
          <cell r="A211" t="str">
            <v>Москва</v>
          </cell>
        </row>
        <row r="212">
          <cell r="A212" t="str">
            <v>Москва</v>
          </cell>
        </row>
        <row r="213">
          <cell r="A213" t="str">
            <v>Москва</v>
          </cell>
        </row>
        <row r="214">
          <cell r="A214" t="str">
            <v>Москва</v>
          </cell>
        </row>
        <row r="215">
          <cell r="A215" t="str">
            <v>Москва</v>
          </cell>
        </row>
        <row r="216">
          <cell r="A216" t="str">
            <v>Москва</v>
          </cell>
        </row>
        <row r="217">
          <cell r="A217" t="str">
            <v>Москва</v>
          </cell>
        </row>
        <row r="218">
          <cell r="A218" t="str">
            <v>Москва</v>
          </cell>
        </row>
        <row r="219">
          <cell r="A219" t="str">
            <v>Москва</v>
          </cell>
        </row>
        <row r="220">
          <cell r="A220" t="str">
            <v>Москва</v>
          </cell>
        </row>
        <row r="221">
          <cell r="A221" t="str">
            <v>Москва</v>
          </cell>
        </row>
        <row r="222">
          <cell r="A222" t="str">
            <v>Москва</v>
          </cell>
        </row>
        <row r="223">
          <cell r="A223" t="str">
            <v>Москва</v>
          </cell>
        </row>
        <row r="224">
          <cell r="A224" t="str">
            <v>Москва</v>
          </cell>
        </row>
        <row r="225">
          <cell r="A225" t="str">
            <v>Москва</v>
          </cell>
        </row>
        <row r="226">
          <cell r="A226" t="str">
            <v>Москва</v>
          </cell>
        </row>
        <row r="227">
          <cell r="A227" t="str">
            <v>Москва</v>
          </cell>
        </row>
        <row r="228">
          <cell r="A228" t="str">
            <v>Москва</v>
          </cell>
        </row>
        <row r="229">
          <cell r="A229" t="str">
            <v>Москва</v>
          </cell>
        </row>
        <row r="230">
          <cell r="A230" t="str">
            <v>Москва</v>
          </cell>
        </row>
        <row r="231">
          <cell r="A231" t="str">
            <v>Москва</v>
          </cell>
        </row>
        <row r="232">
          <cell r="A232" t="str">
            <v>Москва</v>
          </cell>
        </row>
        <row r="233">
          <cell r="A233" t="str">
            <v>Нижний Новгород</v>
          </cell>
        </row>
        <row r="234">
          <cell r="A234" t="str">
            <v>Нижний Новгород</v>
          </cell>
        </row>
        <row r="235">
          <cell r="A235" t="str">
            <v>Нижний Новгород</v>
          </cell>
        </row>
        <row r="236">
          <cell r="A236" t="str">
            <v>Нижний Новгород</v>
          </cell>
        </row>
        <row r="237">
          <cell r="A237" t="str">
            <v>Нижний Новгород</v>
          </cell>
        </row>
        <row r="238">
          <cell r="A238" t="str">
            <v>Нижний Новгород</v>
          </cell>
        </row>
        <row r="239">
          <cell r="A239" t="str">
            <v>Нижний Новгород</v>
          </cell>
        </row>
        <row r="240">
          <cell r="A240" t="str">
            <v>Нижний Новгород</v>
          </cell>
        </row>
        <row r="241">
          <cell r="A241" t="str">
            <v>Нижний Новгород</v>
          </cell>
        </row>
        <row r="242">
          <cell r="A242" t="str">
            <v>Нижний Новгород</v>
          </cell>
        </row>
        <row r="243">
          <cell r="A243" t="str">
            <v>Нижний Новгород</v>
          </cell>
        </row>
        <row r="244">
          <cell r="A244" t="str">
            <v>Нижний Новгород</v>
          </cell>
        </row>
        <row r="245">
          <cell r="A245" t="str">
            <v>Нижний Новгород</v>
          </cell>
        </row>
        <row r="246">
          <cell r="A246" t="str">
            <v>Нижний Новгород</v>
          </cell>
        </row>
        <row r="247">
          <cell r="A247" t="str">
            <v>Нижний Новгород</v>
          </cell>
        </row>
        <row r="248">
          <cell r="A248" t="str">
            <v>Нижний Новгород</v>
          </cell>
        </row>
        <row r="249">
          <cell r="A249" t="str">
            <v>Нижний Новгород</v>
          </cell>
        </row>
        <row r="250">
          <cell r="A250" t="str">
            <v>Нижний Новгород</v>
          </cell>
        </row>
        <row r="251">
          <cell r="A251" t="str">
            <v>Нижний Новгород</v>
          </cell>
        </row>
        <row r="252">
          <cell r="A252" t="str">
            <v>Нижний Новгород</v>
          </cell>
        </row>
        <row r="253">
          <cell r="A253" t="str">
            <v>Нижний Новгород</v>
          </cell>
        </row>
        <row r="254">
          <cell r="A254" t="str">
            <v>Нижний Новгород</v>
          </cell>
        </row>
        <row r="255">
          <cell r="A255" t="str">
            <v>Нижний Новгород</v>
          </cell>
        </row>
        <row r="256">
          <cell r="A256" t="str">
            <v>Нижний Новгород</v>
          </cell>
        </row>
        <row r="257">
          <cell r="A257" t="str">
            <v>Нижний Новгород</v>
          </cell>
        </row>
        <row r="258">
          <cell r="A258" t="str">
            <v>Нижний Новгород</v>
          </cell>
        </row>
        <row r="259">
          <cell r="A259" t="str">
            <v>Нижний Новгород</v>
          </cell>
        </row>
        <row r="260">
          <cell r="A260" t="str">
            <v>Нижний Новгород</v>
          </cell>
        </row>
        <row r="261">
          <cell r="A261" t="str">
            <v>Нижний Новгород</v>
          </cell>
        </row>
        <row r="262">
          <cell r="A262" t="str">
            <v>Нижний Новгород</v>
          </cell>
        </row>
        <row r="263">
          <cell r="A263" t="str">
            <v>Нижний Новгород</v>
          </cell>
        </row>
        <row r="264">
          <cell r="A264" t="str">
            <v>Нижний Новгород</v>
          </cell>
        </row>
        <row r="265">
          <cell r="A265" t="str">
            <v>Нижний Новгород</v>
          </cell>
        </row>
        <row r="266">
          <cell r="A266" t="str">
            <v>Нижний Новгород</v>
          </cell>
        </row>
        <row r="267">
          <cell r="A267" t="str">
            <v>Нижний Новгород</v>
          </cell>
        </row>
        <row r="268">
          <cell r="A268" t="str">
            <v>Нижний Новгород</v>
          </cell>
        </row>
        <row r="269">
          <cell r="A269" t="str">
            <v>Нижний Новгород</v>
          </cell>
        </row>
        <row r="270">
          <cell r="A270" t="str">
            <v>Нижний Новгород</v>
          </cell>
        </row>
        <row r="271">
          <cell r="A271" t="str">
            <v>Нижний Новгород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Новосибирск</v>
          </cell>
        </row>
        <row r="293">
          <cell r="A293" t="str">
            <v>Новосибирск</v>
          </cell>
        </row>
        <row r="294">
          <cell r="A294" t="str">
            <v>Новосибирск</v>
          </cell>
        </row>
        <row r="295">
          <cell r="A295" t="str">
            <v>Новосибирск</v>
          </cell>
        </row>
        <row r="296">
          <cell r="A296" t="str">
            <v>Новосибирск</v>
          </cell>
        </row>
        <row r="297">
          <cell r="A297" t="str">
            <v>Новосибирск</v>
          </cell>
        </row>
        <row r="298">
          <cell r="A298" t="str">
            <v>Новосибирск</v>
          </cell>
        </row>
        <row r="299">
          <cell r="A299" t="str">
            <v>Новосибирск</v>
          </cell>
        </row>
        <row r="300">
          <cell r="A300" t="str">
            <v>Новосибирск</v>
          </cell>
        </row>
        <row r="301">
          <cell r="A301" t="str">
            <v>Новосибирск</v>
          </cell>
        </row>
        <row r="302">
          <cell r="A302" t="str">
            <v>Новосибирск</v>
          </cell>
        </row>
        <row r="303">
          <cell r="A303" t="str">
            <v>Новосибирск</v>
          </cell>
        </row>
        <row r="304">
          <cell r="A304" t="str">
            <v>Новосибирск</v>
          </cell>
        </row>
        <row r="305">
          <cell r="A305" t="str">
            <v>Новосибирск</v>
          </cell>
        </row>
        <row r="306">
          <cell r="A306" t="str">
            <v>Новосибирск</v>
          </cell>
        </row>
        <row r="307">
          <cell r="A307" t="str">
            <v>Новосибирск</v>
          </cell>
        </row>
        <row r="308">
          <cell r="A308" t="str">
            <v>Новосибирск</v>
          </cell>
        </row>
        <row r="309">
          <cell r="A309" t="str">
            <v>Омск</v>
          </cell>
        </row>
        <row r="310">
          <cell r="A310" t="str">
            <v>Омск</v>
          </cell>
        </row>
        <row r="311">
          <cell r="A311" t="str">
            <v>Омск</v>
          </cell>
        </row>
        <row r="312">
          <cell r="A312" t="str">
            <v>Омск</v>
          </cell>
        </row>
        <row r="313">
          <cell r="A313" t="str">
            <v>Омск</v>
          </cell>
        </row>
        <row r="314">
          <cell r="A314" t="str">
            <v>Омск</v>
          </cell>
        </row>
        <row r="315">
          <cell r="A315" t="str">
            <v>Омск</v>
          </cell>
        </row>
        <row r="316">
          <cell r="A316" t="str">
            <v>Омск</v>
          </cell>
        </row>
        <row r="317">
          <cell r="A317" t="str">
            <v>Омск</v>
          </cell>
        </row>
        <row r="318">
          <cell r="A318" t="str">
            <v>Омск</v>
          </cell>
        </row>
        <row r="319">
          <cell r="A319" t="str">
            <v>Омск</v>
          </cell>
        </row>
        <row r="320">
          <cell r="A320" t="str">
            <v>Омск</v>
          </cell>
        </row>
        <row r="321">
          <cell r="A321" t="str">
            <v>Омск</v>
          </cell>
        </row>
        <row r="322">
          <cell r="A322" t="str">
            <v>Омск</v>
          </cell>
        </row>
        <row r="323">
          <cell r="A323" t="str">
            <v>Омск</v>
          </cell>
        </row>
        <row r="324">
          <cell r="A324" t="str">
            <v>Омск</v>
          </cell>
        </row>
        <row r="325">
          <cell r="A325" t="str">
            <v>Омск</v>
          </cell>
        </row>
        <row r="326">
          <cell r="A326" t="str">
            <v>Омск</v>
          </cell>
        </row>
        <row r="327">
          <cell r="A327" t="str">
            <v>Омск</v>
          </cell>
        </row>
        <row r="328">
          <cell r="A328" t="str">
            <v>Омск</v>
          </cell>
        </row>
        <row r="329">
          <cell r="A329" t="str">
            <v>Омск</v>
          </cell>
        </row>
        <row r="330">
          <cell r="A330" t="str">
            <v>Омск</v>
          </cell>
        </row>
        <row r="331">
          <cell r="A331" t="str">
            <v>Омск</v>
          </cell>
        </row>
        <row r="332">
          <cell r="A332" t="str">
            <v>Омск</v>
          </cell>
        </row>
        <row r="333">
          <cell r="A333" t="str">
            <v>Омск</v>
          </cell>
        </row>
        <row r="334">
          <cell r="A334" t="str">
            <v>Омск</v>
          </cell>
        </row>
        <row r="335">
          <cell r="A335" t="str">
            <v>Омск</v>
          </cell>
        </row>
        <row r="336">
          <cell r="A336" t="str">
            <v>Омск</v>
          </cell>
        </row>
        <row r="337">
          <cell r="A337" t="str">
            <v>Омск</v>
          </cell>
        </row>
        <row r="338">
          <cell r="A338" t="str">
            <v>Омск</v>
          </cell>
        </row>
        <row r="339">
          <cell r="A339" t="str">
            <v>Омск</v>
          </cell>
        </row>
        <row r="340">
          <cell r="A340" t="str">
            <v>Омск</v>
          </cell>
        </row>
        <row r="341">
          <cell r="A341" t="str">
            <v>Омск</v>
          </cell>
        </row>
        <row r="342">
          <cell r="A342" t="str">
            <v>Омск</v>
          </cell>
        </row>
        <row r="343">
          <cell r="A343" t="str">
            <v>Омск</v>
          </cell>
        </row>
        <row r="344">
          <cell r="A344" t="str">
            <v>Омск</v>
          </cell>
        </row>
        <row r="345">
          <cell r="A345" t="str">
            <v>Омск</v>
          </cell>
        </row>
        <row r="346">
          <cell r="A346" t="str">
            <v>Омск</v>
          </cell>
        </row>
        <row r="347">
          <cell r="A347" t="str">
            <v>Омск</v>
          </cell>
        </row>
        <row r="348">
          <cell r="A348" t="str">
            <v>Санкт-Петербург</v>
          </cell>
        </row>
        <row r="349">
          <cell r="A349" t="str">
            <v>Санкт-Петербург</v>
          </cell>
        </row>
        <row r="350">
          <cell r="A350" t="str">
            <v>Санкт-Петербург</v>
          </cell>
        </row>
        <row r="351">
          <cell r="A351" t="str">
            <v>Санкт-Петербург</v>
          </cell>
        </row>
        <row r="352">
          <cell r="A352" t="str">
            <v>Санкт-Петербург</v>
          </cell>
        </row>
        <row r="353">
          <cell r="A353" t="str">
            <v>Санкт-Петербург</v>
          </cell>
        </row>
        <row r="354">
          <cell r="A354" t="str">
            <v>Санкт-Петербург</v>
          </cell>
        </row>
        <row r="355">
          <cell r="A355" t="str">
            <v>Санкт-Петербург</v>
          </cell>
        </row>
        <row r="356">
          <cell r="A356" t="str">
            <v>Санкт-Петербург</v>
          </cell>
        </row>
        <row r="357">
          <cell r="A357" t="str">
            <v>Санкт-Петербург</v>
          </cell>
        </row>
        <row r="358">
          <cell r="A358" t="str">
            <v>Санкт-Петербург</v>
          </cell>
        </row>
        <row r="359">
          <cell r="A359" t="str">
            <v>Санкт-Петербург</v>
          </cell>
        </row>
        <row r="360">
          <cell r="A360" t="str">
            <v>Санкт-Петербург</v>
          </cell>
        </row>
        <row r="361">
          <cell r="A361" t="str">
            <v>Санкт-Петербург</v>
          </cell>
        </row>
        <row r="362">
          <cell r="A362" t="str">
            <v>Санкт-Петербург</v>
          </cell>
        </row>
        <row r="363">
          <cell r="A363" t="str">
            <v>Санкт-Петербург</v>
          </cell>
        </row>
        <row r="364">
          <cell r="A364" t="str">
            <v>Санкт-Петербург</v>
          </cell>
        </row>
        <row r="365">
          <cell r="A365" t="str">
            <v>Санкт-Петербург</v>
          </cell>
        </row>
        <row r="366">
          <cell r="A366" t="str">
            <v>Санкт-Петербург</v>
          </cell>
        </row>
        <row r="367">
          <cell r="A367" t="str">
            <v>Санкт-Петербург</v>
          </cell>
        </row>
        <row r="368">
          <cell r="A368" t="str">
            <v>Санкт-Петербург</v>
          </cell>
        </row>
        <row r="369">
          <cell r="A369" t="str">
            <v>Санкт-Петербург</v>
          </cell>
        </row>
        <row r="370">
          <cell r="A370" t="str">
            <v>Санкт-Петербург</v>
          </cell>
        </row>
        <row r="371">
          <cell r="A371" t="str">
            <v>Санкт-Петербург</v>
          </cell>
        </row>
        <row r="372">
          <cell r="A372" t="str">
            <v>Санкт-Петербург</v>
          </cell>
        </row>
        <row r="373">
          <cell r="A373" t="str">
            <v>Санкт-Петербург</v>
          </cell>
        </row>
        <row r="374">
          <cell r="A374" t="str">
            <v>Санкт-Петербург</v>
          </cell>
        </row>
        <row r="375">
          <cell r="A375" t="str">
            <v>Санкт-Петербург</v>
          </cell>
        </row>
        <row r="376">
          <cell r="A376" t="str">
            <v>Санкт-Петербург</v>
          </cell>
        </row>
        <row r="377">
          <cell r="A377" t="str">
            <v>Санкт-Петербург</v>
          </cell>
        </row>
        <row r="378">
          <cell r="A378" t="str">
            <v>Санкт-Петербург</v>
          </cell>
        </row>
        <row r="379">
          <cell r="A379" t="str">
            <v>Санкт-Петербург</v>
          </cell>
        </row>
        <row r="380">
          <cell r="A380" t="str">
            <v>Санкт-Петербург</v>
          </cell>
        </row>
        <row r="381">
          <cell r="A381" t="str">
            <v>Санкт-Петербург</v>
          </cell>
        </row>
        <row r="382">
          <cell r="A382" t="str">
            <v>Санкт-Петербург</v>
          </cell>
        </row>
        <row r="383">
          <cell r="A383" t="str">
            <v>Санкт-Петербург</v>
          </cell>
        </row>
        <row r="384">
          <cell r="A384" t="str">
            <v>Санкт-Петербург</v>
          </cell>
        </row>
        <row r="385">
          <cell r="A385" t="str">
            <v>Санкт-Петербург</v>
          </cell>
        </row>
        <row r="386">
          <cell r="A386" t="str">
            <v>Санкт-Петербург</v>
          </cell>
        </row>
        <row r="387">
          <cell r="A387" t="str">
            <v>Санкт-Петербург</v>
          </cell>
        </row>
        <row r="388">
          <cell r="A388" t="str">
            <v>Томск</v>
          </cell>
        </row>
        <row r="389">
          <cell r="A389" t="str">
            <v>Томск</v>
          </cell>
        </row>
        <row r="390">
          <cell r="A390" t="str">
            <v>Томск</v>
          </cell>
        </row>
        <row r="391">
          <cell r="A391" t="str">
            <v>Томск</v>
          </cell>
        </row>
        <row r="392">
          <cell r="A392" t="str">
            <v>Томск</v>
          </cell>
        </row>
        <row r="393">
          <cell r="A393" t="str">
            <v>Томск</v>
          </cell>
        </row>
        <row r="394">
          <cell r="A394" t="str">
            <v>Томск</v>
          </cell>
        </row>
        <row r="395">
          <cell r="A395" t="str">
            <v>Томск</v>
          </cell>
        </row>
        <row r="396">
          <cell r="A396" t="str">
            <v>Томск</v>
          </cell>
        </row>
        <row r="397">
          <cell r="A397" t="str">
            <v>Томск</v>
          </cell>
        </row>
        <row r="398">
          <cell r="A398" t="str">
            <v>Томск</v>
          </cell>
        </row>
        <row r="399">
          <cell r="A399" t="str">
            <v>Томск</v>
          </cell>
        </row>
        <row r="400">
          <cell r="A400" t="str">
            <v>Томск</v>
          </cell>
        </row>
        <row r="401">
          <cell r="A401" t="str">
            <v>Томск</v>
          </cell>
        </row>
        <row r="402">
          <cell r="A402" t="str">
            <v>Томск</v>
          </cell>
        </row>
        <row r="403">
          <cell r="A403" t="str">
            <v>Томск</v>
          </cell>
        </row>
        <row r="404">
          <cell r="A404" t="str">
            <v>Томск</v>
          </cell>
        </row>
        <row r="405">
          <cell r="A405" t="str">
            <v>Томск</v>
          </cell>
        </row>
        <row r="406">
          <cell r="A406" t="str">
            <v>Томск</v>
          </cell>
        </row>
        <row r="407">
          <cell r="A407" t="str">
            <v>Томск</v>
          </cell>
        </row>
        <row r="408">
          <cell r="A408" t="str">
            <v>Томск</v>
          </cell>
        </row>
        <row r="409">
          <cell r="A409" t="str">
            <v>Томск</v>
          </cell>
        </row>
        <row r="410">
          <cell r="A410" t="str">
            <v>Томск</v>
          </cell>
        </row>
        <row r="411">
          <cell r="A411" t="str">
            <v>Томск</v>
          </cell>
        </row>
        <row r="412">
          <cell r="A412" t="str">
            <v>Томск</v>
          </cell>
        </row>
        <row r="413">
          <cell r="A413" t="str">
            <v>Томск</v>
          </cell>
        </row>
        <row r="414">
          <cell r="A414" t="str">
            <v>Томск</v>
          </cell>
        </row>
        <row r="415">
          <cell r="A415" t="str">
            <v>Томск</v>
          </cell>
        </row>
        <row r="416">
          <cell r="A416" t="str">
            <v>Томск</v>
          </cell>
        </row>
        <row r="417">
          <cell r="A417" t="str">
            <v>Томск</v>
          </cell>
        </row>
        <row r="418">
          <cell r="A418" t="str">
            <v>Томск</v>
          </cell>
        </row>
        <row r="419">
          <cell r="A419" t="str">
            <v>Томск</v>
          </cell>
        </row>
        <row r="420">
          <cell r="A420" t="str">
            <v>Томск</v>
          </cell>
        </row>
        <row r="421">
          <cell r="A421" t="str">
            <v>Томск</v>
          </cell>
        </row>
        <row r="422">
          <cell r="A422" t="str">
            <v>Томск</v>
          </cell>
        </row>
        <row r="423">
          <cell r="A423" t="str">
            <v>Томск</v>
          </cell>
        </row>
        <row r="424">
          <cell r="A424" t="str">
            <v>Томск</v>
          </cell>
        </row>
        <row r="425">
          <cell r="A425" t="str">
            <v>Томск</v>
          </cell>
        </row>
        <row r="426">
          <cell r="A426" t="str">
            <v>Томск</v>
          </cell>
        </row>
        <row r="427">
          <cell r="A427" t="str">
            <v>Хабаровск</v>
          </cell>
        </row>
        <row r="428">
          <cell r="A428" t="str">
            <v>Хабаровск</v>
          </cell>
        </row>
        <row r="429">
          <cell r="A429" t="str">
            <v>Хабаровск</v>
          </cell>
        </row>
        <row r="430">
          <cell r="A430" t="str">
            <v>Хабаровск</v>
          </cell>
        </row>
        <row r="431">
          <cell r="A431" t="str">
            <v>Хабаровск</v>
          </cell>
        </row>
        <row r="432">
          <cell r="A432" t="str">
            <v>Хабаровск</v>
          </cell>
        </row>
        <row r="433">
          <cell r="A433" t="str">
            <v>Хабаровск</v>
          </cell>
        </row>
        <row r="434">
          <cell r="A434" t="str">
            <v>Хабаровск</v>
          </cell>
        </row>
        <row r="435">
          <cell r="A435" t="str">
            <v>Хабаровск</v>
          </cell>
        </row>
        <row r="436">
          <cell r="A436" t="str">
            <v>Хабаровск</v>
          </cell>
        </row>
        <row r="437">
          <cell r="A437" t="str">
            <v>Хабаровск</v>
          </cell>
        </row>
        <row r="438">
          <cell r="A438" t="str">
            <v>Хабаровск</v>
          </cell>
        </row>
        <row r="439">
          <cell r="A439" t="str">
            <v>Хабаровск</v>
          </cell>
        </row>
        <row r="440">
          <cell r="A440" t="str">
            <v>Хабаровск</v>
          </cell>
        </row>
        <row r="441">
          <cell r="A441" t="str">
            <v>Хабаровск</v>
          </cell>
        </row>
        <row r="442">
          <cell r="A442" t="str">
            <v>Хабаровск</v>
          </cell>
        </row>
        <row r="443">
          <cell r="A443" t="str">
            <v>Хабаровск</v>
          </cell>
        </row>
        <row r="444">
          <cell r="A444" t="str">
            <v>Хабаровск</v>
          </cell>
        </row>
        <row r="445">
          <cell r="A445" t="str">
            <v>Хабаровск</v>
          </cell>
        </row>
        <row r="446">
          <cell r="A446" t="str">
            <v>Хабаровск</v>
          </cell>
        </row>
        <row r="447">
          <cell r="A447" t="str">
            <v>Хабаровск</v>
          </cell>
        </row>
        <row r="448">
          <cell r="A448" t="str">
            <v>Хабаровск</v>
          </cell>
        </row>
        <row r="449">
          <cell r="A449" t="str">
            <v>Хабаровск</v>
          </cell>
        </row>
        <row r="450">
          <cell r="A450" t="str">
            <v>Хабаровск</v>
          </cell>
        </row>
        <row r="451">
          <cell r="A451" t="str">
            <v>Хабаровск</v>
          </cell>
        </row>
        <row r="452">
          <cell r="A452" t="str">
            <v>Хабаровск</v>
          </cell>
        </row>
        <row r="453">
          <cell r="A453" t="str">
            <v>Хабаровск</v>
          </cell>
        </row>
        <row r="454">
          <cell r="A454" t="str">
            <v>Хабаровск</v>
          </cell>
        </row>
        <row r="455">
          <cell r="A455" t="str">
            <v>Хабаровск</v>
          </cell>
        </row>
        <row r="456">
          <cell r="A456" t="str">
            <v>Хабаровск</v>
          </cell>
        </row>
        <row r="457">
          <cell r="A457" t="str">
            <v>Хабаровск</v>
          </cell>
        </row>
        <row r="458">
          <cell r="A458" t="str">
            <v>Хабаровск</v>
          </cell>
        </row>
        <row r="459">
          <cell r="A459" t="str">
            <v>Хабаровск</v>
          </cell>
        </row>
        <row r="460">
          <cell r="A460" t="str">
            <v>Хабаровск</v>
          </cell>
        </row>
        <row r="461">
          <cell r="A461" t="str">
            <v>Хабаровск</v>
          </cell>
        </row>
        <row r="462">
          <cell r="A462" t="str">
            <v>Хабаровск</v>
          </cell>
        </row>
        <row r="463">
          <cell r="A463" t="str">
            <v>Хабаровск</v>
          </cell>
        </row>
        <row r="464">
          <cell r="A464" t="str">
            <v>Хабаровск</v>
          </cell>
        </row>
      </sheetData>
      <sheetData sheetId="24">
        <row r="2">
          <cell r="A2" t="str">
            <v>Москва</v>
          </cell>
        </row>
      </sheetData>
      <sheetData sheetId="25">
        <row r="2">
          <cell r="A2" t="str">
            <v>Москва</v>
          </cell>
        </row>
      </sheetData>
      <sheetData sheetId="26">
        <row r="1">
          <cell r="A1" t="str">
            <v>Город</v>
          </cell>
        </row>
        <row r="2">
          <cell r="A2" t="str">
            <v>Москва</v>
          </cell>
        </row>
        <row r="3">
          <cell r="A3" t="str">
            <v>Москва</v>
          </cell>
        </row>
        <row r="4">
          <cell r="A4" t="str">
            <v>Москва</v>
          </cell>
        </row>
        <row r="5">
          <cell r="A5" t="str">
            <v>Москва</v>
          </cell>
        </row>
        <row r="6">
          <cell r="A6" t="str">
            <v>Москва</v>
          </cell>
        </row>
        <row r="7">
          <cell r="A7" t="str">
            <v>Москва</v>
          </cell>
        </row>
        <row r="8">
          <cell r="A8" t="str">
            <v>Москва</v>
          </cell>
        </row>
        <row r="9">
          <cell r="A9" t="str">
            <v>Москва</v>
          </cell>
        </row>
        <row r="10">
          <cell r="A10" t="str">
            <v>Москва</v>
          </cell>
        </row>
        <row r="11">
          <cell r="A11" t="str">
            <v>Москва</v>
          </cell>
        </row>
        <row r="12">
          <cell r="A12" t="str">
            <v>Москва</v>
          </cell>
        </row>
        <row r="13">
          <cell r="A13" t="str">
            <v>Москва</v>
          </cell>
        </row>
        <row r="14">
          <cell r="A14" t="str">
            <v>Москва</v>
          </cell>
        </row>
        <row r="15">
          <cell r="A15" t="str">
            <v>Москва</v>
          </cell>
        </row>
        <row r="16">
          <cell r="A16" t="str">
            <v>Москва</v>
          </cell>
        </row>
        <row r="17">
          <cell r="A17" t="str">
            <v>Москва</v>
          </cell>
        </row>
        <row r="18">
          <cell r="A18" t="str">
            <v>Москва</v>
          </cell>
        </row>
        <row r="19">
          <cell r="A19" t="str">
            <v>Москва</v>
          </cell>
        </row>
        <row r="20">
          <cell r="A20" t="str">
            <v>Москва</v>
          </cell>
        </row>
        <row r="21">
          <cell r="A21" t="str">
            <v>Москва</v>
          </cell>
        </row>
        <row r="22">
          <cell r="A22" t="str">
            <v>Москва</v>
          </cell>
        </row>
        <row r="23">
          <cell r="A23" t="str">
            <v>Москва</v>
          </cell>
        </row>
        <row r="24">
          <cell r="A24" t="str">
            <v>Москва</v>
          </cell>
        </row>
        <row r="25">
          <cell r="A25" t="str">
            <v>Москва</v>
          </cell>
        </row>
        <row r="26">
          <cell r="A26" t="str">
            <v>Москва</v>
          </cell>
        </row>
        <row r="27">
          <cell r="A27" t="str">
            <v>Москва</v>
          </cell>
        </row>
        <row r="28">
          <cell r="A28" t="str">
            <v>Москва</v>
          </cell>
        </row>
        <row r="29">
          <cell r="A29" t="str">
            <v>Москва</v>
          </cell>
        </row>
        <row r="30">
          <cell r="A30" t="str">
            <v>Москва</v>
          </cell>
        </row>
        <row r="31">
          <cell r="A31" t="str">
            <v>Москва</v>
          </cell>
        </row>
        <row r="32">
          <cell r="A32" t="str">
            <v>Москва</v>
          </cell>
        </row>
        <row r="33">
          <cell r="A33" t="str">
            <v>Москва</v>
          </cell>
        </row>
        <row r="34">
          <cell r="A34" t="str">
            <v>Москва</v>
          </cell>
        </row>
        <row r="35">
          <cell r="A35" t="str">
            <v>Москва</v>
          </cell>
        </row>
        <row r="36">
          <cell r="A36" t="str">
            <v>Москва</v>
          </cell>
        </row>
        <row r="37">
          <cell r="A37" t="str">
            <v>Москва</v>
          </cell>
        </row>
        <row r="38">
          <cell r="A38" t="str">
            <v>Москва</v>
          </cell>
        </row>
        <row r="39">
          <cell r="A39" t="str">
            <v>Москва</v>
          </cell>
        </row>
        <row r="40">
          <cell r="A40" t="str">
            <v>Москва</v>
          </cell>
        </row>
        <row r="41">
          <cell r="A41" t="str">
            <v>Москва</v>
          </cell>
        </row>
        <row r="42">
          <cell r="A42" t="str">
            <v>Москва</v>
          </cell>
        </row>
        <row r="43">
          <cell r="A43" t="str">
            <v>Москва</v>
          </cell>
        </row>
        <row r="44">
          <cell r="A44" t="str">
            <v>Москва</v>
          </cell>
        </row>
        <row r="45">
          <cell r="A45" t="str">
            <v>Москва</v>
          </cell>
        </row>
        <row r="46">
          <cell r="A46" t="str">
            <v>Москва</v>
          </cell>
        </row>
        <row r="47">
          <cell r="A47" t="str">
            <v>Москва</v>
          </cell>
        </row>
        <row r="48">
          <cell r="A48" t="str">
            <v>Москва</v>
          </cell>
        </row>
        <row r="49">
          <cell r="A49" t="str">
            <v>Москва</v>
          </cell>
        </row>
        <row r="50">
          <cell r="A50" t="str">
            <v>Москва</v>
          </cell>
        </row>
        <row r="51">
          <cell r="A51" t="str">
            <v>Москва</v>
          </cell>
        </row>
        <row r="52">
          <cell r="A52" t="str">
            <v>Москва</v>
          </cell>
        </row>
        <row r="53">
          <cell r="A53" t="str">
            <v>Москва</v>
          </cell>
        </row>
        <row r="54">
          <cell r="A54" t="str">
            <v>Москва</v>
          </cell>
        </row>
        <row r="55">
          <cell r="A55" t="str">
            <v>Москва</v>
          </cell>
        </row>
        <row r="56">
          <cell r="A56" t="str">
            <v>Москва</v>
          </cell>
        </row>
        <row r="57">
          <cell r="A57" t="str">
            <v>Москва</v>
          </cell>
        </row>
        <row r="58">
          <cell r="A58" t="str">
            <v>Москва</v>
          </cell>
        </row>
        <row r="59">
          <cell r="A59" t="str">
            <v>Москва</v>
          </cell>
        </row>
        <row r="60">
          <cell r="A60" t="str">
            <v>Санкт-Петербург</v>
          </cell>
        </row>
        <row r="61">
          <cell r="A61" t="str">
            <v>Санкт-Петербург</v>
          </cell>
        </row>
        <row r="62">
          <cell r="A62" t="str">
            <v>Санкт-Петербург</v>
          </cell>
        </row>
        <row r="63">
          <cell r="A63" t="str">
            <v>Санкт-Петербург</v>
          </cell>
        </row>
        <row r="64">
          <cell r="A64" t="str">
            <v>Санкт-Петербург</v>
          </cell>
        </row>
        <row r="65">
          <cell r="A65" t="str">
            <v>Санкт-Петербург</v>
          </cell>
        </row>
        <row r="66">
          <cell r="A66" t="str">
            <v>Санкт-Петербург</v>
          </cell>
        </row>
        <row r="67">
          <cell r="A67" t="str">
            <v>Санкт-Петербург</v>
          </cell>
        </row>
        <row r="68">
          <cell r="A68" t="str">
            <v>Санкт-Петербург</v>
          </cell>
        </row>
        <row r="69">
          <cell r="A69" t="str">
            <v>Санкт-Петербург</v>
          </cell>
        </row>
        <row r="70">
          <cell r="A70" t="str">
            <v>Санкт-Петербург</v>
          </cell>
        </row>
        <row r="71">
          <cell r="A71" t="str">
            <v>Санкт-Петербург</v>
          </cell>
        </row>
        <row r="72">
          <cell r="A72" t="str">
            <v>Санкт-Петербург</v>
          </cell>
        </row>
        <row r="73">
          <cell r="A73" t="str">
            <v>Санкт-Петербург</v>
          </cell>
        </row>
        <row r="74">
          <cell r="A74" t="str">
            <v>Санкт-Петербург</v>
          </cell>
        </row>
        <row r="75">
          <cell r="A75" t="str">
            <v>Санкт-Петербург</v>
          </cell>
        </row>
        <row r="76">
          <cell r="A76" t="str">
            <v>Санкт-Петербург</v>
          </cell>
        </row>
        <row r="77">
          <cell r="A77" t="str">
            <v>Санкт-Петербург</v>
          </cell>
        </row>
        <row r="78">
          <cell r="A78" t="str">
            <v>Санкт-Петербург</v>
          </cell>
        </row>
        <row r="79">
          <cell r="A79" t="str">
            <v>Санкт-Петербург</v>
          </cell>
        </row>
        <row r="80">
          <cell r="A80" t="str">
            <v>Санкт-Петербург</v>
          </cell>
        </row>
        <row r="81">
          <cell r="A81" t="str">
            <v>Санкт-Петербург</v>
          </cell>
        </row>
        <row r="82">
          <cell r="A82" t="str">
            <v>Санкт-Петербург</v>
          </cell>
        </row>
        <row r="83">
          <cell r="A83" t="str">
            <v>Санкт-Петербург</v>
          </cell>
        </row>
        <row r="84">
          <cell r="A84" t="str">
            <v>Санкт-Петербург</v>
          </cell>
        </row>
        <row r="85">
          <cell r="A85" t="str">
            <v>Санкт-Петербург</v>
          </cell>
        </row>
        <row r="86">
          <cell r="A86" t="str">
            <v>Санкт-Петербург</v>
          </cell>
        </row>
        <row r="87">
          <cell r="A87" t="str">
            <v>Санкт-Петербург</v>
          </cell>
        </row>
        <row r="88">
          <cell r="A88" t="str">
            <v>Санкт-Петербург</v>
          </cell>
        </row>
        <row r="89">
          <cell r="A89" t="str">
            <v>Санкт-Петербург</v>
          </cell>
        </row>
        <row r="90">
          <cell r="A90" t="str">
            <v>Санкт-Петербург</v>
          </cell>
        </row>
        <row r="91">
          <cell r="A91" t="str">
            <v>Санкт-Петербург</v>
          </cell>
        </row>
        <row r="92">
          <cell r="A92" t="str">
            <v>Санкт-Петербург</v>
          </cell>
        </row>
        <row r="93">
          <cell r="A93" t="str">
            <v>Санкт-Петербург</v>
          </cell>
        </row>
        <row r="94">
          <cell r="A94" t="str">
            <v>Санкт-Петербург</v>
          </cell>
        </row>
        <row r="95">
          <cell r="A95" t="str">
            <v>Санкт-Петербург</v>
          </cell>
        </row>
        <row r="96">
          <cell r="A96" t="str">
            <v>Санкт-Петербург</v>
          </cell>
        </row>
        <row r="97">
          <cell r="A97" t="str">
            <v>Санкт-Петербург</v>
          </cell>
        </row>
        <row r="98">
          <cell r="A98" t="str">
            <v>Санкт-Петербург</v>
          </cell>
        </row>
        <row r="99">
          <cell r="A99" t="str">
            <v>Санкт-Петербург</v>
          </cell>
        </row>
        <row r="100">
          <cell r="A100" t="str">
            <v>Санкт-Петербург</v>
          </cell>
        </row>
        <row r="101">
          <cell r="A101" t="str">
            <v>Санкт-Петербург</v>
          </cell>
        </row>
        <row r="102">
          <cell r="A102" t="str">
            <v>Санкт-Петербург</v>
          </cell>
        </row>
        <row r="103">
          <cell r="A103" t="str">
            <v>Санкт-Петербург</v>
          </cell>
        </row>
        <row r="104">
          <cell r="A104" t="str">
            <v>Санкт-Петербург</v>
          </cell>
        </row>
        <row r="105">
          <cell r="A105" t="str">
            <v>Санкт-Петербург</v>
          </cell>
        </row>
        <row r="106">
          <cell r="A106" t="str">
            <v>Санкт-Петербург</v>
          </cell>
        </row>
        <row r="107">
          <cell r="A107" t="str">
            <v>Санкт-Петербург</v>
          </cell>
        </row>
        <row r="108">
          <cell r="A108" t="str">
            <v>Санкт-Петербург</v>
          </cell>
        </row>
        <row r="109">
          <cell r="A109" t="str">
            <v>Санкт-Петербург</v>
          </cell>
        </row>
        <row r="110">
          <cell r="A110" t="str">
            <v>Санкт-Петербург</v>
          </cell>
        </row>
        <row r="111">
          <cell r="A111" t="str">
            <v>Санкт-Петербург</v>
          </cell>
        </row>
        <row r="112">
          <cell r="A112" t="str">
            <v>Санкт-Петербург</v>
          </cell>
        </row>
        <row r="113">
          <cell r="A113" t="str">
            <v>Санкт-Петербург</v>
          </cell>
        </row>
        <row r="114">
          <cell r="A114" t="str">
            <v>Санкт-Петербург</v>
          </cell>
        </row>
        <row r="115">
          <cell r="A115" t="str">
            <v>Санкт-Петербург</v>
          </cell>
        </row>
        <row r="116">
          <cell r="A116" t="str">
            <v>Санкт-Петербург</v>
          </cell>
        </row>
        <row r="117">
          <cell r="A117" t="str">
            <v>Санкт-Петербург</v>
          </cell>
        </row>
        <row r="118">
          <cell r="A118" t="str">
            <v>Екатеринбург</v>
          </cell>
        </row>
        <row r="119">
          <cell r="A119" t="str">
            <v>Екатеринбург</v>
          </cell>
        </row>
        <row r="120">
          <cell r="A120" t="str">
            <v>Екатеринбург</v>
          </cell>
        </row>
        <row r="121">
          <cell r="A121" t="str">
            <v>Екатеринбург</v>
          </cell>
        </row>
        <row r="122">
          <cell r="A122" t="str">
            <v>Екатеринбург</v>
          </cell>
        </row>
        <row r="123">
          <cell r="A123" t="str">
            <v>Екатеринбург</v>
          </cell>
        </row>
        <row r="124">
          <cell r="A124" t="str">
            <v>Екатеринбург</v>
          </cell>
        </row>
        <row r="125">
          <cell r="A125" t="str">
            <v>Екатеринбург</v>
          </cell>
        </row>
        <row r="126">
          <cell r="A126" t="str">
            <v>Екатеринбург</v>
          </cell>
        </row>
        <row r="127">
          <cell r="A127" t="str">
            <v>Екатеринбург</v>
          </cell>
        </row>
        <row r="128">
          <cell r="A128" t="str">
            <v>Екатеринбург</v>
          </cell>
        </row>
        <row r="129">
          <cell r="A129" t="str">
            <v>Екатеринбург</v>
          </cell>
        </row>
        <row r="130">
          <cell r="A130" t="str">
            <v>Екатеринбург</v>
          </cell>
        </row>
        <row r="131">
          <cell r="A131" t="str">
            <v>Екатеринбург</v>
          </cell>
        </row>
        <row r="132">
          <cell r="A132" t="str">
            <v>Екатеринбург</v>
          </cell>
        </row>
        <row r="133">
          <cell r="A133" t="str">
            <v>Екатеринбург</v>
          </cell>
        </row>
        <row r="134">
          <cell r="A134" t="str">
            <v>Екатеринбург</v>
          </cell>
        </row>
        <row r="135">
          <cell r="A135" t="str">
            <v>Екатеринбург</v>
          </cell>
        </row>
        <row r="136">
          <cell r="A136" t="str">
            <v>Екатеринбург</v>
          </cell>
        </row>
        <row r="137">
          <cell r="A137" t="str">
            <v>Екатеринбург</v>
          </cell>
        </row>
        <row r="138">
          <cell r="A138" t="str">
            <v>Екатеринбург</v>
          </cell>
        </row>
        <row r="139">
          <cell r="A139" t="str">
            <v>Екатеринбург</v>
          </cell>
        </row>
        <row r="140">
          <cell r="A140" t="str">
            <v>Екатеринбург</v>
          </cell>
        </row>
        <row r="141">
          <cell r="A141" t="str">
            <v>Екатеринбург</v>
          </cell>
        </row>
        <row r="142">
          <cell r="A142" t="str">
            <v>Екатеринбург</v>
          </cell>
        </row>
        <row r="143">
          <cell r="A143" t="str">
            <v>Екатеринбург</v>
          </cell>
        </row>
        <row r="144">
          <cell r="A144" t="str">
            <v>Екатеринбург</v>
          </cell>
        </row>
        <row r="145">
          <cell r="A145" t="str">
            <v>Екатеринбург</v>
          </cell>
        </row>
        <row r="146">
          <cell r="A146" t="str">
            <v>Екатеринбург</v>
          </cell>
        </row>
        <row r="147">
          <cell r="A147" t="str">
            <v>Екатеринбург</v>
          </cell>
        </row>
        <row r="148">
          <cell r="A148" t="str">
            <v>Екатеринбург</v>
          </cell>
        </row>
        <row r="149">
          <cell r="A149" t="str">
            <v>Екатеринбург</v>
          </cell>
        </row>
        <row r="150">
          <cell r="A150" t="str">
            <v>Екатеринбург</v>
          </cell>
        </row>
        <row r="151">
          <cell r="A151" t="str">
            <v>Екатеринбург</v>
          </cell>
        </row>
        <row r="152">
          <cell r="A152" t="str">
            <v>Екатеринбург</v>
          </cell>
        </row>
        <row r="153">
          <cell r="A153" t="str">
            <v>Екатеринбург</v>
          </cell>
        </row>
        <row r="154">
          <cell r="A154" t="str">
            <v>Екатеринбург</v>
          </cell>
        </row>
        <row r="155">
          <cell r="A155" t="str">
            <v>Екатеринбург</v>
          </cell>
        </row>
        <row r="156">
          <cell r="A156" t="str">
            <v>Екатеринбург</v>
          </cell>
        </row>
        <row r="157">
          <cell r="A157" t="str">
            <v>Екатеринбург</v>
          </cell>
        </row>
        <row r="158">
          <cell r="A158" t="str">
            <v>Екатеринбург</v>
          </cell>
        </row>
        <row r="159">
          <cell r="A159" t="str">
            <v>Екатеринбург</v>
          </cell>
        </row>
        <row r="160">
          <cell r="A160" t="str">
            <v>Екатеринбург</v>
          </cell>
        </row>
        <row r="161">
          <cell r="A161" t="str">
            <v>Екатеринбург</v>
          </cell>
        </row>
        <row r="162">
          <cell r="A162" t="str">
            <v>Екатеринбург</v>
          </cell>
        </row>
        <row r="163">
          <cell r="A163" t="str">
            <v>Екатеринбург</v>
          </cell>
        </row>
        <row r="164">
          <cell r="A164" t="str">
            <v>Екатеринбург</v>
          </cell>
        </row>
        <row r="165">
          <cell r="A165" t="str">
            <v>Екатеринбург</v>
          </cell>
        </row>
        <row r="166">
          <cell r="A166" t="str">
            <v>Екатеринбург</v>
          </cell>
        </row>
        <row r="167">
          <cell r="A167" t="str">
            <v>Екатеринбург</v>
          </cell>
        </row>
        <row r="168">
          <cell r="A168" t="str">
            <v>Екатеринбург</v>
          </cell>
        </row>
        <row r="169">
          <cell r="A169" t="str">
            <v>Екатеринбург</v>
          </cell>
        </row>
        <row r="170">
          <cell r="A170" t="str">
            <v>Екатеринбург</v>
          </cell>
        </row>
        <row r="171">
          <cell r="A171" t="str">
            <v>Екатеринбург</v>
          </cell>
        </row>
        <row r="172">
          <cell r="A172" t="str">
            <v>Екатеринбург</v>
          </cell>
        </row>
        <row r="173">
          <cell r="A173" t="str">
            <v>Екатеринбург</v>
          </cell>
        </row>
        <row r="174">
          <cell r="A174" t="str">
            <v>Екатеринбург</v>
          </cell>
        </row>
        <row r="175">
          <cell r="A175" t="str">
            <v>Екатеринбург</v>
          </cell>
        </row>
        <row r="176">
          <cell r="A176" t="str">
            <v>Казань</v>
          </cell>
        </row>
        <row r="177">
          <cell r="A177" t="str">
            <v>Казань</v>
          </cell>
        </row>
        <row r="178">
          <cell r="A178" t="str">
            <v>Казань</v>
          </cell>
        </row>
        <row r="179">
          <cell r="A179" t="str">
            <v>Казань</v>
          </cell>
        </row>
        <row r="180">
          <cell r="A180" t="str">
            <v>Казань</v>
          </cell>
        </row>
        <row r="181">
          <cell r="A181" t="str">
            <v>Казань</v>
          </cell>
        </row>
        <row r="182">
          <cell r="A182" t="str">
            <v>Казань</v>
          </cell>
        </row>
        <row r="183">
          <cell r="A183" t="str">
            <v>Казань</v>
          </cell>
        </row>
        <row r="184">
          <cell r="A184" t="str">
            <v>Казань</v>
          </cell>
        </row>
        <row r="185">
          <cell r="A185" t="str">
            <v>Казань</v>
          </cell>
        </row>
        <row r="186">
          <cell r="A186" t="str">
            <v>Казань</v>
          </cell>
        </row>
        <row r="187">
          <cell r="A187" t="str">
            <v>Казань</v>
          </cell>
        </row>
        <row r="188">
          <cell r="A188" t="str">
            <v>Казань</v>
          </cell>
        </row>
        <row r="189">
          <cell r="A189" t="str">
            <v>Казань</v>
          </cell>
        </row>
        <row r="190">
          <cell r="A190" t="str">
            <v>Казань</v>
          </cell>
        </row>
        <row r="191">
          <cell r="A191" t="str">
            <v>Казань</v>
          </cell>
        </row>
        <row r="192">
          <cell r="A192" t="str">
            <v>Казань</v>
          </cell>
        </row>
        <row r="193">
          <cell r="A193" t="str">
            <v>Казань</v>
          </cell>
        </row>
        <row r="194">
          <cell r="A194" t="str">
            <v>Казань</v>
          </cell>
        </row>
        <row r="195">
          <cell r="A195" t="str">
            <v>Казань</v>
          </cell>
        </row>
        <row r="196">
          <cell r="A196" t="str">
            <v>Казань</v>
          </cell>
        </row>
        <row r="197">
          <cell r="A197" t="str">
            <v>Казань</v>
          </cell>
        </row>
        <row r="198">
          <cell r="A198" t="str">
            <v>Казань</v>
          </cell>
        </row>
        <row r="199">
          <cell r="A199" t="str">
            <v>Казань</v>
          </cell>
        </row>
        <row r="200">
          <cell r="A200" t="str">
            <v>Казань</v>
          </cell>
        </row>
        <row r="201">
          <cell r="A201" t="str">
            <v>Казань</v>
          </cell>
        </row>
        <row r="202">
          <cell r="A202" t="str">
            <v>Казань</v>
          </cell>
        </row>
        <row r="203">
          <cell r="A203" t="str">
            <v>Казань</v>
          </cell>
        </row>
        <row r="204">
          <cell r="A204" t="str">
            <v>Казань</v>
          </cell>
        </row>
        <row r="205">
          <cell r="A205" t="str">
            <v>Казань</v>
          </cell>
        </row>
        <row r="206">
          <cell r="A206" t="str">
            <v>Казань</v>
          </cell>
        </row>
        <row r="207">
          <cell r="A207" t="str">
            <v>Казань</v>
          </cell>
        </row>
        <row r="208">
          <cell r="A208" t="str">
            <v>Казань</v>
          </cell>
        </row>
        <row r="209">
          <cell r="A209" t="str">
            <v>Казань</v>
          </cell>
        </row>
        <row r="210">
          <cell r="A210" t="str">
            <v>Казань</v>
          </cell>
        </row>
        <row r="211">
          <cell r="A211" t="str">
            <v>Казань</v>
          </cell>
        </row>
        <row r="212">
          <cell r="A212" t="str">
            <v>Казань</v>
          </cell>
        </row>
        <row r="213">
          <cell r="A213" t="str">
            <v>Казань</v>
          </cell>
        </row>
        <row r="214">
          <cell r="A214" t="str">
            <v>Казань</v>
          </cell>
        </row>
        <row r="215">
          <cell r="A215" t="str">
            <v>Казань</v>
          </cell>
        </row>
        <row r="216">
          <cell r="A216" t="str">
            <v>Казань</v>
          </cell>
        </row>
        <row r="217">
          <cell r="A217" t="str">
            <v>Казань</v>
          </cell>
        </row>
        <row r="218">
          <cell r="A218" t="str">
            <v>Казань</v>
          </cell>
        </row>
        <row r="219">
          <cell r="A219" t="str">
            <v>Казань</v>
          </cell>
        </row>
        <row r="220">
          <cell r="A220" t="str">
            <v>Казань</v>
          </cell>
        </row>
        <row r="221">
          <cell r="A221" t="str">
            <v>Казань</v>
          </cell>
        </row>
        <row r="222">
          <cell r="A222" t="str">
            <v>Казань</v>
          </cell>
        </row>
        <row r="223">
          <cell r="A223" t="str">
            <v>Казань</v>
          </cell>
        </row>
        <row r="224">
          <cell r="A224" t="str">
            <v>Казань</v>
          </cell>
        </row>
        <row r="225">
          <cell r="A225" t="str">
            <v>Казань</v>
          </cell>
        </row>
        <row r="226">
          <cell r="A226" t="str">
            <v>Казань</v>
          </cell>
        </row>
        <row r="227">
          <cell r="A227" t="str">
            <v>Казань</v>
          </cell>
        </row>
        <row r="228">
          <cell r="A228" t="str">
            <v>Казань</v>
          </cell>
        </row>
        <row r="229">
          <cell r="A229" t="str">
            <v>Казань</v>
          </cell>
        </row>
        <row r="230">
          <cell r="A230" t="str">
            <v>Казань</v>
          </cell>
        </row>
        <row r="231">
          <cell r="A231" t="str">
            <v>Казань</v>
          </cell>
        </row>
        <row r="232">
          <cell r="A232" t="str">
            <v>Казань</v>
          </cell>
        </row>
        <row r="233">
          <cell r="A233" t="str">
            <v>Казань</v>
          </cell>
        </row>
        <row r="234">
          <cell r="A234" t="str">
            <v>Новосибирск</v>
          </cell>
        </row>
        <row r="235">
          <cell r="A235" t="str">
            <v>Новосибирск</v>
          </cell>
        </row>
        <row r="236">
          <cell r="A236" t="str">
            <v>Новосибирск</v>
          </cell>
        </row>
        <row r="237">
          <cell r="A237" t="str">
            <v>Новосибирск</v>
          </cell>
        </row>
        <row r="238">
          <cell r="A238" t="str">
            <v>Новосибирск</v>
          </cell>
        </row>
        <row r="239">
          <cell r="A239" t="str">
            <v>Новосибирск</v>
          </cell>
        </row>
        <row r="240">
          <cell r="A240" t="str">
            <v>Новосибирск</v>
          </cell>
        </row>
        <row r="241">
          <cell r="A241" t="str">
            <v>Новосибирск</v>
          </cell>
        </row>
        <row r="242">
          <cell r="A242" t="str">
            <v>Новосибирск</v>
          </cell>
        </row>
        <row r="243">
          <cell r="A243" t="str">
            <v>Новосибирск</v>
          </cell>
        </row>
        <row r="244">
          <cell r="A244" t="str">
            <v>Новосибирск</v>
          </cell>
        </row>
        <row r="245">
          <cell r="A245" t="str">
            <v>Новосибирск</v>
          </cell>
        </row>
        <row r="246">
          <cell r="A246" t="str">
            <v>Новосибирск</v>
          </cell>
        </row>
        <row r="247">
          <cell r="A247" t="str">
            <v>Новосибирск</v>
          </cell>
        </row>
        <row r="248">
          <cell r="A248" t="str">
            <v>Новосибирск</v>
          </cell>
        </row>
        <row r="249">
          <cell r="A249" t="str">
            <v>Новосибирск</v>
          </cell>
        </row>
        <row r="250">
          <cell r="A250" t="str">
            <v>Новосибирск</v>
          </cell>
        </row>
        <row r="251">
          <cell r="A251" t="str">
            <v>Новосибирск</v>
          </cell>
        </row>
        <row r="252">
          <cell r="A252" t="str">
            <v>Новосибирск</v>
          </cell>
        </row>
        <row r="253">
          <cell r="A253" t="str">
            <v>Новосибирск</v>
          </cell>
        </row>
        <row r="254">
          <cell r="A254" t="str">
            <v>Новосибирск</v>
          </cell>
        </row>
        <row r="255">
          <cell r="A255" t="str">
            <v>Новосибирск</v>
          </cell>
        </row>
        <row r="256">
          <cell r="A256" t="str">
            <v>Новосибирск</v>
          </cell>
        </row>
        <row r="257">
          <cell r="A257" t="str">
            <v>Новосибирск</v>
          </cell>
        </row>
        <row r="258">
          <cell r="A258" t="str">
            <v>Новосибирск</v>
          </cell>
        </row>
        <row r="259">
          <cell r="A259" t="str">
            <v>Новосибирск</v>
          </cell>
        </row>
        <row r="260">
          <cell r="A260" t="str">
            <v>Новосибирск</v>
          </cell>
        </row>
        <row r="261">
          <cell r="A261" t="str">
            <v>Новосибирск</v>
          </cell>
        </row>
        <row r="262">
          <cell r="A262" t="str">
            <v>Новосибирск</v>
          </cell>
        </row>
        <row r="263">
          <cell r="A263" t="str">
            <v>Новосибирск</v>
          </cell>
        </row>
        <row r="264">
          <cell r="A264" t="str">
            <v>Новосибирск</v>
          </cell>
        </row>
        <row r="265">
          <cell r="A265" t="str">
            <v>Новосибирск</v>
          </cell>
        </row>
        <row r="266">
          <cell r="A266" t="str">
            <v>Новосибирск</v>
          </cell>
        </row>
        <row r="267">
          <cell r="A267" t="str">
            <v>Новосибирск</v>
          </cell>
        </row>
        <row r="268">
          <cell r="A268" t="str">
            <v>Новосибирск</v>
          </cell>
        </row>
        <row r="269">
          <cell r="A269" t="str">
            <v>Новосибирск</v>
          </cell>
        </row>
        <row r="270">
          <cell r="A270" t="str">
            <v>Новосибирск</v>
          </cell>
        </row>
        <row r="271">
          <cell r="A271" t="str">
            <v>Новосибирск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Краснодар</v>
          </cell>
        </row>
        <row r="293">
          <cell r="A293" t="str">
            <v>Краснодар</v>
          </cell>
        </row>
        <row r="294">
          <cell r="A294" t="str">
            <v>Краснодар</v>
          </cell>
        </row>
        <row r="295">
          <cell r="A295" t="str">
            <v>Краснодар</v>
          </cell>
        </row>
        <row r="296">
          <cell r="A296" t="str">
            <v>Краснодар</v>
          </cell>
        </row>
        <row r="297">
          <cell r="A297" t="str">
            <v>Краснодар</v>
          </cell>
        </row>
        <row r="298">
          <cell r="A298" t="str">
            <v>Краснодар</v>
          </cell>
        </row>
        <row r="299">
          <cell r="A299" t="str">
            <v>Краснодар</v>
          </cell>
        </row>
        <row r="300">
          <cell r="A300" t="str">
            <v>Краснодар</v>
          </cell>
        </row>
        <row r="301">
          <cell r="A301" t="str">
            <v>Краснодар</v>
          </cell>
        </row>
        <row r="302">
          <cell r="A302" t="str">
            <v>Краснодар</v>
          </cell>
        </row>
        <row r="303">
          <cell r="A303" t="str">
            <v>Краснодар</v>
          </cell>
        </row>
        <row r="304">
          <cell r="A304" t="str">
            <v>Краснодар</v>
          </cell>
        </row>
        <row r="305">
          <cell r="A305" t="str">
            <v>Краснодар</v>
          </cell>
        </row>
        <row r="306">
          <cell r="A306" t="str">
            <v>Краснодар</v>
          </cell>
        </row>
        <row r="307">
          <cell r="A307" t="str">
            <v>Краснодар</v>
          </cell>
        </row>
        <row r="308">
          <cell r="A308" t="str">
            <v>Краснодар</v>
          </cell>
        </row>
        <row r="309">
          <cell r="A309" t="str">
            <v>Краснодар</v>
          </cell>
        </row>
        <row r="310">
          <cell r="A310" t="str">
            <v>Краснодар</v>
          </cell>
        </row>
        <row r="311">
          <cell r="A311" t="str">
            <v>Краснодар</v>
          </cell>
        </row>
        <row r="312">
          <cell r="A312" t="str">
            <v>Краснодар</v>
          </cell>
        </row>
        <row r="313">
          <cell r="A313" t="str">
            <v>Краснодар</v>
          </cell>
        </row>
        <row r="314">
          <cell r="A314" t="str">
            <v>Краснодар</v>
          </cell>
        </row>
        <row r="315">
          <cell r="A315" t="str">
            <v>Краснодар</v>
          </cell>
        </row>
        <row r="316">
          <cell r="A316" t="str">
            <v>Краснодар</v>
          </cell>
        </row>
        <row r="317">
          <cell r="A317" t="str">
            <v>Краснодар</v>
          </cell>
        </row>
        <row r="318">
          <cell r="A318" t="str">
            <v>Краснодар</v>
          </cell>
        </row>
        <row r="319">
          <cell r="A319" t="str">
            <v>Краснодар</v>
          </cell>
        </row>
        <row r="320">
          <cell r="A320" t="str">
            <v>Краснодар</v>
          </cell>
        </row>
        <row r="321">
          <cell r="A321" t="str">
            <v>Краснодар</v>
          </cell>
        </row>
        <row r="322">
          <cell r="A322" t="str">
            <v>Краснодар</v>
          </cell>
        </row>
        <row r="323">
          <cell r="A323" t="str">
            <v>Краснодар</v>
          </cell>
        </row>
        <row r="324">
          <cell r="A324" t="str">
            <v>Краснодар</v>
          </cell>
        </row>
        <row r="325">
          <cell r="A325" t="str">
            <v>Краснодар</v>
          </cell>
        </row>
        <row r="326">
          <cell r="A326" t="str">
            <v>Краснодар</v>
          </cell>
        </row>
        <row r="327">
          <cell r="A327" t="str">
            <v>Краснодар</v>
          </cell>
        </row>
        <row r="328">
          <cell r="A328" t="str">
            <v>Краснодар</v>
          </cell>
        </row>
        <row r="329">
          <cell r="A329" t="str">
            <v>Краснодар</v>
          </cell>
        </row>
        <row r="330">
          <cell r="A330" t="str">
            <v>Краснодар</v>
          </cell>
        </row>
        <row r="331">
          <cell r="A331" t="str">
            <v>Краснодар</v>
          </cell>
        </row>
        <row r="332">
          <cell r="A332" t="str">
            <v>Краснодар</v>
          </cell>
        </row>
        <row r="333">
          <cell r="A333" t="str">
            <v>Краснодар</v>
          </cell>
        </row>
        <row r="334">
          <cell r="A334" t="str">
            <v>Краснодар</v>
          </cell>
        </row>
        <row r="335">
          <cell r="A335" t="str">
            <v>Краснодар</v>
          </cell>
        </row>
        <row r="336">
          <cell r="A336" t="str">
            <v>Краснодар</v>
          </cell>
        </row>
        <row r="337">
          <cell r="A337" t="str">
            <v>Краснодар</v>
          </cell>
        </row>
        <row r="338">
          <cell r="A338" t="str">
            <v>Краснодар</v>
          </cell>
        </row>
        <row r="339">
          <cell r="A339" t="str">
            <v>Краснодар</v>
          </cell>
        </row>
        <row r="340">
          <cell r="A340" t="str">
            <v>Краснодар</v>
          </cell>
        </row>
        <row r="341">
          <cell r="A341" t="str">
            <v>Краснодар</v>
          </cell>
        </row>
        <row r="342">
          <cell r="A342" t="str">
            <v>Краснодар</v>
          </cell>
        </row>
        <row r="343">
          <cell r="A343" t="str">
            <v>Краснодар</v>
          </cell>
        </row>
        <row r="344">
          <cell r="A344" t="str">
            <v>Краснодар</v>
          </cell>
        </row>
        <row r="345">
          <cell r="A345" t="str">
            <v>Краснодар</v>
          </cell>
        </row>
        <row r="346">
          <cell r="A346" t="str">
            <v>Краснодар</v>
          </cell>
        </row>
        <row r="347">
          <cell r="A347" t="str">
            <v>Краснодар</v>
          </cell>
        </row>
        <row r="348">
          <cell r="A348" t="str">
            <v>Краснодар</v>
          </cell>
        </row>
        <row r="349">
          <cell r="A349" t="str">
            <v>Краснодар</v>
          </cell>
        </row>
        <row r="350">
          <cell r="A350" t="str">
            <v>Сочи</v>
          </cell>
        </row>
        <row r="351">
          <cell r="A351" t="str">
            <v>Сочи</v>
          </cell>
        </row>
        <row r="352">
          <cell r="A352" t="str">
            <v>Сочи</v>
          </cell>
        </row>
        <row r="353">
          <cell r="A353" t="str">
            <v>Сочи</v>
          </cell>
        </row>
        <row r="354">
          <cell r="A354" t="str">
            <v>Сочи</v>
          </cell>
        </row>
        <row r="355">
          <cell r="A355" t="str">
            <v>Сочи</v>
          </cell>
        </row>
        <row r="356">
          <cell r="A356" t="str">
            <v>Сочи</v>
          </cell>
        </row>
        <row r="357">
          <cell r="A357" t="str">
            <v>Сочи</v>
          </cell>
        </row>
        <row r="358">
          <cell r="A358" t="str">
            <v>Сочи</v>
          </cell>
        </row>
        <row r="359">
          <cell r="A359" t="str">
            <v>Сочи</v>
          </cell>
        </row>
        <row r="360">
          <cell r="A360" t="str">
            <v>Сочи</v>
          </cell>
        </row>
        <row r="361">
          <cell r="A361" t="str">
            <v>Сочи</v>
          </cell>
        </row>
        <row r="362">
          <cell r="A362" t="str">
            <v>Сочи</v>
          </cell>
        </row>
        <row r="363">
          <cell r="A363" t="str">
            <v>Сочи</v>
          </cell>
        </row>
        <row r="364">
          <cell r="A364" t="str">
            <v>Сочи</v>
          </cell>
        </row>
        <row r="365">
          <cell r="A365" t="str">
            <v>Сочи</v>
          </cell>
        </row>
        <row r="366">
          <cell r="A366" t="str">
            <v>Сочи</v>
          </cell>
        </row>
        <row r="367">
          <cell r="A367" t="str">
            <v>Сочи</v>
          </cell>
        </row>
        <row r="368">
          <cell r="A368" t="str">
            <v>Сочи</v>
          </cell>
        </row>
        <row r="369">
          <cell r="A369" t="str">
            <v>Сочи</v>
          </cell>
        </row>
        <row r="370">
          <cell r="A370" t="str">
            <v>Сочи</v>
          </cell>
        </row>
        <row r="371">
          <cell r="A371" t="str">
            <v>Сочи</v>
          </cell>
        </row>
        <row r="372">
          <cell r="A372" t="str">
            <v>Сочи</v>
          </cell>
        </row>
        <row r="373">
          <cell r="A373" t="str">
            <v>Сочи</v>
          </cell>
        </row>
        <row r="374">
          <cell r="A374" t="str">
            <v>Сочи</v>
          </cell>
        </row>
        <row r="375">
          <cell r="A375" t="str">
            <v>Сочи</v>
          </cell>
        </row>
        <row r="376">
          <cell r="A376" t="str">
            <v>Сочи</v>
          </cell>
        </row>
        <row r="377">
          <cell r="A377" t="str">
            <v>Сочи</v>
          </cell>
        </row>
        <row r="378">
          <cell r="A378" t="str">
            <v>Сочи</v>
          </cell>
        </row>
        <row r="379">
          <cell r="A379" t="str">
            <v>Сочи</v>
          </cell>
        </row>
        <row r="380">
          <cell r="A380" t="str">
            <v>Сочи</v>
          </cell>
        </row>
        <row r="381">
          <cell r="A381" t="str">
            <v>Сочи</v>
          </cell>
        </row>
        <row r="382">
          <cell r="A382" t="str">
            <v>Сочи</v>
          </cell>
        </row>
        <row r="383">
          <cell r="A383" t="str">
            <v>Сочи</v>
          </cell>
        </row>
        <row r="384">
          <cell r="A384" t="str">
            <v>Сочи</v>
          </cell>
        </row>
        <row r="385">
          <cell r="A385" t="str">
            <v>Сочи</v>
          </cell>
        </row>
        <row r="386">
          <cell r="A386" t="str">
            <v>Сочи</v>
          </cell>
        </row>
        <row r="387">
          <cell r="A387" t="str">
            <v>Сочи</v>
          </cell>
        </row>
        <row r="388">
          <cell r="A388" t="str">
            <v>Сочи</v>
          </cell>
        </row>
        <row r="389">
          <cell r="A389" t="str">
            <v>Сочи</v>
          </cell>
        </row>
        <row r="390">
          <cell r="A390" t="str">
            <v>Сочи</v>
          </cell>
        </row>
        <row r="391">
          <cell r="A391" t="str">
            <v>Сочи</v>
          </cell>
        </row>
        <row r="392">
          <cell r="A392" t="str">
            <v>Сочи</v>
          </cell>
        </row>
        <row r="393">
          <cell r="A393" t="str">
            <v>Сочи</v>
          </cell>
        </row>
        <row r="394">
          <cell r="A394" t="str">
            <v>Сочи</v>
          </cell>
        </row>
        <row r="395">
          <cell r="A395" t="str">
            <v>Сочи</v>
          </cell>
        </row>
        <row r="396">
          <cell r="A396" t="str">
            <v>Сочи</v>
          </cell>
        </row>
        <row r="397">
          <cell r="A397" t="str">
            <v>Сочи</v>
          </cell>
        </row>
        <row r="398">
          <cell r="A398" t="str">
            <v>Сочи</v>
          </cell>
        </row>
        <row r="399">
          <cell r="A399" t="str">
            <v>Сочи</v>
          </cell>
        </row>
        <row r="400">
          <cell r="A400" t="str">
            <v>Сочи</v>
          </cell>
        </row>
        <row r="401">
          <cell r="A401" t="str">
            <v>Сочи</v>
          </cell>
        </row>
        <row r="402">
          <cell r="A402" t="str">
            <v>Сочи</v>
          </cell>
        </row>
        <row r="403">
          <cell r="A403" t="str">
            <v>Сочи</v>
          </cell>
        </row>
        <row r="404">
          <cell r="A404" t="str">
            <v>Сочи</v>
          </cell>
        </row>
        <row r="405">
          <cell r="A405" t="str">
            <v>Сочи</v>
          </cell>
        </row>
        <row r="406">
          <cell r="A406" t="str">
            <v>Сочи</v>
          </cell>
        </row>
        <row r="407">
          <cell r="A407" t="str">
            <v>Сочи</v>
          </cell>
        </row>
        <row r="408">
          <cell r="A408" t="str">
            <v>Нижний Новгород</v>
          </cell>
        </row>
        <row r="409">
          <cell r="A409" t="str">
            <v>Нижний Новгород</v>
          </cell>
        </row>
        <row r="410">
          <cell r="A410" t="str">
            <v>Нижний Новгород</v>
          </cell>
        </row>
        <row r="411">
          <cell r="A411" t="str">
            <v>Нижний Новгород</v>
          </cell>
        </row>
        <row r="412">
          <cell r="A412" t="str">
            <v>Нижний Новгород</v>
          </cell>
        </row>
        <row r="413">
          <cell r="A413" t="str">
            <v>Нижний Новгород</v>
          </cell>
        </row>
        <row r="414">
          <cell r="A414" t="str">
            <v>Нижний Новгород</v>
          </cell>
        </row>
        <row r="415">
          <cell r="A415" t="str">
            <v>Нижний Новгород</v>
          </cell>
        </row>
        <row r="416">
          <cell r="A416" t="str">
            <v>Нижний Новгород</v>
          </cell>
        </row>
        <row r="417">
          <cell r="A417" t="str">
            <v>Нижний Новгород</v>
          </cell>
        </row>
        <row r="418">
          <cell r="A418" t="str">
            <v>Нижний Новгород</v>
          </cell>
        </row>
        <row r="419">
          <cell r="A419" t="str">
            <v>Нижний Новгород</v>
          </cell>
        </row>
        <row r="420">
          <cell r="A420" t="str">
            <v>Нижний Новгород</v>
          </cell>
        </row>
        <row r="421">
          <cell r="A421" t="str">
            <v>Нижний Новгород</v>
          </cell>
        </row>
        <row r="422">
          <cell r="A422" t="str">
            <v>Нижний Новгород</v>
          </cell>
        </row>
        <row r="423">
          <cell r="A423" t="str">
            <v>Нижний Новгород</v>
          </cell>
        </row>
        <row r="424">
          <cell r="A424" t="str">
            <v>Нижний Новгород</v>
          </cell>
        </row>
        <row r="425">
          <cell r="A425" t="str">
            <v>Нижний Новгород</v>
          </cell>
        </row>
        <row r="426">
          <cell r="A426" t="str">
            <v>Нижний Новгород</v>
          </cell>
        </row>
        <row r="427">
          <cell r="A427" t="str">
            <v>Нижний Новгород</v>
          </cell>
        </row>
        <row r="428">
          <cell r="A428" t="str">
            <v>Нижний Новгород</v>
          </cell>
        </row>
        <row r="429">
          <cell r="A429" t="str">
            <v>Нижний Новгород</v>
          </cell>
        </row>
        <row r="430">
          <cell r="A430" t="str">
            <v>Нижний Новгород</v>
          </cell>
        </row>
        <row r="431">
          <cell r="A431" t="str">
            <v>Нижний Новгород</v>
          </cell>
        </row>
        <row r="432">
          <cell r="A432" t="str">
            <v>Нижний Новгород</v>
          </cell>
        </row>
        <row r="433">
          <cell r="A433" t="str">
            <v>Нижний Новгород</v>
          </cell>
        </row>
        <row r="434">
          <cell r="A434" t="str">
            <v>Нижний Новгород</v>
          </cell>
        </row>
        <row r="435">
          <cell r="A435" t="str">
            <v>Нижний Новгород</v>
          </cell>
        </row>
        <row r="436">
          <cell r="A436" t="str">
            <v>Нижний Новгород</v>
          </cell>
        </row>
        <row r="437">
          <cell r="A437" t="str">
            <v>Нижний Новгород</v>
          </cell>
        </row>
        <row r="438">
          <cell r="A438" t="str">
            <v>Нижний Новгород</v>
          </cell>
        </row>
        <row r="439">
          <cell r="A439" t="str">
            <v>Нижний Новгород</v>
          </cell>
        </row>
        <row r="440">
          <cell r="A440" t="str">
            <v>Нижний Новгород</v>
          </cell>
        </row>
        <row r="441">
          <cell r="A441" t="str">
            <v>Нижний Новгород</v>
          </cell>
        </row>
        <row r="442">
          <cell r="A442" t="str">
            <v>Нижний Новгород</v>
          </cell>
        </row>
        <row r="443">
          <cell r="A443" t="str">
            <v>Нижний Новгород</v>
          </cell>
        </row>
        <row r="444">
          <cell r="A444" t="str">
            <v>Нижний Новгород</v>
          </cell>
        </row>
        <row r="445">
          <cell r="A445" t="str">
            <v>Нижний Новгород</v>
          </cell>
        </row>
        <row r="446">
          <cell r="A446" t="str">
            <v>Нижний Новгород</v>
          </cell>
        </row>
        <row r="447">
          <cell r="A447" t="str">
            <v>Нижний Новгород</v>
          </cell>
        </row>
        <row r="448">
          <cell r="A448" t="str">
            <v>Нижний Новгород</v>
          </cell>
        </row>
        <row r="449">
          <cell r="A449" t="str">
            <v>Нижний Новгород</v>
          </cell>
        </row>
        <row r="450">
          <cell r="A450" t="str">
            <v>Нижний Новгород</v>
          </cell>
        </row>
        <row r="451">
          <cell r="A451" t="str">
            <v>Нижний Новгород</v>
          </cell>
        </row>
        <row r="452">
          <cell r="A452" t="str">
            <v>Нижний Новгород</v>
          </cell>
        </row>
        <row r="453">
          <cell r="A453" t="str">
            <v>Нижний Новгород</v>
          </cell>
        </row>
        <row r="454">
          <cell r="A454" t="str">
            <v>Нижний Новгород</v>
          </cell>
        </row>
        <row r="455">
          <cell r="A455" t="str">
            <v>Нижний Новгород</v>
          </cell>
        </row>
        <row r="456">
          <cell r="A456" t="str">
            <v>Нижний Новгород</v>
          </cell>
        </row>
        <row r="457">
          <cell r="A457" t="str">
            <v>Нижний Новгород</v>
          </cell>
        </row>
        <row r="458">
          <cell r="A458" t="str">
            <v>Нижний Новгород</v>
          </cell>
        </row>
        <row r="459">
          <cell r="A459" t="str">
            <v>Нижний Новгород</v>
          </cell>
        </row>
        <row r="460">
          <cell r="A460" t="str">
            <v>Нижний Новгород</v>
          </cell>
        </row>
        <row r="461">
          <cell r="A461" t="str">
            <v>Нижний Новгород</v>
          </cell>
        </row>
        <row r="462">
          <cell r="A462" t="str">
            <v>Нижний Новгород</v>
          </cell>
        </row>
        <row r="463">
          <cell r="A463" t="str">
            <v>Нижний Новгород</v>
          </cell>
        </row>
        <row r="464">
          <cell r="A464" t="str">
            <v>Нижний Новгород</v>
          </cell>
        </row>
        <row r="465">
          <cell r="A465" t="str">
            <v>Нижний Новгород</v>
          </cell>
        </row>
        <row r="466">
          <cell r="A466" t="str">
            <v>Хабаровск</v>
          </cell>
        </row>
        <row r="467">
          <cell r="A467" t="str">
            <v>Хабаровск</v>
          </cell>
        </row>
        <row r="468">
          <cell r="A468" t="str">
            <v>Хабаровск</v>
          </cell>
        </row>
        <row r="469">
          <cell r="A469" t="str">
            <v>Хабаровск</v>
          </cell>
        </row>
        <row r="470">
          <cell r="A470" t="str">
            <v>Хабаровск</v>
          </cell>
        </row>
        <row r="471">
          <cell r="A471" t="str">
            <v>Хабаровск</v>
          </cell>
        </row>
        <row r="472">
          <cell r="A472" t="str">
            <v>Хабаровск</v>
          </cell>
        </row>
        <row r="473">
          <cell r="A473" t="str">
            <v>Хабаровск</v>
          </cell>
        </row>
        <row r="474">
          <cell r="A474" t="str">
            <v>Хабаровск</v>
          </cell>
        </row>
        <row r="475">
          <cell r="A475" t="str">
            <v>Хабаровск</v>
          </cell>
        </row>
        <row r="476">
          <cell r="A476" t="str">
            <v>Хабаровск</v>
          </cell>
        </row>
        <row r="477">
          <cell r="A477" t="str">
            <v>Хабаровск</v>
          </cell>
        </row>
        <row r="478">
          <cell r="A478" t="str">
            <v>Хабаровск</v>
          </cell>
        </row>
        <row r="479">
          <cell r="A479" t="str">
            <v>Хабаровск</v>
          </cell>
        </row>
        <row r="480">
          <cell r="A480" t="str">
            <v>Хабаровск</v>
          </cell>
        </row>
        <row r="481">
          <cell r="A481" t="str">
            <v>Хабаровск</v>
          </cell>
        </row>
        <row r="482">
          <cell r="A482" t="str">
            <v>Хабаровск</v>
          </cell>
        </row>
        <row r="483">
          <cell r="A483" t="str">
            <v>Хабаровск</v>
          </cell>
        </row>
        <row r="484">
          <cell r="A484" t="str">
            <v>Хабаровск</v>
          </cell>
        </row>
        <row r="485">
          <cell r="A485" t="str">
            <v>Хабаровск</v>
          </cell>
        </row>
        <row r="486">
          <cell r="A486" t="str">
            <v>Хабаровск</v>
          </cell>
        </row>
        <row r="487">
          <cell r="A487" t="str">
            <v>Хабаровск</v>
          </cell>
        </row>
        <row r="488">
          <cell r="A488" t="str">
            <v>Хабаровск</v>
          </cell>
        </row>
        <row r="489">
          <cell r="A489" t="str">
            <v>Хабаровск</v>
          </cell>
        </row>
        <row r="490">
          <cell r="A490" t="str">
            <v>Хабаровск</v>
          </cell>
        </row>
        <row r="491">
          <cell r="A491" t="str">
            <v>Хабаровск</v>
          </cell>
        </row>
        <row r="492">
          <cell r="A492" t="str">
            <v>Хабаровск</v>
          </cell>
        </row>
        <row r="493">
          <cell r="A493" t="str">
            <v>Хабаровск</v>
          </cell>
        </row>
        <row r="494">
          <cell r="A494" t="str">
            <v>Хабаровск</v>
          </cell>
        </row>
        <row r="495">
          <cell r="A495" t="str">
            <v>Хабаровск</v>
          </cell>
        </row>
        <row r="496">
          <cell r="A496" t="str">
            <v>Хабаровск</v>
          </cell>
        </row>
        <row r="497">
          <cell r="A497" t="str">
            <v>Хабаровск</v>
          </cell>
        </row>
        <row r="498">
          <cell r="A498" t="str">
            <v>Хабаровск</v>
          </cell>
        </row>
        <row r="499">
          <cell r="A499" t="str">
            <v>Хабаровск</v>
          </cell>
        </row>
        <row r="500">
          <cell r="A500" t="str">
            <v>Хабаровск</v>
          </cell>
        </row>
        <row r="501">
          <cell r="A501" t="str">
            <v>Хабаровск</v>
          </cell>
        </row>
        <row r="502">
          <cell r="A502" t="str">
            <v>Хабаровск</v>
          </cell>
        </row>
        <row r="503">
          <cell r="A503" t="str">
            <v>Хабаровск</v>
          </cell>
        </row>
        <row r="504">
          <cell r="A504" t="str">
            <v>Хабаровск</v>
          </cell>
        </row>
        <row r="505">
          <cell r="A505" t="str">
            <v>Хабаровск</v>
          </cell>
        </row>
        <row r="506">
          <cell r="A506" t="str">
            <v>Хабаровск</v>
          </cell>
        </row>
        <row r="507">
          <cell r="A507" t="str">
            <v>Хабаровск</v>
          </cell>
        </row>
        <row r="508">
          <cell r="A508" t="str">
            <v>Хабаровск</v>
          </cell>
        </row>
        <row r="509">
          <cell r="A509" t="str">
            <v>Хабаровск</v>
          </cell>
        </row>
        <row r="510">
          <cell r="A510" t="str">
            <v>Хабаровск</v>
          </cell>
        </row>
        <row r="511">
          <cell r="A511" t="str">
            <v>Хабаровск</v>
          </cell>
        </row>
        <row r="512">
          <cell r="A512" t="str">
            <v>Хабаровск</v>
          </cell>
        </row>
        <row r="513">
          <cell r="A513" t="str">
            <v>Хабаровск</v>
          </cell>
        </row>
        <row r="514">
          <cell r="A514" t="str">
            <v>Хабаровск</v>
          </cell>
        </row>
        <row r="515">
          <cell r="A515" t="str">
            <v>Хабаровск</v>
          </cell>
        </row>
        <row r="516">
          <cell r="A516" t="str">
            <v>Хабаровск</v>
          </cell>
        </row>
        <row r="517">
          <cell r="A517" t="str">
            <v>Хабаровск</v>
          </cell>
        </row>
        <row r="518">
          <cell r="A518" t="str">
            <v>Хабаровск</v>
          </cell>
        </row>
        <row r="519">
          <cell r="A519" t="str">
            <v>Хабаровск</v>
          </cell>
        </row>
        <row r="520">
          <cell r="A520" t="str">
            <v>Хабаровск</v>
          </cell>
        </row>
        <row r="521">
          <cell r="A521" t="str">
            <v>Хабаровск</v>
          </cell>
        </row>
        <row r="522">
          <cell r="A522" t="str">
            <v>Хабаровск</v>
          </cell>
        </row>
        <row r="523">
          <cell r="A523" t="str">
            <v>Хабаровск</v>
          </cell>
        </row>
        <row r="524">
          <cell r="A524" t="str">
            <v>Омск</v>
          </cell>
        </row>
        <row r="525">
          <cell r="A525" t="str">
            <v>Омск</v>
          </cell>
        </row>
        <row r="526">
          <cell r="A526" t="str">
            <v>Омск</v>
          </cell>
        </row>
        <row r="527">
          <cell r="A527" t="str">
            <v>Омск</v>
          </cell>
        </row>
        <row r="528">
          <cell r="A528" t="str">
            <v>Омск</v>
          </cell>
        </row>
        <row r="529">
          <cell r="A529" t="str">
            <v>Омск</v>
          </cell>
        </row>
        <row r="530">
          <cell r="A530" t="str">
            <v>Омск</v>
          </cell>
        </row>
        <row r="531">
          <cell r="A531" t="str">
            <v>Омск</v>
          </cell>
        </row>
        <row r="532">
          <cell r="A532" t="str">
            <v>Омск</v>
          </cell>
        </row>
        <row r="533">
          <cell r="A533" t="str">
            <v>Омск</v>
          </cell>
        </row>
        <row r="534">
          <cell r="A534" t="str">
            <v>Омск</v>
          </cell>
        </row>
        <row r="535">
          <cell r="A535" t="str">
            <v>Омск</v>
          </cell>
        </row>
        <row r="536">
          <cell r="A536" t="str">
            <v>Омск</v>
          </cell>
        </row>
        <row r="537">
          <cell r="A537" t="str">
            <v>Омск</v>
          </cell>
        </row>
        <row r="538">
          <cell r="A538" t="str">
            <v>Омск</v>
          </cell>
        </row>
        <row r="539">
          <cell r="A539" t="str">
            <v>Омск</v>
          </cell>
        </row>
        <row r="540">
          <cell r="A540" t="str">
            <v>Омск</v>
          </cell>
        </row>
        <row r="541">
          <cell r="A541" t="str">
            <v>Омск</v>
          </cell>
        </row>
        <row r="542">
          <cell r="A542" t="str">
            <v>Омск</v>
          </cell>
        </row>
        <row r="543">
          <cell r="A543" t="str">
            <v>Омск</v>
          </cell>
        </row>
        <row r="544">
          <cell r="A544" t="str">
            <v>Омск</v>
          </cell>
        </row>
        <row r="545">
          <cell r="A545" t="str">
            <v>Омск</v>
          </cell>
        </row>
        <row r="546">
          <cell r="A546" t="str">
            <v>Омск</v>
          </cell>
        </row>
        <row r="547">
          <cell r="A547" t="str">
            <v>Омск</v>
          </cell>
        </row>
        <row r="548">
          <cell r="A548" t="str">
            <v>Омск</v>
          </cell>
        </row>
        <row r="549">
          <cell r="A549" t="str">
            <v>Омск</v>
          </cell>
        </row>
        <row r="550">
          <cell r="A550" t="str">
            <v>Омск</v>
          </cell>
        </row>
        <row r="551">
          <cell r="A551" t="str">
            <v>Омск</v>
          </cell>
        </row>
        <row r="552">
          <cell r="A552" t="str">
            <v>Омск</v>
          </cell>
        </row>
        <row r="553">
          <cell r="A553" t="str">
            <v>Омск</v>
          </cell>
        </row>
        <row r="554">
          <cell r="A554" t="str">
            <v>Омск</v>
          </cell>
        </row>
        <row r="555">
          <cell r="A555" t="str">
            <v>Омск</v>
          </cell>
        </row>
        <row r="556">
          <cell r="A556" t="str">
            <v>Омск</v>
          </cell>
        </row>
        <row r="557">
          <cell r="A557" t="str">
            <v>Омск</v>
          </cell>
        </row>
        <row r="558">
          <cell r="A558" t="str">
            <v>Омск</v>
          </cell>
        </row>
        <row r="559">
          <cell r="A559" t="str">
            <v>Омск</v>
          </cell>
        </row>
        <row r="560">
          <cell r="A560" t="str">
            <v>Омск</v>
          </cell>
        </row>
        <row r="561">
          <cell r="A561" t="str">
            <v>Омск</v>
          </cell>
        </row>
        <row r="562">
          <cell r="A562" t="str">
            <v>Омск</v>
          </cell>
        </row>
        <row r="563">
          <cell r="A563" t="str">
            <v>Омск</v>
          </cell>
        </row>
        <row r="564">
          <cell r="A564" t="str">
            <v>Омск</v>
          </cell>
        </row>
        <row r="565">
          <cell r="A565" t="str">
            <v>Омск</v>
          </cell>
        </row>
        <row r="566">
          <cell r="A566" t="str">
            <v>Омск</v>
          </cell>
        </row>
        <row r="567">
          <cell r="A567" t="str">
            <v>Омск</v>
          </cell>
        </row>
        <row r="568">
          <cell r="A568" t="str">
            <v>Омск</v>
          </cell>
        </row>
        <row r="569">
          <cell r="A569" t="str">
            <v>Омск</v>
          </cell>
        </row>
        <row r="570">
          <cell r="A570" t="str">
            <v>Омск</v>
          </cell>
        </row>
        <row r="571">
          <cell r="A571" t="str">
            <v>Омск</v>
          </cell>
        </row>
        <row r="572">
          <cell r="A572" t="str">
            <v>Омск</v>
          </cell>
        </row>
        <row r="573">
          <cell r="A573" t="str">
            <v>Омск</v>
          </cell>
        </row>
        <row r="574">
          <cell r="A574" t="str">
            <v>Омск</v>
          </cell>
        </row>
        <row r="575">
          <cell r="A575" t="str">
            <v>Омск</v>
          </cell>
        </row>
        <row r="576">
          <cell r="A576" t="str">
            <v>Омск</v>
          </cell>
        </row>
        <row r="577">
          <cell r="A577" t="str">
            <v>Омск</v>
          </cell>
        </row>
        <row r="578">
          <cell r="A578" t="str">
            <v>Омск</v>
          </cell>
        </row>
        <row r="579">
          <cell r="A579" t="str">
            <v>Омск</v>
          </cell>
        </row>
        <row r="580">
          <cell r="A580" t="str">
            <v>Омск</v>
          </cell>
        </row>
        <row r="581">
          <cell r="A581" t="str">
            <v>Омск</v>
          </cell>
        </row>
        <row r="582">
          <cell r="A582" t="str">
            <v>Воронеж</v>
          </cell>
        </row>
        <row r="583">
          <cell r="A583" t="str">
            <v>Воронеж</v>
          </cell>
        </row>
        <row r="584">
          <cell r="A584" t="str">
            <v>Воронеж</v>
          </cell>
        </row>
        <row r="585">
          <cell r="A585" t="str">
            <v>Воронеж</v>
          </cell>
        </row>
        <row r="586">
          <cell r="A586" t="str">
            <v>Воронеж</v>
          </cell>
        </row>
        <row r="587">
          <cell r="A587" t="str">
            <v>Воронеж</v>
          </cell>
        </row>
        <row r="588">
          <cell r="A588" t="str">
            <v>Воронеж</v>
          </cell>
        </row>
        <row r="589">
          <cell r="A589" t="str">
            <v>Воронеж</v>
          </cell>
        </row>
        <row r="590">
          <cell r="A590" t="str">
            <v>Воронеж</v>
          </cell>
        </row>
        <row r="591">
          <cell r="A591" t="str">
            <v>Воронеж</v>
          </cell>
        </row>
        <row r="592">
          <cell r="A592" t="str">
            <v>Воронеж</v>
          </cell>
        </row>
        <row r="593">
          <cell r="A593" t="str">
            <v>Воронеж</v>
          </cell>
        </row>
        <row r="594">
          <cell r="A594" t="str">
            <v>Воронеж</v>
          </cell>
        </row>
        <row r="595">
          <cell r="A595" t="str">
            <v>Воронеж</v>
          </cell>
        </row>
        <row r="596">
          <cell r="A596" t="str">
            <v>Воронеж</v>
          </cell>
        </row>
        <row r="597">
          <cell r="A597" t="str">
            <v>Воронеж</v>
          </cell>
        </row>
        <row r="598">
          <cell r="A598" t="str">
            <v>Воронеж</v>
          </cell>
        </row>
        <row r="599">
          <cell r="A599" t="str">
            <v>Воронеж</v>
          </cell>
        </row>
        <row r="600">
          <cell r="A600" t="str">
            <v>Воронеж</v>
          </cell>
        </row>
        <row r="601">
          <cell r="A601" t="str">
            <v>Воронеж</v>
          </cell>
        </row>
        <row r="602">
          <cell r="A602" t="str">
            <v>Воронеж</v>
          </cell>
        </row>
        <row r="603">
          <cell r="A603" t="str">
            <v>Воронеж</v>
          </cell>
        </row>
        <row r="604">
          <cell r="A604" t="str">
            <v>Воронеж</v>
          </cell>
        </row>
        <row r="605">
          <cell r="A605" t="str">
            <v>Воронеж</v>
          </cell>
        </row>
        <row r="606">
          <cell r="A606" t="str">
            <v>Воронеж</v>
          </cell>
        </row>
        <row r="607">
          <cell r="A607" t="str">
            <v>Воронеж</v>
          </cell>
        </row>
        <row r="608">
          <cell r="A608" t="str">
            <v>Воронеж</v>
          </cell>
        </row>
        <row r="609">
          <cell r="A609" t="str">
            <v>Воронеж</v>
          </cell>
        </row>
        <row r="610">
          <cell r="A610" t="str">
            <v>Воронеж</v>
          </cell>
        </row>
        <row r="611">
          <cell r="A611" t="str">
            <v>Воронеж</v>
          </cell>
        </row>
        <row r="612">
          <cell r="A612" t="str">
            <v>Воронеж</v>
          </cell>
        </row>
        <row r="613">
          <cell r="A613" t="str">
            <v>Воронеж</v>
          </cell>
        </row>
        <row r="614">
          <cell r="A614" t="str">
            <v>Воронеж</v>
          </cell>
        </row>
        <row r="615">
          <cell r="A615" t="str">
            <v>Воронеж</v>
          </cell>
        </row>
        <row r="616">
          <cell r="A616" t="str">
            <v>Воронеж</v>
          </cell>
        </row>
        <row r="617">
          <cell r="A617" t="str">
            <v>Воронеж</v>
          </cell>
        </row>
        <row r="618">
          <cell r="A618" t="str">
            <v>Воронеж</v>
          </cell>
        </row>
        <row r="619">
          <cell r="A619" t="str">
            <v>Воронеж</v>
          </cell>
        </row>
        <row r="620">
          <cell r="A620" t="str">
            <v>Воронеж</v>
          </cell>
        </row>
        <row r="621">
          <cell r="A621" t="str">
            <v>Воронеж</v>
          </cell>
        </row>
        <row r="622">
          <cell r="A622" t="str">
            <v>Воронеж</v>
          </cell>
        </row>
        <row r="623">
          <cell r="A623" t="str">
            <v>Воронеж</v>
          </cell>
        </row>
        <row r="624">
          <cell r="A624" t="str">
            <v>Воронеж</v>
          </cell>
        </row>
        <row r="625">
          <cell r="A625" t="str">
            <v>Воронеж</v>
          </cell>
        </row>
        <row r="626">
          <cell r="A626" t="str">
            <v>Воронеж</v>
          </cell>
        </row>
        <row r="627">
          <cell r="A627" t="str">
            <v>Воронеж</v>
          </cell>
        </row>
        <row r="628">
          <cell r="A628" t="str">
            <v>Воронеж</v>
          </cell>
        </row>
        <row r="629">
          <cell r="A629" t="str">
            <v>Воронеж</v>
          </cell>
        </row>
        <row r="630">
          <cell r="A630" t="str">
            <v>Воронеж</v>
          </cell>
        </row>
        <row r="631">
          <cell r="A631" t="str">
            <v>Воронеж</v>
          </cell>
        </row>
        <row r="632">
          <cell r="A632" t="str">
            <v>Воронеж</v>
          </cell>
        </row>
        <row r="633">
          <cell r="A633" t="str">
            <v>Воронеж</v>
          </cell>
        </row>
        <row r="634">
          <cell r="A634" t="str">
            <v>Воронеж</v>
          </cell>
        </row>
        <row r="635">
          <cell r="A635" t="str">
            <v>Воронеж</v>
          </cell>
        </row>
        <row r="636">
          <cell r="A636" t="str">
            <v>Воронеж</v>
          </cell>
        </row>
        <row r="637">
          <cell r="A637" t="str">
            <v>Воронеж</v>
          </cell>
        </row>
        <row r="638">
          <cell r="A638" t="str">
            <v>Воронеж</v>
          </cell>
        </row>
        <row r="639">
          <cell r="A639" t="str">
            <v>Воронеж</v>
          </cell>
        </row>
      </sheetData>
      <sheetData sheetId="27">
        <row r="2">
          <cell r="A2" t="str">
            <v>Анапа</v>
          </cell>
        </row>
        <row r="3">
          <cell r="A3" t="str">
            <v>Красногорск</v>
          </cell>
        </row>
        <row r="4">
          <cell r="A4" t="str">
            <v>Краснодар</v>
          </cell>
        </row>
        <row r="5">
          <cell r="A5" t="str">
            <v>Москва</v>
          </cell>
        </row>
        <row r="6">
          <cell r="A6" t="str">
            <v>Москва</v>
          </cell>
        </row>
        <row r="7">
          <cell r="A7" t="str">
            <v>Москва</v>
          </cell>
        </row>
        <row r="8">
          <cell r="A8" t="str">
            <v>Москва</v>
          </cell>
        </row>
        <row r="9">
          <cell r="A9" t="str">
            <v>Москва</v>
          </cell>
        </row>
        <row r="10">
          <cell r="A10" t="str">
            <v>Москва</v>
          </cell>
        </row>
        <row r="11">
          <cell r="A11" t="str">
            <v>Москва</v>
          </cell>
        </row>
        <row r="12">
          <cell r="A12" t="str">
            <v>Москва</v>
          </cell>
        </row>
        <row r="13">
          <cell r="A13" t="str">
            <v>Москва</v>
          </cell>
        </row>
        <row r="14">
          <cell r="A14" t="str">
            <v>Москва</v>
          </cell>
        </row>
        <row r="15">
          <cell r="A15" t="str">
            <v>Москва</v>
          </cell>
        </row>
        <row r="16">
          <cell r="A16" t="str">
            <v>Москва</v>
          </cell>
        </row>
        <row r="17">
          <cell r="A17" t="str">
            <v>Москва</v>
          </cell>
        </row>
        <row r="18">
          <cell r="A18" t="str">
            <v>Москва</v>
          </cell>
        </row>
        <row r="19">
          <cell r="A19" t="str">
            <v>Москва</v>
          </cell>
        </row>
        <row r="20">
          <cell r="A20" t="str">
            <v>Москва</v>
          </cell>
        </row>
        <row r="21">
          <cell r="A21" t="str">
            <v>Москва</v>
          </cell>
        </row>
        <row r="22">
          <cell r="A22" t="str">
            <v>Москва</v>
          </cell>
        </row>
        <row r="23">
          <cell r="A23" t="str">
            <v>Москва</v>
          </cell>
        </row>
        <row r="24">
          <cell r="A24" t="str">
            <v>Нижний Новгород</v>
          </cell>
        </row>
        <row r="25">
          <cell r="A25" t="str">
            <v>Подольск</v>
          </cell>
        </row>
        <row r="26">
          <cell r="A26" t="str">
            <v>Ростов-на-Дону</v>
          </cell>
        </row>
        <row r="27">
          <cell r="A27" t="str">
            <v>Самара</v>
          </cell>
        </row>
        <row r="28">
          <cell r="A28" t="str">
            <v>Самара</v>
          </cell>
        </row>
        <row r="29">
          <cell r="A29" t="str">
            <v>Санкт-Петербург</v>
          </cell>
        </row>
        <row r="30">
          <cell r="A30" t="str">
            <v>Санкт-Петербург</v>
          </cell>
        </row>
        <row r="31">
          <cell r="A31" t="str">
            <v>Санкт-Петербург</v>
          </cell>
        </row>
        <row r="32">
          <cell r="A32" t="str">
            <v>Санкт-Петербург</v>
          </cell>
        </row>
        <row r="33">
          <cell r="A33" t="str">
            <v>Санкт-Петербург</v>
          </cell>
        </row>
        <row r="34">
          <cell r="A34" t="str">
            <v>Санкт-Петербург</v>
          </cell>
        </row>
        <row r="35">
          <cell r="A35" t="str">
            <v>Санкт-Петербург</v>
          </cell>
        </row>
        <row r="36">
          <cell r="A36" t="str">
            <v>Тюмень</v>
          </cell>
        </row>
        <row r="37">
          <cell r="A37" t="str">
            <v>Химки</v>
          </cell>
        </row>
        <row r="40">
          <cell r="A40" t="str">
            <v>Источник: оценка агентства OMD</v>
          </cell>
        </row>
      </sheetData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оронеж"/>
      <sheetName val="Омск"/>
      <sheetName val="Калининград"/>
      <sheetName val="Хабаровск"/>
      <sheetName val="Нижний Новгород"/>
      <sheetName val="Чебоксары"/>
      <sheetName val="Сочи"/>
      <sheetName val="Краснодар"/>
      <sheetName val="Новосибирск"/>
      <sheetName val="Казань"/>
      <sheetName val="Кемерово"/>
      <sheetName val="Томск"/>
      <sheetName val="Екатеринбург"/>
      <sheetName val="Санкт-Петербург"/>
      <sheetName val="Москва"/>
      <sheetName val="ЧЕК-ЛИСТ"/>
      <sheetName val="Итоговые показатели по городам"/>
      <sheetName val="UFO"/>
      <sheetName val="ТВ Каналы"/>
      <sheetName val="Радиостанции"/>
      <sheetName val="Списки"/>
      <sheetName val="Коэфы качество контакта"/>
      <sheetName val="ЦА по городам"/>
      <sheetName val="Коэфы брендирование"/>
      <sheetName val="ТВ"/>
      <sheetName val="OOH"/>
      <sheetName val="Метро"/>
      <sheetName val="Radio"/>
      <sheetName val="Indoor"/>
      <sheetName val="ТВ исходник"/>
      <sheetName val="Ради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Спонсорство</v>
          </cell>
          <cell r="C4" t="str">
            <v>МоскваСпонсорство</v>
          </cell>
        </row>
        <row r="5">
          <cell r="B5" t="str">
            <v>Спонсорство</v>
          </cell>
          <cell r="C5" t="str">
            <v>МоскваСпонсорство</v>
          </cell>
        </row>
        <row r="6">
          <cell r="B6" t="str">
            <v>Спонсорство</v>
          </cell>
          <cell r="C6" t="str">
            <v>Санкт-ПетербургСпонсорство</v>
          </cell>
        </row>
        <row r="7">
          <cell r="B7" t="str">
            <v>Спонсорство</v>
          </cell>
          <cell r="C7" t="str">
            <v>Санкт-ПетербургСпонсорство</v>
          </cell>
        </row>
        <row r="8">
          <cell r="B8" t="str">
            <v>Прямая Реклама</v>
          </cell>
          <cell r="C8" t="str">
            <v>Санкт-ПетербургПрямая Реклама</v>
          </cell>
        </row>
        <row r="9">
          <cell r="B9" t="str">
            <v>Прямая Реклама</v>
          </cell>
          <cell r="C9" t="str">
            <v>Санкт-ПетербургПрямая Реклама</v>
          </cell>
        </row>
        <row r="10">
          <cell r="B10" t="str">
            <v>Спонсорство</v>
          </cell>
        </row>
        <row r="11">
          <cell r="B11" t="str">
            <v>Спонсорство</v>
          </cell>
          <cell r="C11" t="str">
            <v>КраснодарСпонсорство</v>
          </cell>
        </row>
        <row r="12">
          <cell r="B12" t="str">
            <v>Прямая Реклама</v>
          </cell>
          <cell r="C12" t="str">
            <v>ВоронежПрямая Реклама</v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</sheetData>
      <sheetData sheetId="19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Прямая Реклама</v>
          </cell>
          <cell r="C4" t="str">
            <v>МоскваПрямая Реклама</v>
          </cell>
        </row>
        <row r="5">
          <cell r="B5" t="str">
            <v>Прямая Реклама</v>
          </cell>
          <cell r="C5" t="str">
            <v>МоскваПрямая Реклама</v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  <row r="996">
          <cell r="C996" t="str">
            <v/>
          </cell>
        </row>
        <row r="997">
          <cell r="C997" t="str">
            <v/>
          </cell>
        </row>
        <row r="998">
          <cell r="C998" t="str">
            <v/>
          </cell>
        </row>
        <row r="999">
          <cell r="C999" t="str">
            <v/>
          </cell>
        </row>
        <row r="1000">
          <cell r="C1000" t="str">
            <v/>
          </cell>
        </row>
        <row r="1001">
          <cell r="C1001" t="str">
            <v/>
          </cell>
        </row>
        <row r="1002">
          <cell r="C1002" t="str">
            <v/>
          </cell>
        </row>
        <row r="1003">
          <cell r="C1003" t="str">
            <v/>
          </cell>
        </row>
        <row r="1004">
          <cell r="C1004" t="str">
            <v/>
          </cell>
        </row>
        <row r="1005">
          <cell r="C1005" t="str">
            <v/>
          </cell>
        </row>
        <row r="1006">
          <cell r="C1006" t="str">
            <v/>
          </cell>
        </row>
        <row r="1007">
          <cell r="C1007" t="str">
            <v/>
          </cell>
        </row>
        <row r="1008">
          <cell r="C1008" t="str">
            <v/>
          </cell>
        </row>
        <row r="1009">
          <cell r="C1009" t="str">
            <v/>
          </cell>
        </row>
        <row r="1010">
          <cell r="C1010" t="str">
            <v/>
          </cell>
        </row>
        <row r="1011">
          <cell r="C1011" t="str">
            <v/>
          </cell>
        </row>
        <row r="1012">
          <cell r="C1012" t="str">
            <v/>
          </cell>
        </row>
        <row r="1013">
          <cell r="C1013" t="str">
            <v/>
          </cell>
        </row>
        <row r="1014">
          <cell r="C1014" t="str">
            <v/>
          </cell>
        </row>
        <row r="1015">
          <cell r="C1015" t="str">
            <v/>
          </cell>
        </row>
        <row r="1016">
          <cell r="C1016" t="str">
            <v/>
          </cell>
        </row>
        <row r="1017">
          <cell r="C1017" t="str">
            <v/>
          </cell>
        </row>
        <row r="1018">
          <cell r="C1018" t="str">
            <v/>
          </cell>
        </row>
        <row r="1019">
          <cell r="C1019" t="str">
            <v/>
          </cell>
        </row>
        <row r="1020">
          <cell r="C1020" t="str">
            <v/>
          </cell>
        </row>
        <row r="1021">
          <cell r="C1021" t="str">
            <v/>
          </cell>
        </row>
        <row r="1022">
          <cell r="C1022" t="str">
            <v/>
          </cell>
        </row>
        <row r="1023">
          <cell r="C1023" t="str">
            <v/>
          </cell>
        </row>
        <row r="1024">
          <cell r="C1024" t="str">
            <v/>
          </cell>
        </row>
        <row r="1025">
          <cell r="C1025" t="str">
            <v/>
          </cell>
        </row>
        <row r="1026">
          <cell r="C1026" t="str">
            <v/>
          </cell>
        </row>
        <row r="1027">
          <cell r="C1027" t="str">
            <v/>
          </cell>
        </row>
        <row r="1028">
          <cell r="C1028" t="str">
            <v/>
          </cell>
        </row>
      </sheetData>
      <sheetData sheetId="20">
        <row r="2">
          <cell r="F2" t="str">
            <v>Видео</v>
          </cell>
          <cell r="G2">
            <v>0</v>
          </cell>
          <cell r="I2" t="str">
            <v>Статьи о событии</v>
          </cell>
          <cell r="J2">
            <v>0.3</v>
          </cell>
          <cell r="S2" t="str">
            <v>Sostav</v>
          </cell>
          <cell r="T2">
            <v>597713.65596801427</v>
          </cell>
          <cell r="W2" t="str">
            <v>Концерт</v>
          </cell>
          <cell r="X2">
            <v>0</v>
          </cell>
        </row>
        <row r="3">
          <cell r="F3" t="str">
            <v>Баннеры</v>
          </cell>
          <cell r="G3">
            <v>0</v>
          </cell>
          <cell r="I3" t="str">
            <v>Статьи с упоминанием события</v>
          </cell>
          <cell r="J3">
            <v>0.3</v>
          </cell>
          <cell r="S3" t="str">
            <v>Marie Claire</v>
          </cell>
          <cell r="T3">
            <v>4721667.5076822825</v>
          </cell>
          <cell r="W3" t="str">
            <v>Фестиваль</v>
          </cell>
          <cell r="X3">
            <v>0.2</v>
          </cell>
        </row>
        <row r="4">
          <cell r="F4" t="str">
            <v>Аудио</v>
          </cell>
          <cell r="G4">
            <v>0</v>
          </cell>
          <cell r="I4" t="str">
            <v>Посев в TG</v>
          </cell>
          <cell r="J4">
            <v>0</v>
          </cell>
          <cell r="S4" t="str">
            <v>НСН</v>
          </cell>
          <cell r="T4">
            <v>1938574.202679635</v>
          </cell>
          <cell r="W4" t="str">
            <v>Площадка</v>
          </cell>
          <cell r="X4">
            <v>0.2</v>
          </cell>
        </row>
        <row r="5">
          <cell r="F5" t="str">
            <v>Промо-пост</v>
          </cell>
          <cell r="G5">
            <v>0</v>
          </cell>
          <cell r="I5" t="str">
            <v>Посев в VK</v>
          </cell>
          <cell r="J5">
            <v>0</v>
          </cell>
          <cell r="S5" t="str">
            <v>Woman.ru</v>
          </cell>
          <cell r="T5">
            <v>51172708.560656197</v>
          </cell>
        </row>
        <row r="6">
          <cell r="F6" t="str">
            <v>Карусель</v>
          </cell>
          <cell r="G6">
            <v>0</v>
          </cell>
          <cell r="I6" t="str">
            <v>Блогеры в TG</v>
          </cell>
          <cell r="J6">
            <v>0</v>
          </cell>
          <cell r="S6" t="str">
            <v>Thegirl.ru</v>
          </cell>
          <cell r="T6">
            <v>7870427.6536969496</v>
          </cell>
        </row>
        <row r="7">
          <cell r="F7" t="str">
            <v>OLV - размещение в видео (in-stream)</v>
          </cell>
          <cell r="G7">
            <v>0</v>
          </cell>
          <cell r="I7" t="str">
            <v>Блогеры в VK</v>
          </cell>
          <cell r="J7">
            <v>0</v>
          </cell>
          <cell r="S7" t="str">
            <v>The Blueprint</v>
          </cell>
          <cell r="T7">
            <v>496020.63289698312</v>
          </cell>
        </row>
        <row r="8">
          <cell r="F8" t="str">
            <v>HTML5 баннер</v>
          </cell>
          <cell r="G8">
            <v>0</v>
          </cell>
          <cell r="S8" t="str">
            <v>AdIndex</v>
          </cell>
          <cell r="T8">
            <v>183444.87935989175</v>
          </cell>
        </row>
        <row r="9">
          <cell r="F9" t="str">
            <v>Билборд в ВК</v>
          </cell>
          <cell r="G9">
            <v>0</v>
          </cell>
          <cell r="S9" t="str">
            <v>РБК</v>
          </cell>
          <cell r="T9">
            <v>88982843.699506789</v>
          </cell>
        </row>
        <row r="10">
          <cell r="F10" t="str">
            <v>Видео без продвижения</v>
          </cell>
          <cell r="G10">
            <v>0.3</v>
          </cell>
          <cell r="S10" t="str">
            <v>Коммерсант</v>
          </cell>
          <cell r="T10">
            <v>31732986.691808753</v>
          </cell>
        </row>
        <row r="11">
          <cell r="F11" t="str">
            <v>Промо-пост без продвижения</v>
          </cell>
          <cell r="G11">
            <v>0.3</v>
          </cell>
          <cell r="S11" t="str">
            <v>Известия</v>
          </cell>
          <cell r="T11">
            <v>25967770.028713658</v>
          </cell>
        </row>
        <row r="12">
          <cell r="S12" t="str">
            <v>100 тыс</v>
          </cell>
          <cell r="T12">
            <v>100000</v>
          </cell>
        </row>
        <row r="13">
          <cell r="S13" t="str">
            <v>200 тыс</v>
          </cell>
          <cell r="T13">
            <v>200000</v>
          </cell>
        </row>
        <row r="14">
          <cell r="S14" t="str">
            <v>300 тыс</v>
          </cell>
          <cell r="T14">
            <v>300000</v>
          </cell>
        </row>
        <row r="15">
          <cell r="S15" t="str">
            <v>400 тыс</v>
          </cell>
          <cell r="T15">
            <v>400000</v>
          </cell>
        </row>
        <row r="16">
          <cell r="S16" t="str">
            <v>500 тыс</v>
          </cell>
          <cell r="T16">
            <v>500000</v>
          </cell>
        </row>
        <row r="17">
          <cell r="S17" t="str">
            <v>1 млн</v>
          </cell>
          <cell r="T17">
            <v>1000000</v>
          </cell>
        </row>
      </sheetData>
      <sheetData sheetId="21">
        <row r="2">
          <cell r="A2" t="str">
            <v>Специальные проекты (среднее время на проекте)</v>
          </cell>
          <cell r="B2">
            <v>150</v>
          </cell>
          <cell r="C2">
            <v>1</v>
          </cell>
          <cell r="D2">
            <v>150</v>
          </cell>
          <cell r="E2">
            <v>1.5</v>
          </cell>
          <cell r="F2">
            <v>225</v>
          </cell>
          <cell r="G2">
            <v>2</v>
          </cell>
        </row>
        <row r="3">
          <cell r="A3" t="str">
            <v>Креативные видео интеграции в шоу (VK, YT)</v>
          </cell>
          <cell r="B3">
            <v>120</v>
          </cell>
          <cell r="C3">
            <v>0.85</v>
          </cell>
          <cell r="D3">
            <v>102</v>
          </cell>
          <cell r="E3">
            <v>1.3</v>
          </cell>
          <cell r="F3">
            <v>132.6</v>
          </cell>
          <cell r="G3">
            <v>2</v>
          </cell>
        </row>
        <row r="4">
          <cell r="A4" t="str">
            <v>Нативные видео интеграции у блогеров (VK, YT)</v>
          </cell>
          <cell r="B4">
            <v>90</v>
          </cell>
          <cell r="C4">
            <v>0.8</v>
          </cell>
          <cell r="D4">
            <v>72</v>
          </cell>
          <cell r="E4">
            <v>1.1000000000000001</v>
          </cell>
          <cell r="F4">
            <v>79.2</v>
          </cell>
          <cell r="G4">
            <v>2</v>
          </cell>
        </row>
        <row r="5">
          <cell r="A5" t="str">
            <v>Альт-роллы YT</v>
          </cell>
          <cell r="B5">
            <v>20</v>
          </cell>
          <cell r="C5">
            <v>0.7</v>
          </cell>
          <cell r="D5">
            <v>14</v>
          </cell>
          <cell r="E5">
            <v>1.05</v>
          </cell>
          <cell r="F5">
            <v>14.7</v>
          </cell>
          <cell r="G5">
            <v>2</v>
          </cell>
        </row>
        <row r="6">
          <cell r="A6" t="str">
            <v>ТВ</v>
          </cell>
          <cell r="B6">
            <v>5</v>
          </cell>
          <cell r="C6">
            <v>0.8</v>
          </cell>
          <cell r="D6">
            <v>4</v>
          </cell>
          <cell r="E6">
            <v>1</v>
          </cell>
          <cell r="F6">
            <v>4</v>
          </cell>
          <cell r="G6">
            <v>12</v>
          </cell>
        </row>
        <row r="7">
          <cell r="A7" t="str">
            <v>Видео</v>
          </cell>
          <cell r="B7">
            <v>20</v>
          </cell>
          <cell r="C7">
            <v>0.77</v>
          </cell>
          <cell r="D7">
            <v>15.4</v>
          </cell>
          <cell r="E7">
            <v>0.9</v>
          </cell>
          <cell r="F7">
            <v>13.86</v>
          </cell>
          <cell r="G7">
            <v>4</v>
          </cell>
        </row>
        <row r="8">
          <cell r="A8" t="str">
            <v>Smart ТВ</v>
          </cell>
          <cell r="B8">
            <v>20</v>
          </cell>
          <cell r="C8">
            <v>0.8</v>
          </cell>
          <cell r="D8">
            <v>16</v>
          </cell>
          <cell r="E8">
            <v>0.95</v>
          </cell>
          <cell r="F8">
            <v>15.2</v>
          </cell>
          <cell r="G8">
            <v>3</v>
          </cell>
        </row>
        <row r="9">
          <cell r="A9" t="str">
            <v>Rewarded Видео</v>
          </cell>
          <cell r="B9">
            <v>15</v>
          </cell>
          <cell r="C9">
            <v>0.8</v>
          </cell>
          <cell r="D9">
            <v>12</v>
          </cell>
          <cell r="E9">
            <v>0.85</v>
          </cell>
          <cell r="F9">
            <v>10.199999999999999</v>
          </cell>
          <cell r="G9">
            <v>4</v>
          </cell>
        </row>
        <row r="10">
          <cell r="A10" t="str">
            <v>Блогеры (посты в ленте)</v>
          </cell>
          <cell r="B10" t="str">
            <v>0-60</v>
          </cell>
          <cell r="C10">
            <v>7</v>
          </cell>
          <cell r="D10">
            <v>7</v>
          </cell>
          <cell r="E10">
            <v>0.77</v>
          </cell>
          <cell r="F10">
            <v>5.38</v>
          </cell>
          <cell r="G10">
            <v>2</v>
          </cell>
        </row>
        <row r="11">
          <cell r="A11" t="str">
            <v>Посев в группах (посты в ленте)</v>
          </cell>
          <cell r="B11" t="str">
            <v>0-60</v>
          </cell>
          <cell r="C11">
            <v>5</v>
          </cell>
          <cell r="D11">
            <v>5</v>
          </cell>
          <cell r="E11">
            <v>0.7</v>
          </cell>
          <cell r="F11">
            <v>3.52</v>
          </cell>
          <cell r="G11">
            <v>3</v>
          </cell>
        </row>
        <row r="12">
          <cell r="A12" t="str">
            <v>TG стикеры</v>
          </cell>
          <cell r="B12" t="str">
            <v>-</v>
          </cell>
          <cell r="C12">
            <v>7</v>
          </cell>
          <cell r="D12">
            <v>7</v>
          </cell>
          <cell r="E12">
            <v>0.74</v>
          </cell>
          <cell r="F12">
            <v>5.15</v>
          </cell>
          <cell r="G12">
            <v>3</v>
          </cell>
        </row>
        <row r="13">
          <cell r="A13" t="str">
            <v>Радио</v>
          </cell>
          <cell r="B13">
            <v>15</v>
          </cell>
          <cell r="C13">
            <v>0.8</v>
          </cell>
          <cell r="D13">
            <v>12</v>
          </cell>
          <cell r="E13">
            <v>0.66</v>
          </cell>
          <cell r="F13">
            <v>7.92</v>
          </cell>
          <cell r="G13">
            <v>6</v>
          </cell>
        </row>
        <row r="14">
          <cell r="A14" t="str">
            <v>Промо-пост</v>
          </cell>
          <cell r="B14" t="str">
            <v>0-20</v>
          </cell>
          <cell r="C14">
            <v>1.5</v>
          </cell>
          <cell r="D14">
            <v>1.5</v>
          </cell>
          <cell r="E14">
            <v>0.64</v>
          </cell>
          <cell r="F14">
            <v>0.96</v>
          </cell>
          <cell r="G14">
            <v>5</v>
          </cell>
        </row>
        <row r="15">
          <cell r="A15" t="str">
            <v>Telegram Ads</v>
          </cell>
          <cell r="B15" t="str">
            <v>0-20</v>
          </cell>
          <cell r="C15">
            <v>1.5</v>
          </cell>
          <cell r="D15">
            <v>1.5</v>
          </cell>
          <cell r="E15">
            <v>0.67</v>
          </cell>
          <cell r="F15">
            <v>1.01</v>
          </cell>
          <cell r="G15">
            <v>4</v>
          </cell>
        </row>
        <row r="16">
          <cell r="A16" t="str">
            <v>Баннеры</v>
          </cell>
          <cell r="B16" t="str">
            <v>0-6</v>
          </cell>
          <cell r="C16">
            <v>2</v>
          </cell>
          <cell r="D16">
            <v>2</v>
          </cell>
          <cell r="E16">
            <v>0.57999999999999996</v>
          </cell>
          <cell r="F16">
            <v>1.1599999999999999</v>
          </cell>
          <cell r="G16">
            <v>5</v>
          </cell>
        </row>
        <row r="17">
          <cell r="A17" t="str">
            <v>Маркетплейсы</v>
          </cell>
          <cell r="B17" t="str">
            <v>0-6</v>
          </cell>
          <cell r="C17">
            <v>2</v>
          </cell>
          <cell r="D17">
            <v>4</v>
          </cell>
          <cell r="E17">
            <v>0.57999999999999996</v>
          </cell>
          <cell r="F17">
            <v>2.3199999999999998</v>
          </cell>
          <cell r="G17">
            <v>3</v>
          </cell>
        </row>
        <row r="18">
          <cell r="A18" t="str">
            <v>Аудио</v>
          </cell>
          <cell r="B18">
            <v>15</v>
          </cell>
          <cell r="C18">
            <v>0.8</v>
          </cell>
          <cell r="D18">
            <v>12</v>
          </cell>
          <cell r="E18">
            <v>0.59</v>
          </cell>
          <cell r="F18">
            <v>7.13</v>
          </cell>
          <cell r="G18">
            <v>2</v>
          </cell>
        </row>
        <row r="19">
          <cell r="A19" t="str">
            <v>Метро</v>
          </cell>
          <cell r="B19" t="str">
            <v>0-5, от 1 до 5</v>
          </cell>
          <cell r="C19">
            <v>5</v>
          </cell>
          <cell r="D19">
            <v>5</v>
          </cell>
          <cell r="E19">
            <v>0.6</v>
          </cell>
          <cell r="F19">
            <v>3</v>
          </cell>
          <cell r="G19">
            <v>10</v>
          </cell>
        </row>
        <row r="20">
          <cell r="A20" t="str">
            <v>Кассы самообслуживания в супермаркетах</v>
          </cell>
          <cell r="B20" t="str">
            <v>0-5</v>
          </cell>
          <cell r="C20">
            <v>1.5</v>
          </cell>
          <cell r="D20">
            <v>1.5</v>
          </cell>
          <cell r="E20">
            <v>0.64</v>
          </cell>
          <cell r="F20">
            <v>0.96</v>
          </cell>
          <cell r="G20">
            <v>4</v>
          </cell>
        </row>
        <row r="21">
          <cell r="A21" t="str">
            <v>Indoor</v>
          </cell>
          <cell r="B21" t="str">
            <v>0-5</v>
          </cell>
          <cell r="C21">
            <v>5</v>
          </cell>
          <cell r="D21">
            <v>5</v>
          </cell>
          <cell r="E21">
            <v>0.6</v>
          </cell>
          <cell r="F21">
            <v>3</v>
          </cell>
          <cell r="G21">
            <v>5</v>
          </cell>
        </row>
        <row r="22">
          <cell r="A22" t="str">
            <v>ООН</v>
          </cell>
          <cell r="B22" t="str">
            <v>0-5</v>
          </cell>
          <cell r="C22">
            <v>3</v>
          </cell>
          <cell r="D22">
            <v>3</v>
          </cell>
          <cell r="E22">
            <v>0.5</v>
          </cell>
          <cell r="F22">
            <v>1.5</v>
          </cell>
          <cell r="G22">
            <v>15</v>
          </cell>
        </row>
        <row r="23">
          <cell r="A23" t="str">
            <v>Карусель</v>
          </cell>
          <cell r="B23" t="str">
            <v>0-20</v>
          </cell>
          <cell r="C23">
            <v>1.5</v>
          </cell>
          <cell r="D23">
            <v>1.5</v>
          </cell>
          <cell r="E23">
            <v>0.64</v>
          </cell>
          <cell r="F23">
            <v>0.96</v>
          </cell>
          <cell r="G23">
            <v>5</v>
          </cell>
        </row>
        <row r="24">
          <cell r="A24" t="str">
            <v>OLV - размещение в видео (in-stream)</v>
          </cell>
          <cell r="B24">
            <v>20</v>
          </cell>
          <cell r="C24">
            <v>0.77</v>
          </cell>
          <cell r="D24">
            <v>15.4</v>
          </cell>
          <cell r="E24">
            <v>0.9</v>
          </cell>
          <cell r="F24">
            <v>13.86</v>
          </cell>
          <cell r="G24">
            <v>4</v>
          </cell>
        </row>
        <row r="25">
          <cell r="A25" t="str">
            <v>HTML5 баннер</v>
          </cell>
          <cell r="B25" t="str">
            <v>0-20</v>
          </cell>
          <cell r="C25">
            <v>1.5</v>
          </cell>
          <cell r="D25">
            <v>1.5</v>
          </cell>
          <cell r="E25">
            <v>0.64</v>
          </cell>
          <cell r="F25">
            <v>0.96</v>
          </cell>
          <cell r="G25">
            <v>5</v>
          </cell>
        </row>
        <row r="26">
          <cell r="A26" t="str">
            <v>Билборд в ВК</v>
          </cell>
          <cell r="B26" t="str">
            <v>0-20</v>
          </cell>
          <cell r="C26">
            <v>1.5</v>
          </cell>
          <cell r="D26">
            <v>1.5</v>
          </cell>
          <cell r="E26">
            <v>0.64</v>
          </cell>
          <cell r="F26">
            <v>0.96</v>
          </cell>
          <cell r="G26">
            <v>5</v>
          </cell>
        </row>
        <row r="27">
          <cell r="A27" t="str">
            <v>Видео без продвижения</v>
          </cell>
          <cell r="B27">
            <v>20</v>
          </cell>
          <cell r="C27">
            <v>0.77</v>
          </cell>
          <cell r="D27">
            <v>15.4</v>
          </cell>
          <cell r="E27">
            <v>0.9</v>
          </cell>
          <cell r="F27">
            <v>13.86</v>
          </cell>
          <cell r="G27">
            <v>4</v>
          </cell>
        </row>
        <row r="28">
          <cell r="A28" t="str">
            <v>Промо-пост без продвижения</v>
          </cell>
          <cell r="B28" t="str">
            <v>0-20</v>
          </cell>
          <cell r="C28">
            <v>1.5</v>
          </cell>
          <cell r="D28">
            <v>1.5</v>
          </cell>
          <cell r="E28">
            <v>0.64</v>
          </cell>
          <cell r="F28">
            <v>0.96</v>
          </cell>
          <cell r="G28">
            <v>5</v>
          </cell>
        </row>
        <row r="33">
          <cell r="A33" t="str">
            <v>заменяемые параметры</v>
          </cell>
        </row>
        <row r="34">
          <cell r="A34" t="str">
            <v>добавленная эстимация</v>
          </cell>
        </row>
        <row r="37">
          <cell r="A37" t="str">
            <v>Источник: оценка агентства OMD</v>
          </cell>
        </row>
        <row r="39">
          <cell r="E39" t="e">
            <v>#REF!</v>
          </cell>
        </row>
      </sheetData>
      <sheetData sheetId="22"/>
      <sheetData sheetId="23">
        <row r="2">
          <cell r="A2" t="str">
            <v>Голосовое сообщение до старта мероприятия</v>
          </cell>
          <cell r="B2">
            <v>0.8</v>
          </cell>
          <cell r="C2">
            <v>1</v>
          </cell>
          <cell r="D2" t="str">
            <v>персональные браслеты (фан зона/танц пол)</v>
          </cell>
          <cell r="E2">
            <v>0.9</v>
          </cell>
          <cell r="F2">
            <v>5</v>
          </cell>
          <cell r="G2" t="str">
            <v>Различные акции с участием промо-персонала</v>
          </cell>
          <cell r="H2">
            <v>0.2</v>
          </cell>
          <cell r="I2">
            <v>1.5</v>
          </cell>
          <cell r="J2" t="str">
            <v xml:space="preserve">Интеграция в шоу (например, сброс брендированных шаров, упоминания от артиста на сцене)
</v>
          </cell>
          <cell r="K2">
            <v>0.8</v>
          </cell>
          <cell r="L2">
            <v>1.5</v>
          </cell>
          <cell r="M2" t="str">
            <v>AR-фотозона (с интерактивом)</v>
          </cell>
          <cell r="N2">
            <v>0.1</v>
          </cell>
          <cell r="O2">
            <v>2</v>
          </cell>
          <cell r="P2" t="str">
            <v>Экраны на сцене</v>
          </cell>
          <cell r="Q2">
            <v>0.8</v>
          </cell>
          <cell r="R2">
            <v>3</v>
          </cell>
          <cell r="S2" t="str">
            <v>Интеграция в фото и видео отчеты</v>
          </cell>
          <cell r="U2">
            <v>1</v>
          </cell>
        </row>
        <row r="3">
          <cell r="A3" t="str">
            <v xml:space="preserve">Голосовое сообщение во время мероприятия </v>
          </cell>
          <cell r="B3">
            <v>0.9</v>
          </cell>
          <cell r="C3">
            <v>1</v>
          </cell>
          <cell r="D3" t="str">
            <v>бренд-зона/лаундж-зона</v>
          </cell>
          <cell r="E3">
            <v>0.7</v>
          </cell>
          <cell r="F3">
            <v>1.5</v>
          </cell>
          <cell r="M3" t="str">
            <v>Посты в социальных сетях, опубликованные посетителями мероприятия</v>
          </cell>
          <cell r="N3">
            <v>0.05</v>
          </cell>
          <cell r="O3">
            <v>1</v>
          </cell>
          <cell r="P3" t="str">
            <v>Экраны в чаше локации/стадиона</v>
          </cell>
          <cell r="Q3">
            <v>0.8</v>
          </cell>
          <cell r="R3">
            <v>3</v>
          </cell>
          <cell r="S3" t="str">
            <v>PR публикации</v>
          </cell>
          <cell r="U3">
            <v>1</v>
          </cell>
        </row>
        <row r="4">
          <cell r="D4" t="str">
            <v>печатные баннеры/бегущие строки на трибунах</v>
          </cell>
          <cell r="E4">
            <v>0.7</v>
          </cell>
          <cell r="F4">
            <v>3</v>
          </cell>
          <cell r="M4" t="str">
            <v>Фотозона</v>
          </cell>
          <cell r="N4">
            <v>0.2</v>
          </cell>
          <cell r="O4">
            <v>2</v>
          </cell>
          <cell r="P4" t="str">
            <v>Плазменные панели на територии локации/стадиона</v>
          </cell>
          <cell r="Q4">
            <v>0.8</v>
          </cell>
          <cell r="R4">
            <v>3</v>
          </cell>
          <cell r="S4" t="str">
            <v>Интеграция в посты у артиста</v>
          </cell>
          <cell r="U4">
            <v>1</v>
          </cell>
        </row>
        <row r="5">
          <cell r="D5" t="str">
            <v>брендинг вип-зоны</v>
          </cell>
          <cell r="E5">
            <v>0.1</v>
          </cell>
          <cell r="F5">
            <v>3</v>
          </cell>
          <cell r="P5" t="str">
            <v xml:space="preserve">Лого на входе </v>
          </cell>
          <cell r="Q5">
            <v>0.8</v>
          </cell>
          <cell r="R5">
            <v>1</v>
          </cell>
        </row>
        <row r="6">
          <cell r="D6" t="str">
            <v>брендинг кресел во всем зале</v>
          </cell>
          <cell r="E6">
            <v>0.9</v>
          </cell>
          <cell r="F6">
            <v>3</v>
          </cell>
        </row>
        <row r="7">
          <cell r="D7" t="str">
            <v>брендинг сидушек/пуфиков/шезлонгов в общих зонах</v>
          </cell>
          <cell r="E7">
            <v>0.9</v>
          </cell>
          <cell r="F7">
            <v>2</v>
          </cell>
        </row>
        <row r="8">
          <cell r="D8" t="str">
            <v>брендинг браслетов</v>
          </cell>
          <cell r="E8">
            <v>0.9</v>
          </cell>
          <cell r="F8">
            <v>6</v>
          </cell>
        </row>
        <row r="9">
          <cell r="D9" t="str">
            <v>флаги/штендеры/лайтбоксы/расклеенные печатные лого/тейбл-тенты на локации мероприятия</v>
          </cell>
          <cell r="E9">
            <v>0.8</v>
          </cell>
          <cell r="F9">
            <v>1.5</v>
          </cell>
        </row>
        <row r="10">
          <cell r="D10" t="str">
            <v>брендинг зоны бара</v>
          </cell>
          <cell r="E10">
            <v>0.6</v>
          </cell>
          <cell r="F10">
            <v>1</v>
          </cell>
        </row>
        <row r="11">
          <cell r="D11" t="str">
            <v>брендинг сцены/спортивной площадки (например, логотип на льду на хоккее)</v>
          </cell>
          <cell r="E11">
            <v>0.9</v>
          </cell>
          <cell r="F11">
            <v>1</v>
          </cell>
        </row>
        <row r="12">
          <cell r="D12" t="str">
            <v>брендинг меню</v>
          </cell>
          <cell r="E12">
            <v>0.6</v>
          </cell>
          <cell r="F12">
            <v>4</v>
          </cell>
        </row>
        <row r="13">
          <cell r="D13" t="str">
            <v>брендинг посуды в баре</v>
          </cell>
          <cell r="E13">
            <v>0.6</v>
          </cell>
          <cell r="F13">
            <v>1</v>
          </cell>
        </row>
        <row r="14">
          <cell r="D14" t="str">
            <v>брендинг гардероба</v>
          </cell>
          <cell r="E14">
            <v>0.9</v>
          </cell>
          <cell r="F14">
            <v>2</v>
          </cell>
        </row>
        <row r="15">
          <cell r="D15" t="str">
            <v>брендинг номерков</v>
          </cell>
          <cell r="E15">
            <v>0.9</v>
          </cell>
          <cell r="F15">
            <v>2</v>
          </cell>
        </row>
        <row r="16">
          <cell r="D16" t="str">
            <v>брендинг зоны туалета</v>
          </cell>
          <cell r="E16">
            <v>0.9</v>
          </cell>
          <cell r="F16">
            <v>1</v>
          </cell>
        </row>
        <row r="17">
          <cell r="D17" t="str">
            <v>брендированная зона раздачи мерча</v>
          </cell>
          <cell r="E17">
            <v>0.7</v>
          </cell>
          <cell r="F17">
            <v>1</v>
          </cell>
        </row>
        <row r="18">
          <cell r="D18" t="str">
            <v>раздача/продажа брендированного мерча на площадке</v>
          </cell>
          <cell r="E18">
            <v>0.7</v>
          </cell>
          <cell r="F18">
            <v>1</v>
          </cell>
        </row>
        <row r="19">
          <cell r="D19" t="str">
            <v>брендированная раздатка (например, флешмоб с брендированными масками с лицом артиста)</v>
          </cell>
          <cell r="E19">
            <v>0.3</v>
          </cell>
          <cell r="F19">
            <v>3</v>
          </cell>
        </row>
        <row r="20">
          <cell r="D20" t="str">
            <v>размещение арт-объекта</v>
          </cell>
          <cell r="E20">
            <v>0.8</v>
          </cell>
          <cell r="F20">
            <v>1</v>
          </cell>
        </row>
        <row r="21">
          <cell r="D21" t="str">
            <v>брендинг одежды артистов/спорстменов</v>
          </cell>
          <cell r="E21">
            <v>0.8</v>
          </cell>
          <cell r="F21">
            <v>5</v>
          </cell>
        </row>
        <row r="22">
          <cell r="D22" t="str">
            <v>брендинг одежды персонала (бармены, гардеробщики)</v>
          </cell>
          <cell r="E22">
            <v>0.8</v>
          </cell>
          <cell r="F22">
            <v>2</v>
          </cell>
        </row>
        <row r="23">
          <cell r="D23" t="str">
            <v>брендирование подарков (новогодние елки)</v>
          </cell>
          <cell r="E23">
            <v>0.9</v>
          </cell>
          <cell r="F23">
            <v>1</v>
          </cell>
        </row>
        <row r="24">
          <cell r="D24" t="str">
            <v>AR-фотозона (с интерактивом)</v>
          </cell>
          <cell r="F24">
            <v>2</v>
          </cell>
        </row>
        <row r="25">
          <cell r="A25" t="str">
            <v>Источник: оценка агентства OMD</v>
          </cell>
          <cell r="D25" t="str">
            <v>Фотозона</v>
          </cell>
          <cell r="F25">
            <v>2</v>
          </cell>
        </row>
      </sheetData>
      <sheetData sheetId="24">
        <row r="1">
          <cell r="A1" t="str">
            <v>Регион</v>
          </cell>
        </row>
        <row r="2">
          <cell r="A2" t="str">
            <v>Воронеж</v>
          </cell>
        </row>
        <row r="3">
          <cell r="A3" t="str">
            <v>Воронеж</v>
          </cell>
        </row>
        <row r="4">
          <cell r="A4" t="str">
            <v>Воронеж</v>
          </cell>
        </row>
        <row r="5">
          <cell r="A5" t="str">
            <v>Воронеж</v>
          </cell>
        </row>
        <row r="6">
          <cell r="A6" t="str">
            <v>Воронеж</v>
          </cell>
        </row>
        <row r="7">
          <cell r="A7" t="str">
            <v>Воронеж</v>
          </cell>
        </row>
        <row r="8">
          <cell r="A8" t="str">
            <v>Воронеж</v>
          </cell>
        </row>
        <row r="9">
          <cell r="A9" t="str">
            <v>Воронеж</v>
          </cell>
        </row>
        <row r="10">
          <cell r="A10" t="str">
            <v>Воронеж</v>
          </cell>
        </row>
        <row r="11">
          <cell r="A11" t="str">
            <v>Воронеж</v>
          </cell>
        </row>
        <row r="12">
          <cell r="A12" t="str">
            <v>Воронеж</v>
          </cell>
        </row>
        <row r="13">
          <cell r="A13" t="str">
            <v>Воронеж</v>
          </cell>
        </row>
        <row r="14">
          <cell r="A14" t="str">
            <v>Воронеж</v>
          </cell>
        </row>
        <row r="15">
          <cell r="A15" t="str">
            <v>Воронеж</v>
          </cell>
        </row>
        <row r="16">
          <cell r="A16" t="str">
            <v>Воронеж</v>
          </cell>
        </row>
        <row r="17">
          <cell r="A17" t="str">
            <v>Воронеж</v>
          </cell>
        </row>
        <row r="18">
          <cell r="A18" t="str">
            <v>Воронеж</v>
          </cell>
        </row>
        <row r="19">
          <cell r="A19" t="str">
            <v>Воронеж</v>
          </cell>
        </row>
        <row r="20">
          <cell r="A20" t="str">
            <v>Воронеж</v>
          </cell>
        </row>
        <row r="21">
          <cell r="A21" t="str">
            <v>Воронеж</v>
          </cell>
        </row>
        <row r="22">
          <cell r="A22" t="str">
            <v>Воронеж</v>
          </cell>
        </row>
        <row r="23">
          <cell r="A23" t="str">
            <v>Воронеж</v>
          </cell>
        </row>
        <row r="24">
          <cell r="A24" t="str">
            <v>Воронеж</v>
          </cell>
        </row>
        <row r="25">
          <cell r="A25" t="str">
            <v>Воронеж</v>
          </cell>
        </row>
        <row r="26">
          <cell r="A26" t="str">
            <v>Воронеж</v>
          </cell>
        </row>
        <row r="27">
          <cell r="A27" t="str">
            <v>Воронеж</v>
          </cell>
        </row>
        <row r="28">
          <cell r="A28" t="str">
            <v>Воронеж</v>
          </cell>
        </row>
        <row r="29">
          <cell r="A29" t="str">
            <v>Воронеж</v>
          </cell>
        </row>
        <row r="30">
          <cell r="A30" t="str">
            <v>Воронеж</v>
          </cell>
        </row>
        <row r="31">
          <cell r="A31" t="str">
            <v>Воронеж</v>
          </cell>
        </row>
        <row r="32">
          <cell r="A32" t="str">
            <v>Воронеж</v>
          </cell>
        </row>
        <row r="33">
          <cell r="A33" t="str">
            <v>Воронеж</v>
          </cell>
        </row>
        <row r="34">
          <cell r="A34" t="str">
            <v>Воронеж</v>
          </cell>
        </row>
        <row r="35">
          <cell r="A35" t="str">
            <v>Воронеж</v>
          </cell>
        </row>
        <row r="36">
          <cell r="A36" t="str">
            <v>Воронеж</v>
          </cell>
        </row>
        <row r="37">
          <cell r="A37" t="str">
            <v>Воронеж</v>
          </cell>
        </row>
        <row r="38">
          <cell r="A38" t="str">
            <v>Воронеж</v>
          </cell>
        </row>
        <row r="39">
          <cell r="A39" t="str">
            <v>Воронеж</v>
          </cell>
        </row>
        <row r="40">
          <cell r="A40" t="str">
            <v>Воронеж</v>
          </cell>
        </row>
        <row r="41">
          <cell r="A41" t="str">
            <v>Екатеринбург</v>
          </cell>
        </row>
        <row r="42">
          <cell r="A42" t="str">
            <v>Екатеринбург</v>
          </cell>
        </row>
        <row r="43">
          <cell r="A43" t="str">
            <v>Екатеринбург</v>
          </cell>
        </row>
        <row r="44">
          <cell r="A44" t="str">
            <v>Екатеринбург</v>
          </cell>
        </row>
        <row r="45">
          <cell r="A45" t="str">
            <v>Екатеринбург</v>
          </cell>
        </row>
        <row r="46">
          <cell r="A46" t="str">
            <v>Екатеринбург</v>
          </cell>
        </row>
        <row r="47">
          <cell r="A47" t="str">
            <v>Екатеринбург</v>
          </cell>
        </row>
        <row r="48">
          <cell r="A48" t="str">
            <v>Екатеринбург</v>
          </cell>
        </row>
        <row r="49">
          <cell r="A49" t="str">
            <v>Екатеринбург</v>
          </cell>
        </row>
        <row r="50">
          <cell r="A50" t="str">
            <v>Екатеринбург</v>
          </cell>
        </row>
        <row r="51">
          <cell r="A51" t="str">
            <v>Екатеринбург</v>
          </cell>
        </row>
        <row r="52">
          <cell r="A52" t="str">
            <v>Екатеринбург</v>
          </cell>
        </row>
        <row r="53">
          <cell r="A53" t="str">
            <v>Екатеринбург</v>
          </cell>
        </row>
        <row r="54">
          <cell r="A54" t="str">
            <v>Екатеринбург</v>
          </cell>
        </row>
        <row r="55">
          <cell r="A55" t="str">
            <v>Екатеринбург</v>
          </cell>
        </row>
        <row r="56">
          <cell r="A56" t="str">
            <v>Екатеринбург</v>
          </cell>
        </row>
        <row r="57">
          <cell r="A57" t="str">
            <v>Екатеринбург</v>
          </cell>
        </row>
        <row r="58">
          <cell r="A58" t="str">
            <v>Екатеринбург</v>
          </cell>
        </row>
        <row r="59">
          <cell r="A59" t="str">
            <v>Екатеринбург</v>
          </cell>
        </row>
        <row r="60">
          <cell r="A60" t="str">
            <v>Екатеринбург</v>
          </cell>
        </row>
        <row r="61">
          <cell r="A61" t="str">
            <v>Екатеринбург</v>
          </cell>
        </row>
        <row r="62">
          <cell r="A62" t="str">
            <v>Екатеринбург</v>
          </cell>
        </row>
        <row r="63">
          <cell r="A63" t="str">
            <v>Екатеринбург</v>
          </cell>
        </row>
        <row r="64">
          <cell r="A64" t="str">
            <v>Екатеринбург</v>
          </cell>
        </row>
        <row r="65">
          <cell r="A65" t="str">
            <v>Екатеринбург</v>
          </cell>
        </row>
        <row r="66">
          <cell r="A66" t="str">
            <v>Екатеринбург</v>
          </cell>
        </row>
        <row r="67">
          <cell r="A67" t="str">
            <v>Екатеринбург</v>
          </cell>
        </row>
        <row r="68">
          <cell r="A68" t="str">
            <v>Екатеринбург</v>
          </cell>
        </row>
        <row r="69">
          <cell r="A69" t="str">
            <v>Екатеринбург</v>
          </cell>
        </row>
        <row r="70">
          <cell r="A70" t="str">
            <v>Екатеринбург</v>
          </cell>
        </row>
        <row r="71">
          <cell r="A71" t="str">
            <v>Екатеринбург</v>
          </cell>
        </row>
        <row r="72">
          <cell r="A72" t="str">
            <v>Екатеринбург</v>
          </cell>
        </row>
        <row r="73">
          <cell r="A73" t="str">
            <v>Екатеринбург</v>
          </cell>
        </row>
        <row r="74">
          <cell r="A74" t="str">
            <v>Екатеринбург</v>
          </cell>
        </row>
        <row r="75">
          <cell r="A75" t="str">
            <v>Екатеринбург</v>
          </cell>
        </row>
        <row r="76">
          <cell r="A76" t="str">
            <v>Екатеринбург</v>
          </cell>
        </row>
        <row r="77">
          <cell r="A77" t="str">
            <v>Екатеринбург</v>
          </cell>
        </row>
        <row r="78">
          <cell r="A78" t="str">
            <v>Екатеринбург</v>
          </cell>
        </row>
        <row r="79">
          <cell r="A79" t="str">
            <v>Екатеринбург</v>
          </cell>
        </row>
        <row r="80">
          <cell r="A80" t="str">
            <v>Екатеринбург</v>
          </cell>
        </row>
        <row r="81">
          <cell r="A81" t="str">
            <v>Екатеринбург</v>
          </cell>
        </row>
        <row r="82">
          <cell r="A82" t="str">
            <v>Казань</v>
          </cell>
        </row>
        <row r="83">
          <cell r="A83" t="str">
            <v>Казань</v>
          </cell>
        </row>
        <row r="84">
          <cell r="A84" t="str">
            <v>Казань</v>
          </cell>
        </row>
        <row r="85">
          <cell r="A85" t="str">
            <v>Казань</v>
          </cell>
        </row>
        <row r="86">
          <cell r="A86" t="str">
            <v>Казань</v>
          </cell>
        </row>
        <row r="87">
          <cell r="A87" t="str">
            <v>Казань</v>
          </cell>
        </row>
        <row r="88">
          <cell r="A88" t="str">
            <v>Казань</v>
          </cell>
        </row>
        <row r="89">
          <cell r="A89" t="str">
            <v>Казань</v>
          </cell>
        </row>
        <row r="90">
          <cell r="A90" t="str">
            <v>Казань</v>
          </cell>
        </row>
        <row r="91">
          <cell r="A91" t="str">
            <v>Казань</v>
          </cell>
        </row>
        <row r="92">
          <cell r="A92" t="str">
            <v>Казань</v>
          </cell>
        </row>
        <row r="93">
          <cell r="A93" t="str">
            <v>Казань</v>
          </cell>
        </row>
        <row r="94">
          <cell r="A94" t="str">
            <v>Казань</v>
          </cell>
        </row>
        <row r="95">
          <cell r="A95" t="str">
            <v>Казань</v>
          </cell>
        </row>
        <row r="96">
          <cell r="A96" t="str">
            <v>Казань</v>
          </cell>
        </row>
        <row r="97">
          <cell r="A97" t="str">
            <v>Казань</v>
          </cell>
        </row>
        <row r="98">
          <cell r="A98" t="str">
            <v>Казань</v>
          </cell>
        </row>
        <row r="99">
          <cell r="A99" t="str">
            <v>Казань</v>
          </cell>
        </row>
        <row r="100">
          <cell r="A100" t="str">
            <v>Казань</v>
          </cell>
        </row>
        <row r="101">
          <cell r="A101" t="str">
            <v>Казань</v>
          </cell>
        </row>
        <row r="102">
          <cell r="A102" t="str">
            <v>Казань</v>
          </cell>
        </row>
        <row r="103">
          <cell r="A103" t="str">
            <v>Казань</v>
          </cell>
        </row>
        <row r="104">
          <cell r="A104" t="str">
            <v>Казань</v>
          </cell>
        </row>
        <row r="105">
          <cell r="A105" t="str">
            <v>Казань</v>
          </cell>
        </row>
        <row r="106">
          <cell r="A106" t="str">
            <v>Казань</v>
          </cell>
        </row>
        <row r="107">
          <cell r="A107" t="str">
            <v>Казань</v>
          </cell>
        </row>
        <row r="108">
          <cell r="A108" t="str">
            <v>Казань</v>
          </cell>
        </row>
        <row r="109">
          <cell r="A109" t="str">
            <v>Казань</v>
          </cell>
        </row>
        <row r="110">
          <cell r="A110" t="str">
            <v>Казань</v>
          </cell>
        </row>
        <row r="111">
          <cell r="A111" t="str">
            <v>Казань</v>
          </cell>
        </row>
        <row r="112">
          <cell r="A112" t="str">
            <v>Казань</v>
          </cell>
        </row>
        <row r="113">
          <cell r="A113" t="str">
            <v>Казань</v>
          </cell>
        </row>
        <row r="114">
          <cell r="A114" t="str">
            <v>Казань</v>
          </cell>
        </row>
        <row r="115">
          <cell r="A115" t="str">
            <v>Казань</v>
          </cell>
        </row>
        <row r="116">
          <cell r="A116" t="str">
            <v>Казань</v>
          </cell>
        </row>
        <row r="117">
          <cell r="A117" t="str">
            <v>Казань</v>
          </cell>
        </row>
        <row r="118">
          <cell r="A118" t="str">
            <v>Казань</v>
          </cell>
        </row>
        <row r="119">
          <cell r="A119" t="str">
            <v>Казань</v>
          </cell>
        </row>
        <row r="120">
          <cell r="A120" t="str">
            <v>Казань</v>
          </cell>
        </row>
        <row r="121">
          <cell r="A121" t="str">
            <v>Кемерово</v>
          </cell>
        </row>
        <row r="122">
          <cell r="A122" t="str">
            <v>Кемерово</v>
          </cell>
        </row>
        <row r="123">
          <cell r="A123" t="str">
            <v>Кемерово</v>
          </cell>
        </row>
        <row r="124">
          <cell r="A124" t="str">
            <v>Кемерово</v>
          </cell>
        </row>
        <row r="125">
          <cell r="A125" t="str">
            <v>Кемерово</v>
          </cell>
        </row>
        <row r="126">
          <cell r="A126" t="str">
            <v>Кемерово</v>
          </cell>
        </row>
        <row r="127">
          <cell r="A127" t="str">
            <v>Кемерово</v>
          </cell>
        </row>
        <row r="128">
          <cell r="A128" t="str">
            <v>Кемерово</v>
          </cell>
        </row>
        <row r="129">
          <cell r="A129" t="str">
            <v>Кемерово</v>
          </cell>
        </row>
        <row r="130">
          <cell r="A130" t="str">
            <v>Кемерово</v>
          </cell>
        </row>
        <row r="131">
          <cell r="A131" t="str">
            <v>Кемерово</v>
          </cell>
        </row>
        <row r="132">
          <cell r="A132" t="str">
            <v>Кемерово</v>
          </cell>
        </row>
        <row r="133">
          <cell r="A133" t="str">
            <v>Кемерово</v>
          </cell>
        </row>
        <row r="134">
          <cell r="A134" t="str">
            <v>Кемерово</v>
          </cell>
        </row>
        <row r="135">
          <cell r="A135" t="str">
            <v>Кемерово</v>
          </cell>
        </row>
        <row r="136">
          <cell r="A136" t="str">
            <v>Кемерово</v>
          </cell>
        </row>
        <row r="137">
          <cell r="A137" t="str">
            <v>Кемерово</v>
          </cell>
        </row>
        <row r="138">
          <cell r="A138" t="str">
            <v>Кемерово</v>
          </cell>
        </row>
        <row r="139">
          <cell r="A139" t="str">
            <v>Кемерово</v>
          </cell>
        </row>
        <row r="140">
          <cell r="A140" t="str">
            <v>Кемерово</v>
          </cell>
        </row>
        <row r="141">
          <cell r="A141" t="str">
            <v>Кемерово</v>
          </cell>
        </row>
        <row r="142">
          <cell r="A142" t="str">
            <v>Кемерово</v>
          </cell>
        </row>
        <row r="143">
          <cell r="A143" t="str">
            <v>Кемерово</v>
          </cell>
        </row>
        <row r="144">
          <cell r="A144" t="str">
            <v>Кемерово</v>
          </cell>
        </row>
        <row r="145">
          <cell r="A145" t="str">
            <v>Кемерово</v>
          </cell>
        </row>
        <row r="146">
          <cell r="A146" t="str">
            <v>Кемерово</v>
          </cell>
        </row>
        <row r="147">
          <cell r="A147" t="str">
            <v>Кемерово</v>
          </cell>
        </row>
        <row r="148">
          <cell r="A148" t="str">
            <v>Кемерово</v>
          </cell>
        </row>
        <row r="149">
          <cell r="A149" t="str">
            <v>Кемерово</v>
          </cell>
        </row>
        <row r="150">
          <cell r="A150" t="str">
            <v>Кемерово</v>
          </cell>
        </row>
        <row r="151">
          <cell r="A151" t="str">
            <v>Кемерово</v>
          </cell>
        </row>
        <row r="152">
          <cell r="A152" t="str">
            <v>Кемерово</v>
          </cell>
        </row>
        <row r="153">
          <cell r="A153" t="str">
            <v>Кемерово</v>
          </cell>
        </row>
        <row r="154">
          <cell r="A154" t="str">
            <v>Кемерово</v>
          </cell>
        </row>
        <row r="155">
          <cell r="A155" t="str">
            <v>Кемерово</v>
          </cell>
        </row>
        <row r="156">
          <cell r="A156" t="str">
            <v>Кемерово</v>
          </cell>
        </row>
        <row r="157">
          <cell r="A157" t="str">
            <v>Кемерово</v>
          </cell>
        </row>
        <row r="158">
          <cell r="A158" t="str">
            <v>Кемерово</v>
          </cell>
        </row>
        <row r="159">
          <cell r="A159" t="str">
            <v>Краснодар</v>
          </cell>
        </row>
        <row r="160">
          <cell r="A160" t="str">
            <v>Краснодар</v>
          </cell>
        </row>
        <row r="161">
          <cell r="A161" t="str">
            <v>Краснодар</v>
          </cell>
        </row>
        <row r="162">
          <cell r="A162" t="str">
            <v>Краснодар</v>
          </cell>
        </row>
        <row r="163">
          <cell r="A163" t="str">
            <v>Краснодар</v>
          </cell>
        </row>
        <row r="164">
          <cell r="A164" t="str">
            <v>Краснодар</v>
          </cell>
        </row>
        <row r="165">
          <cell r="A165" t="str">
            <v>Краснодар</v>
          </cell>
        </row>
        <row r="166">
          <cell r="A166" t="str">
            <v>Краснодар</v>
          </cell>
        </row>
        <row r="167">
          <cell r="A167" t="str">
            <v>Краснодар</v>
          </cell>
        </row>
        <row r="168">
          <cell r="A168" t="str">
            <v>Краснодар</v>
          </cell>
        </row>
        <row r="169">
          <cell r="A169" t="str">
            <v>Краснодар</v>
          </cell>
        </row>
        <row r="170">
          <cell r="A170" t="str">
            <v>Краснодар</v>
          </cell>
        </row>
        <row r="171">
          <cell r="A171" t="str">
            <v>Краснодар</v>
          </cell>
        </row>
        <row r="172">
          <cell r="A172" t="str">
            <v>Краснодар</v>
          </cell>
        </row>
        <row r="173">
          <cell r="A173" t="str">
            <v>Краснодар</v>
          </cell>
        </row>
        <row r="174">
          <cell r="A174" t="str">
            <v>Краснодар</v>
          </cell>
        </row>
        <row r="175">
          <cell r="A175" t="str">
            <v>Краснодар</v>
          </cell>
        </row>
        <row r="176">
          <cell r="A176" t="str">
            <v>Краснодар</v>
          </cell>
        </row>
        <row r="177">
          <cell r="A177" t="str">
            <v>Краснодар</v>
          </cell>
        </row>
        <row r="178">
          <cell r="A178" t="str">
            <v>Краснодар</v>
          </cell>
        </row>
        <row r="179">
          <cell r="A179" t="str">
            <v>Краснодар</v>
          </cell>
        </row>
        <row r="180">
          <cell r="A180" t="str">
            <v>Краснодар</v>
          </cell>
        </row>
        <row r="181">
          <cell r="A181" t="str">
            <v>Краснодар</v>
          </cell>
        </row>
        <row r="182">
          <cell r="A182" t="str">
            <v>Краснодар</v>
          </cell>
        </row>
        <row r="183">
          <cell r="A183" t="str">
            <v>Краснодар</v>
          </cell>
        </row>
        <row r="184">
          <cell r="A184" t="str">
            <v>Краснодар</v>
          </cell>
        </row>
        <row r="185">
          <cell r="A185" t="str">
            <v>Краснодар</v>
          </cell>
        </row>
        <row r="186">
          <cell r="A186" t="str">
            <v>Краснодар</v>
          </cell>
        </row>
        <row r="187">
          <cell r="A187" t="str">
            <v>Краснодар</v>
          </cell>
        </row>
        <row r="188">
          <cell r="A188" t="str">
            <v>Краснодар</v>
          </cell>
        </row>
        <row r="189">
          <cell r="A189" t="str">
            <v>Краснодар</v>
          </cell>
        </row>
        <row r="190">
          <cell r="A190" t="str">
            <v>Краснодар</v>
          </cell>
        </row>
        <row r="191">
          <cell r="A191" t="str">
            <v>Краснодар</v>
          </cell>
        </row>
        <row r="192">
          <cell r="A192" t="str">
            <v>Краснодар</v>
          </cell>
        </row>
        <row r="193">
          <cell r="A193" t="str">
            <v>Москва</v>
          </cell>
        </row>
        <row r="194">
          <cell r="A194" t="str">
            <v>Москва</v>
          </cell>
        </row>
        <row r="195">
          <cell r="A195" t="str">
            <v>Москва</v>
          </cell>
        </row>
        <row r="196">
          <cell r="A196" t="str">
            <v>Москва</v>
          </cell>
        </row>
        <row r="197">
          <cell r="A197" t="str">
            <v>Москва</v>
          </cell>
        </row>
        <row r="198">
          <cell r="A198" t="str">
            <v>Москва</v>
          </cell>
        </row>
        <row r="199">
          <cell r="A199" t="str">
            <v>Москва</v>
          </cell>
        </row>
        <row r="200">
          <cell r="A200" t="str">
            <v>Москва</v>
          </cell>
        </row>
        <row r="201">
          <cell r="A201" t="str">
            <v>Москва</v>
          </cell>
        </row>
        <row r="202">
          <cell r="A202" t="str">
            <v>Москва</v>
          </cell>
        </row>
        <row r="203">
          <cell r="A203" t="str">
            <v>Москва</v>
          </cell>
        </row>
        <row r="204">
          <cell r="A204" t="str">
            <v>Москва</v>
          </cell>
        </row>
        <row r="205">
          <cell r="A205" t="str">
            <v>Москва</v>
          </cell>
        </row>
        <row r="206">
          <cell r="A206" t="str">
            <v>Москва</v>
          </cell>
        </row>
        <row r="207">
          <cell r="A207" t="str">
            <v>Москва</v>
          </cell>
        </row>
        <row r="208">
          <cell r="A208" t="str">
            <v>Москва</v>
          </cell>
        </row>
        <row r="209">
          <cell r="A209" t="str">
            <v>Москва</v>
          </cell>
        </row>
        <row r="210">
          <cell r="A210" t="str">
            <v>Москва</v>
          </cell>
        </row>
        <row r="211">
          <cell r="A211" t="str">
            <v>Москва</v>
          </cell>
        </row>
        <row r="212">
          <cell r="A212" t="str">
            <v>Москва</v>
          </cell>
        </row>
        <row r="213">
          <cell r="A213" t="str">
            <v>Москва</v>
          </cell>
        </row>
        <row r="214">
          <cell r="A214" t="str">
            <v>Москва</v>
          </cell>
        </row>
        <row r="215">
          <cell r="A215" t="str">
            <v>Москва</v>
          </cell>
        </row>
        <row r="216">
          <cell r="A216" t="str">
            <v>Москва</v>
          </cell>
        </row>
        <row r="217">
          <cell r="A217" t="str">
            <v>Москва</v>
          </cell>
        </row>
        <row r="218">
          <cell r="A218" t="str">
            <v>Москва</v>
          </cell>
        </row>
        <row r="219">
          <cell r="A219" t="str">
            <v>Москва</v>
          </cell>
        </row>
        <row r="220">
          <cell r="A220" t="str">
            <v>Москва</v>
          </cell>
        </row>
        <row r="221">
          <cell r="A221" t="str">
            <v>Москва</v>
          </cell>
        </row>
        <row r="222">
          <cell r="A222" t="str">
            <v>Москва</v>
          </cell>
        </row>
        <row r="223">
          <cell r="A223" t="str">
            <v>Москва</v>
          </cell>
        </row>
        <row r="224">
          <cell r="A224" t="str">
            <v>Москва</v>
          </cell>
        </row>
        <row r="225">
          <cell r="A225" t="str">
            <v>Москва</v>
          </cell>
        </row>
        <row r="226">
          <cell r="A226" t="str">
            <v>Москва</v>
          </cell>
        </row>
        <row r="227">
          <cell r="A227" t="str">
            <v>Москва</v>
          </cell>
        </row>
        <row r="228">
          <cell r="A228" t="str">
            <v>Москва</v>
          </cell>
        </row>
        <row r="229">
          <cell r="A229" t="str">
            <v>Москва</v>
          </cell>
        </row>
        <row r="230">
          <cell r="A230" t="str">
            <v>Москва</v>
          </cell>
        </row>
        <row r="231">
          <cell r="A231" t="str">
            <v>Москва</v>
          </cell>
        </row>
        <row r="232">
          <cell r="A232" t="str">
            <v>Москва</v>
          </cell>
        </row>
        <row r="233">
          <cell r="A233" t="str">
            <v>Нижний Новгород</v>
          </cell>
        </row>
        <row r="234">
          <cell r="A234" t="str">
            <v>Нижний Новгород</v>
          </cell>
        </row>
        <row r="235">
          <cell r="A235" t="str">
            <v>Нижний Новгород</v>
          </cell>
        </row>
        <row r="236">
          <cell r="A236" t="str">
            <v>Нижний Новгород</v>
          </cell>
        </row>
        <row r="237">
          <cell r="A237" t="str">
            <v>Нижний Новгород</v>
          </cell>
        </row>
        <row r="238">
          <cell r="A238" t="str">
            <v>Нижний Новгород</v>
          </cell>
        </row>
        <row r="239">
          <cell r="A239" t="str">
            <v>Нижний Новгород</v>
          </cell>
        </row>
        <row r="240">
          <cell r="A240" t="str">
            <v>Нижний Новгород</v>
          </cell>
        </row>
        <row r="241">
          <cell r="A241" t="str">
            <v>Нижний Новгород</v>
          </cell>
        </row>
        <row r="242">
          <cell r="A242" t="str">
            <v>Нижний Новгород</v>
          </cell>
        </row>
        <row r="243">
          <cell r="A243" t="str">
            <v>Нижний Новгород</v>
          </cell>
        </row>
        <row r="244">
          <cell r="A244" t="str">
            <v>Нижний Новгород</v>
          </cell>
        </row>
        <row r="245">
          <cell r="A245" t="str">
            <v>Нижний Новгород</v>
          </cell>
        </row>
        <row r="246">
          <cell r="A246" t="str">
            <v>Нижний Новгород</v>
          </cell>
        </row>
        <row r="247">
          <cell r="A247" t="str">
            <v>Нижний Новгород</v>
          </cell>
        </row>
        <row r="248">
          <cell r="A248" t="str">
            <v>Нижний Новгород</v>
          </cell>
        </row>
        <row r="249">
          <cell r="A249" t="str">
            <v>Нижний Новгород</v>
          </cell>
        </row>
        <row r="250">
          <cell r="A250" t="str">
            <v>Нижний Новгород</v>
          </cell>
        </row>
        <row r="251">
          <cell r="A251" t="str">
            <v>Нижний Новгород</v>
          </cell>
        </row>
        <row r="252">
          <cell r="A252" t="str">
            <v>Нижний Новгород</v>
          </cell>
        </row>
        <row r="253">
          <cell r="A253" t="str">
            <v>Нижний Новгород</v>
          </cell>
        </row>
        <row r="254">
          <cell r="A254" t="str">
            <v>Нижний Новгород</v>
          </cell>
        </row>
        <row r="255">
          <cell r="A255" t="str">
            <v>Нижний Новгород</v>
          </cell>
        </row>
        <row r="256">
          <cell r="A256" t="str">
            <v>Нижний Новгород</v>
          </cell>
        </row>
        <row r="257">
          <cell r="A257" t="str">
            <v>Нижний Новгород</v>
          </cell>
        </row>
        <row r="258">
          <cell r="A258" t="str">
            <v>Нижний Новгород</v>
          </cell>
        </row>
        <row r="259">
          <cell r="A259" t="str">
            <v>Нижний Новгород</v>
          </cell>
        </row>
        <row r="260">
          <cell r="A260" t="str">
            <v>Нижний Новгород</v>
          </cell>
        </row>
        <row r="261">
          <cell r="A261" t="str">
            <v>Нижний Новгород</v>
          </cell>
        </row>
        <row r="262">
          <cell r="A262" t="str">
            <v>Нижний Новгород</v>
          </cell>
        </row>
        <row r="263">
          <cell r="A263" t="str">
            <v>Нижний Новгород</v>
          </cell>
        </row>
        <row r="264">
          <cell r="A264" t="str">
            <v>Нижний Новгород</v>
          </cell>
        </row>
        <row r="265">
          <cell r="A265" t="str">
            <v>Нижний Новгород</v>
          </cell>
        </row>
        <row r="266">
          <cell r="A266" t="str">
            <v>Нижний Новгород</v>
          </cell>
        </row>
        <row r="267">
          <cell r="A267" t="str">
            <v>Нижний Новгород</v>
          </cell>
        </row>
        <row r="268">
          <cell r="A268" t="str">
            <v>Нижний Новгород</v>
          </cell>
        </row>
        <row r="269">
          <cell r="A269" t="str">
            <v>Нижний Новгород</v>
          </cell>
        </row>
        <row r="270">
          <cell r="A270" t="str">
            <v>Нижний Новгород</v>
          </cell>
        </row>
        <row r="271">
          <cell r="A271" t="str">
            <v>Нижний Новгород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Новосибирск</v>
          </cell>
        </row>
        <row r="293">
          <cell r="A293" t="str">
            <v>Новосибирск</v>
          </cell>
        </row>
        <row r="294">
          <cell r="A294" t="str">
            <v>Новосибирск</v>
          </cell>
        </row>
        <row r="295">
          <cell r="A295" t="str">
            <v>Новосибирск</v>
          </cell>
        </row>
        <row r="296">
          <cell r="A296" t="str">
            <v>Новосибирск</v>
          </cell>
        </row>
        <row r="297">
          <cell r="A297" t="str">
            <v>Новосибирск</v>
          </cell>
        </row>
        <row r="298">
          <cell r="A298" t="str">
            <v>Новосибирск</v>
          </cell>
        </row>
        <row r="299">
          <cell r="A299" t="str">
            <v>Новосибирск</v>
          </cell>
        </row>
        <row r="300">
          <cell r="A300" t="str">
            <v>Новосибирск</v>
          </cell>
        </row>
        <row r="301">
          <cell r="A301" t="str">
            <v>Новосибирск</v>
          </cell>
        </row>
        <row r="302">
          <cell r="A302" t="str">
            <v>Новосибирск</v>
          </cell>
        </row>
        <row r="303">
          <cell r="A303" t="str">
            <v>Новосибирск</v>
          </cell>
        </row>
        <row r="304">
          <cell r="A304" t="str">
            <v>Новосибирск</v>
          </cell>
        </row>
        <row r="305">
          <cell r="A305" t="str">
            <v>Новосибирск</v>
          </cell>
        </row>
        <row r="306">
          <cell r="A306" t="str">
            <v>Новосибирск</v>
          </cell>
        </row>
        <row r="307">
          <cell r="A307" t="str">
            <v>Новосибирск</v>
          </cell>
        </row>
        <row r="308">
          <cell r="A308" t="str">
            <v>Новосибирск</v>
          </cell>
        </row>
        <row r="309">
          <cell r="A309" t="str">
            <v>Омск</v>
          </cell>
        </row>
        <row r="310">
          <cell r="A310" t="str">
            <v>Омск</v>
          </cell>
        </row>
        <row r="311">
          <cell r="A311" t="str">
            <v>Омск</v>
          </cell>
        </row>
        <row r="312">
          <cell r="A312" t="str">
            <v>Омск</v>
          </cell>
        </row>
        <row r="313">
          <cell r="A313" t="str">
            <v>Омск</v>
          </cell>
        </row>
        <row r="314">
          <cell r="A314" t="str">
            <v>Омск</v>
          </cell>
        </row>
        <row r="315">
          <cell r="A315" t="str">
            <v>Омск</v>
          </cell>
        </row>
        <row r="316">
          <cell r="A316" t="str">
            <v>Омск</v>
          </cell>
        </row>
        <row r="317">
          <cell r="A317" t="str">
            <v>Омск</v>
          </cell>
        </row>
        <row r="318">
          <cell r="A318" t="str">
            <v>Омск</v>
          </cell>
        </row>
        <row r="319">
          <cell r="A319" t="str">
            <v>Омск</v>
          </cell>
        </row>
        <row r="320">
          <cell r="A320" t="str">
            <v>Омск</v>
          </cell>
        </row>
        <row r="321">
          <cell r="A321" t="str">
            <v>Омск</v>
          </cell>
        </row>
        <row r="322">
          <cell r="A322" t="str">
            <v>Омск</v>
          </cell>
        </row>
        <row r="323">
          <cell r="A323" t="str">
            <v>Омск</v>
          </cell>
        </row>
        <row r="324">
          <cell r="A324" t="str">
            <v>Омск</v>
          </cell>
        </row>
        <row r="325">
          <cell r="A325" t="str">
            <v>Омск</v>
          </cell>
        </row>
        <row r="326">
          <cell r="A326" t="str">
            <v>Омск</v>
          </cell>
        </row>
        <row r="327">
          <cell r="A327" t="str">
            <v>Омск</v>
          </cell>
        </row>
        <row r="328">
          <cell r="A328" t="str">
            <v>Омск</v>
          </cell>
        </row>
        <row r="329">
          <cell r="A329" t="str">
            <v>Омск</v>
          </cell>
        </row>
        <row r="330">
          <cell r="A330" t="str">
            <v>Омск</v>
          </cell>
        </row>
        <row r="331">
          <cell r="A331" t="str">
            <v>Омск</v>
          </cell>
        </row>
        <row r="332">
          <cell r="A332" t="str">
            <v>Омск</v>
          </cell>
        </row>
        <row r="333">
          <cell r="A333" t="str">
            <v>Омск</v>
          </cell>
        </row>
        <row r="334">
          <cell r="A334" t="str">
            <v>Омск</v>
          </cell>
        </row>
        <row r="335">
          <cell r="A335" t="str">
            <v>Омск</v>
          </cell>
        </row>
        <row r="336">
          <cell r="A336" t="str">
            <v>Омск</v>
          </cell>
        </row>
        <row r="337">
          <cell r="A337" t="str">
            <v>Омск</v>
          </cell>
        </row>
        <row r="338">
          <cell r="A338" t="str">
            <v>Омск</v>
          </cell>
        </row>
        <row r="339">
          <cell r="A339" t="str">
            <v>Омск</v>
          </cell>
        </row>
        <row r="340">
          <cell r="A340" t="str">
            <v>Омск</v>
          </cell>
        </row>
        <row r="341">
          <cell r="A341" t="str">
            <v>Омск</v>
          </cell>
        </row>
        <row r="342">
          <cell r="A342" t="str">
            <v>Омск</v>
          </cell>
        </row>
        <row r="343">
          <cell r="A343" t="str">
            <v>Омск</v>
          </cell>
        </row>
        <row r="344">
          <cell r="A344" t="str">
            <v>Омск</v>
          </cell>
        </row>
        <row r="345">
          <cell r="A345" t="str">
            <v>Омск</v>
          </cell>
        </row>
        <row r="346">
          <cell r="A346" t="str">
            <v>Омск</v>
          </cell>
        </row>
        <row r="347">
          <cell r="A347" t="str">
            <v>Омск</v>
          </cell>
        </row>
        <row r="348">
          <cell r="A348" t="str">
            <v>Санкт-Петербург</v>
          </cell>
        </row>
        <row r="349">
          <cell r="A349" t="str">
            <v>Санкт-Петербург</v>
          </cell>
        </row>
        <row r="350">
          <cell r="A350" t="str">
            <v>Санкт-Петербург</v>
          </cell>
        </row>
        <row r="351">
          <cell r="A351" t="str">
            <v>Санкт-Петербург</v>
          </cell>
        </row>
        <row r="352">
          <cell r="A352" t="str">
            <v>Санкт-Петербург</v>
          </cell>
        </row>
        <row r="353">
          <cell r="A353" t="str">
            <v>Санкт-Петербург</v>
          </cell>
        </row>
        <row r="354">
          <cell r="A354" t="str">
            <v>Санкт-Петербург</v>
          </cell>
        </row>
        <row r="355">
          <cell r="A355" t="str">
            <v>Санкт-Петербург</v>
          </cell>
        </row>
        <row r="356">
          <cell r="A356" t="str">
            <v>Санкт-Петербург</v>
          </cell>
        </row>
        <row r="357">
          <cell r="A357" t="str">
            <v>Санкт-Петербург</v>
          </cell>
        </row>
        <row r="358">
          <cell r="A358" t="str">
            <v>Санкт-Петербург</v>
          </cell>
        </row>
        <row r="359">
          <cell r="A359" t="str">
            <v>Санкт-Петербург</v>
          </cell>
        </row>
        <row r="360">
          <cell r="A360" t="str">
            <v>Санкт-Петербург</v>
          </cell>
        </row>
        <row r="361">
          <cell r="A361" t="str">
            <v>Санкт-Петербург</v>
          </cell>
        </row>
        <row r="362">
          <cell r="A362" t="str">
            <v>Санкт-Петербург</v>
          </cell>
        </row>
        <row r="363">
          <cell r="A363" t="str">
            <v>Санкт-Петербург</v>
          </cell>
        </row>
        <row r="364">
          <cell r="A364" t="str">
            <v>Санкт-Петербург</v>
          </cell>
        </row>
        <row r="365">
          <cell r="A365" t="str">
            <v>Санкт-Петербург</v>
          </cell>
        </row>
        <row r="366">
          <cell r="A366" t="str">
            <v>Санкт-Петербург</v>
          </cell>
        </row>
        <row r="367">
          <cell r="A367" t="str">
            <v>Санкт-Петербург</v>
          </cell>
        </row>
        <row r="368">
          <cell r="A368" t="str">
            <v>Санкт-Петербург</v>
          </cell>
        </row>
        <row r="369">
          <cell r="A369" t="str">
            <v>Санкт-Петербург</v>
          </cell>
        </row>
        <row r="370">
          <cell r="A370" t="str">
            <v>Санкт-Петербург</v>
          </cell>
        </row>
        <row r="371">
          <cell r="A371" t="str">
            <v>Санкт-Петербург</v>
          </cell>
        </row>
        <row r="372">
          <cell r="A372" t="str">
            <v>Санкт-Петербург</v>
          </cell>
        </row>
        <row r="373">
          <cell r="A373" t="str">
            <v>Санкт-Петербург</v>
          </cell>
        </row>
        <row r="374">
          <cell r="A374" t="str">
            <v>Санкт-Петербург</v>
          </cell>
        </row>
        <row r="375">
          <cell r="A375" t="str">
            <v>Санкт-Петербург</v>
          </cell>
        </row>
        <row r="376">
          <cell r="A376" t="str">
            <v>Санкт-Петербург</v>
          </cell>
        </row>
        <row r="377">
          <cell r="A377" t="str">
            <v>Санкт-Петербург</v>
          </cell>
        </row>
        <row r="378">
          <cell r="A378" t="str">
            <v>Санкт-Петербург</v>
          </cell>
        </row>
        <row r="379">
          <cell r="A379" t="str">
            <v>Санкт-Петербург</v>
          </cell>
        </row>
        <row r="380">
          <cell r="A380" t="str">
            <v>Санкт-Петербург</v>
          </cell>
        </row>
        <row r="381">
          <cell r="A381" t="str">
            <v>Санкт-Петербург</v>
          </cell>
        </row>
        <row r="382">
          <cell r="A382" t="str">
            <v>Санкт-Петербург</v>
          </cell>
        </row>
        <row r="383">
          <cell r="A383" t="str">
            <v>Санкт-Петербург</v>
          </cell>
        </row>
        <row r="384">
          <cell r="A384" t="str">
            <v>Санкт-Петербург</v>
          </cell>
        </row>
        <row r="385">
          <cell r="A385" t="str">
            <v>Санкт-Петербург</v>
          </cell>
        </row>
        <row r="386">
          <cell r="A386" t="str">
            <v>Санкт-Петербург</v>
          </cell>
        </row>
        <row r="387">
          <cell r="A387" t="str">
            <v>Санкт-Петербург</v>
          </cell>
        </row>
        <row r="388">
          <cell r="A388" t="str">
            <v>Томск</v>
          </cell>
        </row>
        <row r="389">
          <cell r="A389" t="str">
            <v>Томск</v>
          </cell>
        </row>
        <row r="390">
          <cell r="A390" t="str">
            <v>Томск</v>
          </cell>
        </row>
        <row r="391">
          <cell r="A391" t="str">
            <v>Томск</v>
          </cell>
        </row>
        <row r="392">
          <cell r="A392" t="str">
            <v>Томск</v>
          </cell>
        </row>
        <row r="393">
          <cell r="A393" t="str">
            <v>Томск</v>
          </cell>
        </row>
        <row r="394">
          <cell r="A394" t="str">
            <v>Томск</v>
          </cell>
        </row>
        <row r="395">
          <cell r="A395" t="str">
            <v>Томск</v>
          </cell>
        </row>
        <row r="396">
          <cell r="A396" t="str">
            <v>Томск</v>
          </cell>
        </row>
        <row r="397">
          <cell r="A397" t="str">
            <v>Томск</v>
          </cell>
        </row>
        <row r="398">
          <cell r="A398" t="str">
            <v>Томск</v>
          </cell>
        </row>
        <row r="399">
          <cell r="A399" t="str">
            <v>Томск</v>
          </cell>
        </row>
        <row r="400">
          <cell r="A400" t="str">
            <v>Томск</v>
          </cell>
        </row>
        <row r="401">
          <cell r="A401" t="str">
            <v>Томск</v>
          </cell>
        </row>
        <row r="402">
          <cell r="A402" t="str">
            <v>Томск</v>
          </cell>
        </row>
        <row r="403">
          <cell r="A403" t="str">
            <v>Томск</v>
          </cell>
        </row>
        <row r="404">
          <cell r="A404" t="str">
            <v>Томск</v>
          </cell>
        </row>
        <row r="405">
          <cell r="A405" t="str">
            <v>Томск</v>
          </cell>
        </row>
        <row r="406">
          <cell r="A406" t="str">
            <v>Томск</v>
          </cell>
        </row>
        <row r="407">
          <cell r="A407" t="str">
            <v>Томск</v>
          </cell>
        </row>
        <row r="408">
          <cell r="A408" t="str">
            <v>Томск</v>
          </cell>
        </row>
        <row r="409">
          <cell r="A409" t="str">
            <v>Томск</v>
          </cell>
        </row>
        <row r="410">
          <cell r="A410" t="str">
            <v>Томск</v>
          </cell>
        </row>
        <row r="411">
          <cell r="A411" t="str">
            <v>Томск</v>
          </cell>
        </row>
        <row r="412">
          <cell r="A412" t="str">
            <v>Томск</v>
          </cell>
        </row>
        <row r="413">
          <cell r="A413" t="str">
            <v>Томск</v>
          </cell>
        </row>
        <row r="414">
          <cell r="A414" t="str">
            <v>Томск</v>
          </cell>
        </row>
        <row r="415">
          <cell r="A415" t="str">
            <v>Томск</v>
          </cell>
        </row>
        <row r="416">
          <cell r="A416" t="str">
            <v>Томск</v>
          </cell>
        </row>
        <row r="417">
          <cell r="A417" t="str">
            <v>Томск</v>
          </cell>
        </row>
        <row r="418">
          <cell r="A418" t="str">
            <v>Томск</v>
          </cell>
        </row>
        <row r="419">
          <cell r="A419" t="str">
            <v>Томск</v>
          </cell>
        </row>
        <row r="420">
          <cell r="A420" t="str">
            <v>Томск</v>
          </cell>
        </row>
        <row r="421">
          <cell r="A421" t="str">
            <v>Томск</v>
          </cell>
        </row>
        <row r="422">
          <cell r="A422" t="str">
            <v>Томск</v>
          </cell>
        </row>
        <row r="423">
          <cell r="A423" t="str">
            <v>Томск</v>
          </cell>
        </row>
        <row r="424">
          <cell r="A424" t="str">
            <v>Томск</v>
          </cell>
        </row>
        <row r="425">
          <cell r="A425" t="str">
            <v>Томск</v>
          </cell>
        </row>
        <row r="426">
          <cell r="A426" t="str">
            <v>Томск</v>
          </cell>
        </row>
        <row r="427">
          <cell r="A427" t="str">
            <v>Хабаровск</v>
          </cell>
        </row>
        <row r="428">
          <cell r="A428" t="str">
            <v>Хабаровск</v>
          </cell>
        </row>
        <row r="429">
          <cell r="A429" t="str">
            <v>Хабаровск</v>
          </cell>
        </row>
        <row r="430">
          <cell r="A430" t="str">
            <v>Хабаровск</v>
          </cell>
        </row>
        <row r="431">
          <cell r="A431" t="str">
            <v>Хабаровск</v>
          </cell>
        </row>
        <row r="432">
          <cell r="A432" t="str">
            <v>Хабаровск</v>
          </cell>
        </row>
        <row r="433">
          <cell r="A433" t="str">
            <v>Хабаровск</v>
          </cell>
        </row>
        <row r="434">
          <cell r="A434" t="str">
            <v>Хабаровск</v>
          </cell>
        </row>
        <row r="435">
          <cell r="A435" t="str">
            <v>Хабаровск</v>
          </cell>
        </row>
        <row r="436">
          <cell r="A436" t="str">
            <v>Хабаровск</v>
          </cell>
        </row>
        <row r="437">
          <cell r="A437" t="str">
            <v>Хабаровск</v>
          </cell>
        </row>
        <row r="438">
          <cell r="A438" t="str">
            <v>Хабаровск</v>
          </cell>
        </row>
        <row r="439">
          <cell r="A439" t="str">
            <v>Хабаровск</v>
          </cell>
        </row>
        <row r="440">
          <cell r="A440" t="str">
            <v>Хабаровск</v>
          </cell>
        </row>
        <row r="441">
          <cell r="A441" t="str">
            <v>Хабаровск</v>
          </cell>
        </row>
        <row r="442">
          <cell r="A442" t="str">
            <v>Хабаровск</v>
          </cell>
        </row>
        <row r="443">
          <cell r="A443" t="str">
            <v>Хабаровск</v>
          </cell>
        </row>
        <row r="444">
          <cell r="A444" t="str">
            <v>Хабаровск</v>
          </cell>
        </row>
        <row r="445">
          <cell r="A445" t="str">
            <v>Хабаровск</v>
          </cell>
        </row>
        <row r="446">
          <cell r="A446" t="str">
            <v>Хабаровск</v>
          </cell>
        </row>
        <row r="447">
          <cell r="A447" t="str">
            <v>Хабаровск</v>
          </cell>
        </row>
        <row r="448">
          <cell r="A448" t="str">
            <v>Хабаровск</v>
          </cell>
        </row>
        <row r="449">
          <cell r="A449" t="str">
            <v>Хабаровск</v>
          </cell>
        </row>
        <row r="450">
          <cell r="A450" t="str">
            <v>Хабаровск</v>
          </cell>
        </row>
        <row r="451">
          <cell r="A451" t="str">
            <v>Хабаровск</v>
          </cell>
        </row>
        <row r="452">
          <cell r="A452" t="str">
            <v>Хабаровск</v>
          </cell>
        </row>
        <row r="453">
          <cell r="A453" t="str">
            <v>Хабаровск</v>
          </cell>
        </row>
        <row r="454">
          <cell r="A454" t="str">
            <v>Хабаровск</v>
          </cell>
        </row>
        <row r="455">
          <cell r="A455" t="str">
            <v>Хабаровск</v>
          </cell>
        </row>
        <row r="456">
          <cell r="A456" t="str">
            <v>Хабаровск</v>
          </cell>
        </row>
        <row r="457">
          <cell r="A457" t="str">
            <v>Хабаровск</v>
          </cell>
        </row>
        <row r="458">
          <cell r="A458" t="str">
            <v>Хабаровск</v>
          </cell>
        </row>
        <row r="459">
          <cell r="A459" t="str">
            <v>Хабаровск</v>
          </cell>
        </row>
        <row r="460">
          <cell r="A460" t="str">
            <v>Хабаровск</v>
          </cell>
        </row>
        <row r="461">
          <cell r="A461" t="str">
            <v>Хабаровск</v>
          </cell>
        </row>
        <row r="462">
          <cell r="A462" t="str">
            <v>Хабаровск</v>
          </cell>
        </row>
        <row r="463">
          <cell r="A463" t="str">
            <v>Хабаровск</v>
          </cell>
        </row>
        <row r="464">
          <cell r="A464" t="str">
            <v>Хабаровск</v>
          </cell>
        </row>
      </sheetData>
      <sheetData sheetId="25">
        <row r="2">
          <cell r="A2" t="str">
            <v>Москва</v>
          </cell>
          <cell r="B2" t="str">
            <v>BB</v>
          </cell>
          <cell r="C2">
            <v>61.45</v>
          </cell>
        </row>
        <row r="3">
          <cell r="A3" t="str">
            <v>Москва</v>
          </cell>
          <cell r="B3" t="str">
            <v>DBB</v>
          </cell>
          <cell r="C3">
            <v>74.489999999999995</v>
          </cell>
        </row>
        <row r="4">
          <cell r="A4" t="str">
            <v>Москва</v>
          </cell>
          <cell r="B4" t="str">
            <v>SS</v>
          </cell>
          <cell r="C4">
            <v>35.44</v>
          </cell>
        </row>
        <row r="5">
          <cell r="A5" t="str">
            <v>Москва</v>
          </cell>
          <cell r="B5" t="str">
            <v>DSS</v>
          </cell>
          <cell r="C5">
            <v>162.69</v>
          </cell>
        </row>
        <row r="6">
          <cell r="A6" t="str">
            <v>Москва</v>
          </cell>
          <cell r="B6" t="str">
            <v>CF</v>
          </cell>
          <cell r="C6">
            <v>27.55</v>
          </cell>
        </row>
        <row r="7">
          <cell r="A7" t="str">
            <v>Москва</v>
          </cell>
          <cell r="B7" t="str">
            <v>DCF</v>
          </cell>
          <cell r="C7">
            <v>20.63</v>
          </cell>
        </row>
        <row r="8">
          <cell r="A8" t="str">
            <v>Москва</v>
          </cell>
          <cell r="B8" t="str">
            <v>Медиафасады</v>
          </cell>
          <cell r="C8">
            <v>138.32</v>
          </cell>
        </row>
        <row r="9">
          <cell r="A9" t="str">
            <v>Москва</v>
          </cell>
          <cell r="B9" t="str">
            <v>PL</v>
          </cell>
          <cell r="C9">
            <v>37.33</v>
          </cell>
        </row>
        <row r="10">
          <cell r="A10" t="str">
            <v>Санкт-Петербург</v>
          </cell>
          <cell r="B10" t="str">
            <v xml:space="preserve">BB </v>
          </cell>
          <cell r="C10">
            <v>27.78</v>
          </cell>
        </row>
        <row r="11">
          <cell r="A11" t="str">
            <v>Санкт-Петербург</v>
          </cell>
          <cell r="B11" t="str">
            <v xml:space="preserve">DBB </v>
          </cell>
          <cell r="C11">
            <v>37.04</v>
          </cell>
        </row>
        <row r="12">
          <cell r="A12" t="str">
            <v>Санкт-Петербург</v>
          </cell>
          <cell r="B12" t="str">
            <v xml:space="preserve">SS </v>
          </cell>
          <cell r="C12">
            <v>88.38</v>
          </cell>
        </row>
        <row r="13">
          <cell r="A13" t="str">
            <v>Санкт-Петербург</v>
          </cell>
          <cell r="B13" t="str">
            <v xml:space="preserve">DSS </v>
          </cell>
          <cell r="C13">
            <v>60.53</v>
          </cell>
        </row>
        <row r="14">
          <cell r="A14" t="str">
            <v>Санкт-Петербург</v>
          </cell>
          <cell r="B14" t="str">
            <v xml:space="preserve">CF </v>
          </cell>
          <cell r="C14">
            <v>20.03</v>
          </cell>
        </row>
        <row r="15">
          <cell r="A15" t="str">
            <v>Санкт-Петербург</v>
          </cell>
          <cell r="B15" t="str">
            <v xml:space="preserve">DCF </v>
          </cell>
        </row>
        <row r="16">
          <cell r="A16" t="str">
            <v>Санкт-Петербург</v>
          </cell>
          <cell r="B16" t="str">
            <v xml:space="preserve">Медиафасад </v>
          </cell>
        </row>
        <row r="17">
          <cell r="A17" t="str">
            <v>Санкт-Петербург</v>
          </cell>
          <cell r="B17" t="str">
            <v>PL</v>
          </cell>
          <cell r="C17">
            <v>18.8</v>
          </cell>
        </row>
        <row r="18">
          <cell r="A18" t="str">
            <v>Екатеринбург</v>
          </cell>
          <cell r="B18" t="str">
            <v xml:space="preserve">BB </v>
          </cell>
          <cell r="C18">
            <v>26.75</v>
          </cell>
        </row>
        <row r="19">
          <cell r="A19" t="str">
            <v>Екатеринбург</v>
          </cell>
          <cell r="B19" t="str">
            <v xml:space="preserve">DBB </v>
          </cell>
          <cell r="C19">
            <v>22.08</v>
          </cell>
        </row>
        <row r="20">
          <cell r="A20" t="str">
            <v>Екатеринбург</v>
          </cell>
          <cell r="B20" t="str">
            <v xml:space="preserve">SS </v>
          </cell>
          <cell r="C20">
            <v>87.74</v>
          </cell>
        </row>
        <row r="21">
          <cell r="A21" t="str">
            <v>Екатеринбург</v>
          </cell>
          <cell r="B21" t="str">
            <v xml:space="preserve">DSS </v>
          </cell>
          <cell r="C21">
            <v>57.83</v>
          </cell>
        </row>
        <row r="22">
          <cell r="A22" t="str">
            <v>Екатеринбург</v>
          </cell>
          <cell r="B22" t="str">
            <v xml:space="preserve">CF </v>
          </cell>
          <cell r="C22">
            <v>15.48</v>
          </cell>
        </row>
        <row r="23">
          <cell r="A23" t="str">
            <v>Екатеринбург</v>
          </cell>
          <cell r="B23" t="str">
            <v xml:space="preserve">DCF </v>
          </cell>
          <cell r="C23">
            <v>15.86</v>
          </cell>
        </row>
        <row r="24">
          <cell r="A24" t="str">
            <v>Екатеринбург</v>
          </cell>
          <cell r="B24" t="str">
            <v xml:space="preserve">Медиафасад </v>
          </cell>
          <cell r="C24">
            <v>76.239999999999995</v>
          </cell>
        </row>
        <row r="25">
          <cell r="A25" t="str">
            <v>Екатеринбург</v>
          </cell>
          <cell r="B25" t="str">
            <v>PL</v>
          </cell>
        </row>
        <row r="26">
          <cell r="A26" t="str">
            <v>Томск</v>
          </cell>
          <cell r="B26" t="str">
            <v xml:space="preserve">BB </v>
          </cell>
          <cell r="C26">
            <v>21.54</v>
          </cell>
        </row>
        <row r="27">
          <cell r="A27" t="str">
            <v>Томск</v>
          </cell>
          <cell r="B27" t="str">
            <v xml:space="preserve">DBB </v>
          </cell>
          <cell r="C27">
            <v>24.34</v>
          </cell>
        </row>
        <row r="28">
          <cell r="A28" t="str">
            <v>Томск</v>
          </cell>
          <cell r="B28" t="str">
            <v xml:space="preserve">SS </v>
          </cell>
          <cell r="C28">
            <v>20.21</v>
          </cell>
        </row>
        <row r="29">
          <cell r="A29" t="str">
            <v>Томск</v>
          </cell>
          <cell r="B29" t="str">
            <v xml:space="preserve">DSS </v>
          </cell>
          <cell r="C29">
            <v>25</v>
          </cell>
        </row>
        <row r="30">
          <cell r="A30" t="str">
            <v>Томск</v>
          </cell>
          <cell r="B30" t="str">
            <v xml:space="preserve">CF </v>
          </cell>
          <cell r="C30">
            <v>19.170000000000002</v>
          </cell>
        </row>
        <row r="31">
          <cell r="A31" t="str">
            <v>Томск</v>
          </cell>
          <cell r="B31" t="str">
            <v xml:space="preserve">DCF </v>
          </cell>
        </row>
        <row r="32">
          <cell r="A32" t="str">
            <v>Томск</v>
          </cell>
          <cell r="B32" t="str">
            <v xml:space="preserve">Медиафасад </v>
          </cell>
        </row>
        <row r="33">
          <cell r="A33" t="str">
            <v>Томск</v>
          </cell>
          <cell r="B33" t="str">
            <v>PL</v>
          </cell>
          <cell r="C33">
            <v>18.46</v>
          </cell>
        </row>
        <row r="34">
          <cell r="A34" t="str">
            <v>Кемерово</v>
          </cell>
          <cell r="B34" t="str">
            <v xml:space="preserve">BB </v>
          </cell>
        </row>
        <row r="35">
          <cell r="A35" t="str">
            <v>Кемерово</v>
          </cell>
          <cell r="B35" t="str">
            <v xml:space="preserve">DBB </v>
          </cell>
        </row>
        <row r="36">
          <cell r="A36" t="str">
            <v>Кемерово</v>
          </cell>
          <cell r="B36" t="str">
            <v xml:space="preserve">SS </v>
          </cell>
        </row>
        <row r="37">
          <cell r="A37" t="str">
            <v>Кемерово</v>
          </cell>
          <cell r="B37" t="str">
            <v xml:space="preserve">DSS </v>
          </cell>
        </row>
        <row r="38">
          <cell r="A38" t="str">
            <v>Кемерово</v>
          </cell>
          <cell r="B38" t="str">
            <v xml:space="preserve">CF </v>
          </cell>
        </row>
        <row r="39">
          <cell r="A39" t="str">
            <v>Кемерово</v>
          </cell>
          <cell r="B39" t="str">
            <v xml:space="preserve">DCF </v>
          </cell>
        </row>
        <row r="40">
          <cell r="A40" t="str">
            <v>Кемерово</v>
          </cell>
          <cell r="B40" t="str">
            <v xml:space="preserve">Медиафасад </v>
          </cell>
        </row>
        <row r="41">
          <cell r="A41" t="str">
            <v>Кемерово</v>
          </cell>
          <cell r="B41" t="str">
            <v>PL</v>
          </cell>
        </row>
        <row r="42">
          <cell r="A42" t="str">
            <v>Казань</v>
          </cell>
          <cell r="B42" t="str">
            <v xml:space="preserve">BB </v>
          </cell>
          <cell r="C42">
            <v>41.48</v>
          </cell>
        </row>
        <row r="43">
          <cell r="A43" t="str">
            <v>Казань</v>
          </cell>
          <cell r="B43" t="str">
            <v xml:space="preserve">DBB </v>
          </cell>
          <cell r="C43">
            <v>45.62</v>
          </cell>
        </row>
        <row r="44">
          <cell r="A44" t="str">
            <v>Казань</v>
          </cell>
          <cell r="B44" t="str">
            <v xml:space="preserve">SS </v>
          </cell>
          <cell r="C44">
            <v>82.87</v>
          </cell>
        </row>
        <row r="45">
          <cell r="A45" t="str">
            <v>Казань</v>
          </cell>
          <cell r="B45" t="str">
            <v xml:space="preserve">DSS </v>
          </cell>
          <cell r="C45">
            <v>76.37</v>
          </cell>
        </row>
        <row r="46">
          <cell r="A46" t="str">
            <v>Казань</v>
          </cell>
          <cell r="B46" t="str">
            <v xml:space="preserve">CF </v>
          </cell>
          <cell r="C46">
            <v>18.86</v>
          </cell>
        </row>
        <row r="47">
          <cell r="A47" t="str">
            <v>Казань</v>
          </cell>
          <cell r="B47" t="str">
            <v xml:space="preserve">DCF </v>
          </cell>
          <cell r="C47">
            <v>23.15</v>
          </cell>
        </row>
        <row r="48">
          <cell r="A48" t="str">
            <v>Казань</v>
          </cell>
          <cell r="B48" t="str">
            <v xml:space="preserve">Медиафасад </v>
          </cell>
        </row>
        <row r="49">
          <cell r="A49" t="str">
            <v>Казань</v>
          </cell>
          <cell r="B49" t="str">
            <v>PL</v>
          </cell>
          <cell r="C49">
            <v>18.98</v>
          </cell>
        </row>
        <row r="50">
          <cell r="A50" t="str">
            <v>Новосибирск</v>
          </cell>
          <cell r="B50" t="str">
            <v xml:space="preserve">BB </v>
          </cell>
          <cell r="C50">
            <v>44.71</v>
          </cell>
        </row>
        <row r="51">
          <cell r="A51" t="str">
            <v>Новосибирск</v>
          </cell>
          <cell r="B51" t="str">
            <v xml:space="preserve">DBB </v>
          </cell>
          <cell r="C51">
            <v>42.42</v>
          </cell>
        </row>
        <row r="52">
          <cell r="A52" t="str">
            <v>Новосибирск</v>
          </cell>
          <cell r="B52" t="str">
            <v xml:space="preserve">SS </v>
          </cell>
          <cell r="C52">
            <v>112.11</v>
          </cell>
        </row>
        <row r="53">
          <cell r="A53" t="str">
            <v>Новосибирск</v>
          </cell>
          <cell r="B53" t="str">
            <v xml:space="preserve">DSS </v>
          </cell>
          <cell r="C53">
            <v>85.63</v>
          </cell>
        </row>
        <row r="54">
          <cell r="A54" t="str">
            <v>Новосибирск</v>
          </cell>
          <cell r="B54" t="str">
            <v xml:space="preserve">CF </v>
          </cell>
          <cell r="C54">
            <v>21.5</v>
          </cell>
        </row>
        <row r="55">
          <cell r="A55" t="str">
            <v>Новосибирск</v>
          </cell>
          <cell r="B55" t="str">
            <v xml:space="preserve">DCF </v>
          </cell>
          <cell r="C55">
            <v>16.37</v>
          </cell>
        </row>
        <row r="56">
          <cell r="A56" t="str">
            <v>Новосибирск</v>
          </cell>
          <cell r="B56" t="str">
            <v xml:space="preserve">Медиафасад </v>
          </cell>
        </row>
        <row r="57">
          <cell r="A57" t="str">
            <v>Новосибирск</v>
          </cell>
          <cell r="B57" t="str">
            <v>PL</v>
          </cell>
          <cell r="C57">
            <v>24.32</v>
          </cell>
        </row>
        <row r="58">
          <cell r="A58" t="str">
            <v>Краснодар</v>
          </cell>
          <cell r="B58" t="str">
            <v xml:space="preserve">BB </v>
          </cell>
          <cell r="C58">
            <v>27.05</v>
          </cell>
        </row>
        <row r="59">
          <cell r="A59" t="str">
            <v>Краснодар</v>
          </cell>
          <cell r="B59" t="str">
            <v xml:space="preserve">DBB </v>
          </cell>
          <cell r="C59">
            <v>35.08</v>
          </cell>
        </row>
        <row r="60">
          <cell r="A60" t="str">
            <v>Краснодар</v>
          </cell>
          <cell r="B60" t="str">
            <v xml:space="preserve">SS </v>
          </cell>
          <cell r="C60">
            <v>88.22</v>
          </cell>
        </row>
        <row r="61">
          <cell r="A61" t="str">
            <v>Краснодар</v>
          </cell>
          <cell r="B61" t="str">
            <v xml:space="preserve">DSS </v>
          </cell>
          <cell r="C61">
            <v>62.86</v>
          </cell>
        </row>
        <row r="62">
          <cell r="A62" t="str">
            <v>Краснодар</v>
          </cell>
          <cell r="B62" t="str">
            <v xml:space="preserve">CF </v>
          </cell>
          <cell r="C62">
            <v>18.97</v>
          </cell>
        </row>
        <row r="63">
          <cell r="A63" t="str">
            <v>Краснодар</v>
          </cell>
          <cell r="B63" t="str">
            <v xml:space="preserve">DCF </v>
          </cell>
        </row>
        <row r="64">
          <cell r="A64" t="str">
            <v>Краснодар</v>
          </cell>
          <cell r="B64" t="str">
            <v xml:space="preserve">Медиафасад </v>
          </cell>
        </row>
        <row r="65">
          <cell r="A65" t="str">
            <v>Краснодар</v>
          </cell>
          <cell r="B65" t="str">
            <v>PL</v>
          </cell>
          <cell r="C65">
            <v>12.25</v>
          </cell>
        </row>
        <row r="66">
          <cell r="A66" t="str">
            <v>Сочи</v>
          </cell>
          <cell r="B66" t="str">
            <v xml:space="preserve">BB </v>
          </cell>
          <cell r="C66">
            <v>24.48</v>
          </cell>
        </row>
        <row r="67">
          <cell r="A67" t="str">
            <v>Сочи</v>
          </cell>
          <cell r="B67" t="str">
            <v xml:space="preserve">DBB </v>
          </cell>
          <cell r="C67">
            <v>24.93</v>
          </cell>
        </row>
        <row r="68">
          <cell r="A68" t="str">
            <v>Сочи</v>
          </cell>
          <cell r="B68" t="str">
            <v xml:space="preserve">SS </v>
          </cell>
          <cell r="C68">
            <v>73.290000000000006</v>
          </cell>
        </row>
        <row r="69">
          <cell r="A69" t="str">
            <v>Сочи</v>
          </cell>
          <cell r="B69" t="str">
            <v xml:space="preserve">DSS </v>
          </cell>
          <cell r="C69">
            <v>31.2</v>
          </cell>
        </row>
        <row r="70">
          <cell r="A70" t="str">
            <v>Сочи</v>
          </cell>
          <cell r="B70" t="str">
            <v xml:space="preserve">CF </v>
          </cell>
          <cell r="C70">
            <v>20.79</v>
          </cell>
        </row>
        <row r="71">
          <cell r="A71" t="str">
            <v>Сочи</v>
          </cell>
          <cell r="B71" t="str">
            <v xml:space="preserve">DCF </v>
          </cell>
          <cell r="C71">
            <v>27.22</v>
          </cell>
        </row>
        <row r="72">
          <cell r="A72" t="str">
            <v>Сочи</v>
          </cell>
          <cell r="B72" t="str">
            <v xml:space="preserve">Медиафасад </v>
          </cell>
          <cell r="C72">
            <v>37.71</v>
          </cell>
        </row>
        <row r="73">
          <cell r="A73" t="str">
            <v>Сочи</v>
          </cell>
          <cell r="B73" t="str">
            <v>PL</v>
          </cell>
          <cell r="C73">
            <v>12.25</v>
          </cell>
        </row>
        <row r="74">
          <cell r="A74" t="str">
            <v>Чебоксары</v>
          </cell>
          <cell r="B74" t="str">
            <v xml:space="preserve">BB </v>
          </cell>
          <cell r="C74">
            <v>28.74</v>
          </cell>
        </row>
        <row r="75">
          <cell r="A75" t="str">
            <v>Чебоксары</v>
          </cell>
          <cell r="B75" t="str">
            <v xml:space="preserve">DBB </v>
          </cell>
          <cell r="C75">
            <v>27.51</v>
          </cell>
        </row>
        <row r="76">
          <cell r="A76" t="str">
            <v>Чебоксары</v>
          </cell>
          <cell r="B76" t="str">
            <v xml:space="preserve">SS </v>
          </cell>
          <cell r="C76">
            <v>64.41</v>
          </cell>
        </row>
        <row r="77">
          <cell r="A77" t="str">
            <v>Чебоксары</v>
          </cell>
          <cell r="B77" t="str">
            <v xml:space="preserve">DSS </v>
          </cell>
        </row>
        <row r="78">
          <cell r="A78" t="str">
            <v>Чебоксары</v>
          </cell>
          <cell r="B78" t="str">
            <v xml:space="preserve">CF </v>
          </cell>
          <cell r="C78">
            <v>12.28</v>
          </cell>
        </row>
        <row r="79">
          <cell r="A79" t="str">
            <v>Чебоксары</v>
          </cell>
          <cell r="B79" t="str">
            <v xml:space="preserve">DCF </v>
          </cell>
        </row>
        <row r="80">
          <cell r="A80" t="str">
            <v>Чебоксары</v>
          </cell>
          <cell r="B80" t="str">
            <v xml:space="preserve">Медиафасад </v>
          </cell>
        </row>
        <row r="81">
          <cell r="A81" t="str">
            <v>Чебоксары</v>
          </cell>
          <cell r="B81" t="str">
            <v>PL</v>
          </cell>
        </row>
        <row r="82">
          <cell r="A82" t="str">
            <v>Нижний Новгород</v>
          </cell>
          <cell r="B82" t="str">
            <v xml:space="preserve">BB </v>
          </cell>
          <cell r="C82">
            <v>32.79</v>
          </cell>
        </row>
        <row r="83">
          <cell r="A83" t="str">
            <v>Нижний Новгород</v>
          </cell>
          <cell r="B83" t="str">
            <v xml:space="preserve">DBB </v>
          </cell>
          <cell r="C83">
            <v>37.04</v>
          </cell>
        </row>
        <row r="84">
          <cell r="A84" t="str">
            <v>Нижний Новгород</v>
          </cell>
          <cell r="B84" t="str">
            <v xml:space="preserve">SS </v>
          </cell>
          <cell r="C84">
            <v>66.2</v>
          </cell>
        </row>
        <row r="85">
          <cell r="A85" t="str">
            <v>Нижний Новгород</v>
          </cell>
          <cell r="B85" t="str">
            <v xml:space="preserve">DSS </v>
          </cell>
          <cell r="C85">
            <v>55.01</v>
          </cell>
        </row>
        <row r="86">
          <cell r="A86" t="str">
            <v>Нижний Новгород</v>
          </cell>
          <cell r="B86" t="str">
            <v xml:space="preserve">CF </v>
          </cell>
          <cell r="C86">
            <v>23.23</v>
          </cell>
        </row>
        <row r="87">
          <cell r="A87" t="str">
            <v>Нижний Новгород</v>
          </cell>
          <cell r="B87" t="str">
            <v xml:space="preserve">DCF </v>
          </cell>
          <cell r="C87">
            <v>11.73</v>
          </cell>
        </row>
        <row r="88">
          <cell r="A88" t="str">
            <v>Нижний Новгород</v>
          </cell>
          <cell r="B88" t="str">
            <v xml:space="preserve">Медиафасад </v>
          </cell>
        </row>
        <row r="89">
          <cell r="A89" t="str">
            <v>Нижний Новгород</v>
          </cell>
          <cell r="B89" t="str">
            <v>PL</v>
          </cell>
          <cell r="C89">
            <v>24.82</v>
          </cell>
        </row>
        <row r="90">
          <cell r="A90" t="str">
            <v>Хабаровск</v>
          </cell>
          <cell r="B90" t="str">
            <v xml:space="preserve">BB </v>
          </cell>
          <cell r="C90">
            <v>27.95</v>
          </cell>
        </row>
        <row r="91">
          <cell r="A91" t="str">
            <v>Хабаровск</v>
          </cell>
          <cell r="B91" t="str">
            <v xml:space="preserve">DBB </v>
          </cell>
          <cell r="C91">
            <v>34.270000000000003</v>
          </cell>
        </row>
        <row r="92">
          <cell r="A92" t="str">
            <v>Хабаровск</v>
          </cell>
          <cell r="B92" t="str">
            <v xml:space="preserve">SS </v>
          </cell>
          <cell r="C92">
            <v>53.93</v>
          </cell>
        </row>
        <row r="93">
          <cell r="A93" t="str">
            <v>Хабаровск</v>
          </cell>
          <cell r="B93" t="str">
            <v xml:space="preserve">DSS </v>
          </cell>
          <cell r="C93">
            <v>27.56</v>
          </cell>
        </row>
        <row r="94">
          <cell r="A94" t="str">
            <v>Хабаровск</v>
          </cell>
          <cell r="B94" t="str">
            <v xml:space="preserve">CF </v>
          </cell>
          <cell r="C94">
            <v>19.420000000000002</v>
          </cell>
        </row>
        <row r="95">
          <cell r="A95" t="str">
            <v>Хабаровск</v>
          </cell>
          <cell r="B95" t="str">
            <v xml:space="preserve">DCF </v>
          </cell>
        </row>
        <row r="96">
          <cell r="A96" t="str">
            <v>Хабаровск</v>
          </cell>
          <cell r="B96" t="str">
            <v xml:space="preserve">Медиафасад </v>
          </cell>
        </row>
        <row r="97">
          <cell r="A97" t="str">
            <v>Хабаровск</v>
          </cell>
          <cell r="B97" t="str">
            <v>PL</v>
          </cell>
          <cell r="C97">
            <v>13.24</v>
          </cell>
        </row>
        <row r="98">
          <cell r="A98" t="str">
            <v>Калининград</v>
          </cell>
          <cell r="B98" t="str">
            <v xml:space="preserve">BB </v>
          </cell>
        </row>
        <row r="99">
          <cell r="A99" t="str">
            <v>Калининград</v>
          </cell>
          <cell r="B99" t="str">
            <v xml:space="preserve">DBB </v>
          </cell>
        </row>
        <row r="100">
          <cell r="A100" t="str">
            <v>Калининград</v>
          </cell>
          <cell r="B100" t="str">
            <v xml:space="preserve">SS </v>
          </cell>
        </row>
        <row r="101">
          <cell r="A101" t="str">
            <v>Калининград</v>
          </cell>
          <cell r="B101" t="str">
            <v xml:space="preserve">DSS </v>
          </cell>
        </row>
        <row r="102">
          <cell r="A102" t="str">
            <v>Калининград</v>
          </cell>
          <cell r="B102" t="str">
            <v xml:space="preserve">CF </v>
          </cell>
        </row>
        <row r="103">
          <cell r="A103" t="str">
            <v>Калининград</v>
          </cell>
          <cell r="B103" t="str">
            <v xml:space="preserve">DCF </v>
          </cell>
        </row>
        <row r="104">
          <cell r="A104" t="str">
            <v>Калининград</v>
          </cell>
          <cell r="B104" t="str">
            <v xml:space="preserve">Медиафасад </v>
          </cell>
        </row>
        <row r="105">
          <cell r="A105" t="str">
            <v>Калининград</v>
          </cell>
          <cell r="B105" t="str">
            <v>PL</v>
          </cell>
        </row>
        <row r="106">
          <cell r="A106" t="str">
            <v>Омск</v>
          </cell>
          <cell r="B106" t="str">
            <v xml:space="preserve">BB </v>
          </cell>
          <cell r="C106">
            <v>34.24</v>
          </cell>
        </row>
        <row r="107">
          <cell r="A107" t="str">
            <v>Омск</v>
          </cell>
          <cell r="B107" t="str">
            <v xml:space="preserve">DBB </v>
          </cell>
          <cell r="C107">
            <v>50.34</v>
          </cell>
        </row>
        <row r="108">
          <cell r="A108" t="str">
            <v>Омск</v>
          </cell>
          <cell r="B108" t="str">
            <v xml:space="preserve">SS </v>
          </cell>
          <cell r="C108">
            <v>82.54</v>
          </cell>
        </row>
        <row r="109">
          <cell r="A109" t="str">
            <v>Омск</v>
          </cell>
          <cell r="B109" t="str">
            <v xml:space="preserve">DSS </v>
          </cell>
          <cell r="C109">
            <v>84.32</v>
          </cell>
        </row>
        <row r="110">
          <cell r="A110" t="str">
            <v>Омск</v>
          </cell>
          <cell r="B110" t="str">
            <v xml:space="preserve">CF </v>
          </cell>
          <cell r="C110">
            <v>24.31</v>
          </cell>
        </row>
        <row r="111">
          <cell r="A111" t="str">
            <v>Омск</v>
          </cell>
          <cell r="B111" t="str">
            <v xml:space="preserve">DCF </v>
          </cell>
          <cell r="C111">
            <v>18.7</v>
          </cell>
        </row>
        <row r="112">
          <cell r="A112" t="str">
            <v>Омск</v>
          </cell>
          <cell r="B112" t="str">
            <v xml:space="preserve">Медиафасад </v>
          </cell>
        </row>
        <row r="113">
          <cell r="A113" t="str">
            <v>Омск</v>
          </cell>
          <cell r="B113" t="str">
            <v>PL</v>
          </cell>
        </row>
        <row r="114">
          <cell r="A114" t="str">
            <v>Воронеж</v>
          </cell>
          <cell r="B114" t="str">
            <v xml:space="preserve">BB </v>
          </cell>
          <cell r="C114">
            <v>37.369999999999997</v>
          </cell>
        </row>
        <row r="115">
          <cell r="A115" t="str">
            <v>Воронеж</v>
          </cell>
          <cell r="B115" t="str">
            <v xml:space="preserve">DBB </v>
          </cell>
          <cell r="C115">
            <v>52.53</v>
          </cell>
        </row>
        <row r="116">
          <cell r="A116" t="str">
            <v>Воронеж</v>
          </cell>
          <cell r="B116" t="str">
            <v xml:space="preserve">SS </v>
          </cell>
          <cell r="C116">
            <v>95.42</v>
          </cell>
        </row>
        <row r="117">
          <cell r="A117" t="str">
            <v>Воронеж</v>
          </cell>
          <cell r="B117" t="str">
            <v xml:space="preserve">DSS </v>
          </cell>
          <cell r="C117">
            <v>46.5</v>
          </cell>
        </row>
        <row r="118">
          <cell r="A118" t="str">
            <v>Воронеж</v>
          </cell>
          <cell r="B118" t="str">
            <v xml:space="preserve">CF </v>
          </cell>
          <cell r="C118">
            <v>18.760000000000002</v>
          </cell>
        </row>
        <row r="119">
          <cell r="A119" t="str">
            <v>Воронеж</v>
          </cell>
          <cell r="B119" t="str">
            <v xml:space="preserve">DCF </v>
          </cell>
        </row>
        <row r="120">
          <cell r="A120" t="str">
            <v>Воронеж</v>
          </cell>
          <cell r="B120" t="str">
            <v xml:space="preserve">Медиафасад </v>
          </cell>
        </row>
        <row r="121">
          <cell r="A121" t="str">
            <v>Воронеж</v>
          </cell>
          <cell r="B121" t="str">
            <v>PL</v>
          </cell>
          <cell r="C121">
            <v>16.32</v>
          </cell>
        </row>
      </sheetData>
      <sheetData sheetId="26">
        <row r="2">
          <cell r="A2" t="str">
            <v>Москва</v>
          </cell>
          <cell r="E2">
            <v>467692.30769230769</v>
          </cell>
          <cell r="F2" t="str">
            <v>Digital Screen в вагонах</v>
          </cell>
          <cell r="G2">
            <v>0.1</v>
          </cell>
        </row>
        <row r="3">
          <cell r="A3" t="str">
            <v>Санкт-Петербург</v>
          </cell>
          <cell r="E3">
            <v>304000</v>
          </cell>
          <cell r="F3" t="str">
            <v>DCF на ст.метро</v>
          </cell>
          <cell r="G3">
            <v>0.4</v>
          </cell>
        </row>
        <row r="4">
          <cell r="A4" t="str">
            <v>Екатеринбург</v>
          </cell>
          <cell r="E4">
            <v>114000</v>
          </cell>
          <cell r="F4" t="str">
            <v>Digital Screen на ст.Савеловская</v>
          </cell>
          <cell r="G4">
            <v>0.03</v>
          </cell>
        </row>
        <row r="5">
          <cell r="A5" t="str">
            <v>Томск</v>
          </cell>
          <cell r="F5" t="str">
            <v>Стикеры в вагонах А2</v>
          </cell>
          <cell r="G5">
            <v>0.4</v>
          </cell>
        </row>
        <row r="6">
          <cell r="A6" t="str">
            <v>Кемерово</v>
          </cell>
          <cell r="F6" t="str">
            <v>Стикеры в вагонах над дверью</v>
          </cell>
          <cell r="G6">
            <v>0.4</v>
          </cell>
        </row>
        <row r="7">
          <cell r="A7" t="str">
            <v>Казань</v>
          </cell>
          <cell r="E7">
            <v>98800</v>
          </cell>
        </row>
        <row r="8">
          <cell r="A8" t="str">
            <v>Новосибирск</v>
          </cell>
          <cell r="E8">
            <v>87780</v>
          </cell>
        </row>
        <row r="9">
          <cell r="A9" t="str">
            <v>Краснодар</v>
          </cell>
        </row>
        <row r="10">
          <cell r="A10" t="str">
            <v>Сочи</v>
          </cell>
        </row>
        <row r="11">
          <cell r="A11" t="str">
            <v>Чебоксары</v>
          </cell>
        </row>
        <row r="12">
          <cell r="A12" t="str">
            <v>Нижний Новгород</v>
          </cell>
          <cell r="E12">
            <v>31540</v>
          </cell>
        </row>
        <row r="13">
          <cell r="A13" t="str">
            <v>Хабаровск</v>
          </cell>
        </row>
        <row r="14">
          <cell r="A14" t="str">
            <v>Калининград</v>
          </cell>
        </row>
        <row r="15">
          <cell r="A15" t="str">
            <v>Омск</v>
          </cell>
        </row>
        <row r="16">
          <cell r="A16" t="str">
            <v>Воронеж</v>
          </cell>
        </row>
        <row r="19">
          <cell r="A19" t="str">
            <v>Источник: оценка агентства OMD</v>
          </cell>
        </row>
      </sheetData>
      <sheetData sheetId="27">
        <row r="1">
          <cell r="A1" t="str">
            <v>Город</v>
          </cell>
        </row>
        <row r="2">
          <cell r="A2" t="str">
            <v>Москва</v>
          </cell>
        </row>
        <row r="3">
          <cell r="A3" t="str">
            <v>Москва</v>
          </cell>
        </row>
        <row r="4">
          <cell r="A4" t="str">
            <v>Москва</v>
          </cell>
        </row>
        <row r="5">
          <cell r="A5" t="str">
            <v>Москва</v>
          </cell>
        </row>
        <row r="6">
          <cell r="A6" t="str">
            <v>Москва</v>
          </cell>
        </row>
        <row r="7">
          <cell r="A7" t="str">
            <v>Москва</v>
          </cell>
        </row>
        <row r="8">
          <cell r="A8" t="str">
            <v>Москва</v>
          </cell>
        </row>
        <row r="9">
          <cell r="A9" t="str">
            <v>Москва</v>
          </cell>
        </row>
        <row r="10">
          <cell r="A10" t="str">
            <v>Москва</v>
          </cell>
        </row>
        <row r="11">
          <cell r="A11" t="str">
            <v>Москва</v>
          </cell>
        </row>
        <row r="12">
          <cell r="A12" t="str">
            <v>Москва</v>
          </cell>
        </row>
        <row r="13">
          <cell r="A13" t="str">
            <v>Москва</v>
          </cell>
        </row>
        <row r="14">
          <cell r="A14" t="str">
            <v>Москва</v>
          </cell>
        </row>
        <row r="15">
          <cell r="A15" t="str">
            <v>Москва</v>
          </cell>
        </row>
        <row r="16">
          <cell r="A16" t="str">
            <v>Москва</v>
          </cell>
        </row>
        <row r="17">
          <cell r="A17" t="str">
            <v>Москва</v>
          </cell>
        </row>
        <row r="18">
          <cell r="A18" t="str">
            <v>Москва</v>
          </cell>
        </row>
        <row r="19">
          <cell r="A19" t="str">
            <v>Москва</v>
          </cell>
        </row>
        <row r="20">
          <cell r="A20" t="str">
            <v>Москва</v>
          </cell>
        </row>
        <row r="21">
          <cell r="A21" t="str">
            <v>Москва</v>
          </cell>
        </row>
        <row r="22">
          <cell r="A22" t="str">
            <v>Москва</v>
          </cell>
        </row>
        <row r="23">
          <cell r="A23" t="str">
            <v>Москва</v>
          </cell>
        </row>
        <row r="24">
          <cell r="A24" t="str">
            <v>Москва</v>
          </cell>
        </row>
        <row r="25">
          <cell r="A25" t="str">
            <v>Москва</v>
          </cell>
        </row>
        <row r="26">
          <cell r="A26" t="str">
            <v>Москва</v>
          </cell>
        </row>
        <row r="27">
          <cell r="A27" t="str">
            <v>Москва</v>
          </cell>
        </row>
        <row r="28">
          <cell r="A28" t="str">
            <v>Москва</v>
          </cell>
        </row>
        <row r="29">
          <cell r="A29" t="str">
            <v>Москва</v>
          </cell>
        </row>
        <row r="30">
          <cell r="A30" t="str">
            <v>Москва</v>
          </cell>
        </row>
        <row r="31">
          <cell r="A31" t="str">
            <v>Москва</v>
          </cell>
        </row>
        <row r="32">
          <cell r="A32" t="str">
            <v>Москва</v>
          </cell>
        </row>
        <row r="33">
          <cell r="A33" t="str">
            <v>Москва</v>
          </cell>
        </row>
        <row r="34">
          <cell r="A34" t="str">
            <v>Москва</v>
          </cell>
        </row>
        <row r="35">
          <cell r="A35" t="str">
            <v>Москва</v>
          </cell>
        </row>
        <row r="36">
          <cell r="A36" t="str">
            <v>Москва</v>
          </cell>
        </row>
        <row r="37">
          <cell r="A37" t="str">
            <v>Москва</v>
          </cell>
        </row>
        <row r="38">
          <cell r="A38" t="str">
            <v>Москва</v>
          </cell>
        </row>
        <row r="39">
          <cell r="A39" t="str">
            <v>Москва</v>
          </cell>
        </row>
        <row r="40">
          <cell r="A40" t="str">
            <v>Москва</v>
          </cell>
        </row>
        <row r="41">
          <cell r="A41" t="str">
            <v>Москва</v>
          </cell>
        </row>
        <row r="42">
          <cell r="A42" t="str">
            <v>Москва</v>
          </cell>
        </row>
        <row r="43">
          <cell r="A43" t="str">
            <v>Москва</v>
          </cell>
        </row>
        <row r="44">
          <cell r="A44" t="str">
            <v>Москва</v>
          </cell>
        </row>
        <row r="45">
          <cell r="A45" t="str">
            <v>Москва</v>
          </cell>
        </row>
        <row r="46">
          <cell r="A46" t="str">
            <v>Москва</v>
          </cell>
        </row>
        <row r="47">
          <cell r="A47" t="str">
            <v>Москва</v>
          </cell>
        </row>
        <row r="48">
          <cell r="A48" t="str">
            <v>Москва</v>
          </cell>
        </row>
        <row r="49">
          <cell r="A49" t="str">
            <v>Москва</v>
          </cell>
        </row>
        <row r="50">
          <cell r="A50" t="str">
            <v>Москва</v>
          </cell>
        </row>
        <row r="51">
          <cell r="A51" t="str">
            <v>Москва</v>
          </cell>
        </row>
        <row r="52">
          <cell r="A52" t="str">
            <v>Москва</v>
          </cell>
        </row>
        <row r="53">
          <cell r="A53" t="str">
            <v>Москва</v>
          </cell>
        </row>
        <row r="54">
          <cell r="A54" t="str">
            <v>Москва</v>
          </cell>
        </row>
        <row r="55">
          <cell r="A55" t="str">
            <v>Москва</v>
          </cell>
        </row>
        <row r="56">
          <cell r="A56" t="str">
            <v>Москва</v>
          </cell>
        </row>
        <row r="57">
          <cell r="A57" t="str">
            <v>Москва</v>
          </cell>
        </row>
        <row r="58">
          <cell r="A58" t="str">
            <v>Москва</v>
          </cell>
        </row>
        <row r="59">
          <cell r="A59" t="str">
            <v>Москва</v>
          </cell>
        </row>
        <row r="60">
          <cell r="A60" t="str">
            <v>Санкт-Петербург</v>
          </cell>
        </row>
        <row r="61">
          <cell r="A61" t="str">
            <v>Санкт-Петербург</v>
          </cell>
        </row>
        <row r="62">
          <cell r="A62" t="str">
            <v>Санкт-Петербург</v>
          </cell>
        </row>
        <row r="63">
          <cell r="A63" t="str">
            <v>Санкт-Петербург</v>
          </cell>
        </row>
        <row r="64">
          <cell r="A64" t="str">
            <v>Санкт-Петербург</v>
          </cell>
        </row>
        <row r="65">
          <cell r="A65" t="str">
            <v>Санкт-Петербург</v>
          </cell>
        </row>
        <row r="66">
          <cell r="A66" t="str">
            <v>Санкт-Петербург</v>
          </cell>
        </row>
        <row r="67">
          <cell r="A67" t="str">
            <v>Санкт-Петербург</v>
          </cell>
        </row>
        <row r="68">
          <cell r="A68" t="str">
            <v>Санкт-Петербург</v>
          </cell>
        </row>
        <row r="69">
          <cell r="A69" t="str">
            <v>Санкт-Петербург</v>
          </cell>
        </row>
        <row r="70">
          <cell r="A70" t="str">
            <v>Санкт-Петербург</v>
          </cell>
        </row>
        <row r="71">
          <cell r="A71" t="str">
            <v>Санкт-Петербург</v>
          </cell>
        </row>
        <row r="72">
          <cell r="A72" t="str">
            <v>Санкт-Петербург</v>
          </cell>
        </row>
        <row r="73">
          <cell r="A73" t="str">
            <v>Санкт-Петербург</v>
          </cell>
        </row>
        <row r="74">
          <cell r="A74" t="str">
            <v>Санкт-Петербург</v>
          </cell>
        </row>
        <row r="75">
          <cell r="A75" t="str">
            <v>Санкт-Петербург</v>
          </cell>
        </row>
        <row r="76">
          <cell r="A76" t="str">
            <v>Санкт-Петербург</v>
          </cell>
        </row>
        <row r="77">
          <cell r="A77" t="str">
            <v>Санкт-Петербург</v>
          </cell>
        </row>
        <row r="78">
          <cell r="A78" t="str">
            <v>Санкт-Петербург</v>
          </cell>
        </row>
        <row r="79">
          <cell r="A79" t="str">
            <v>Санкт-Петербург</v>
          </cell>
        </row>
        <row r="80">
          <cell r="A80" t="str">
            <v>Санкт-Петербург</v>
          </cell>
        </row>
        <row r="81">
          <cell r="A81" t="str">
            <v>Санкт-Петербург</v>
          </cell>
        </row>
        <row r="82">
          <cell r="A82" t="str">
            <v>Санкт-Петербург</v>
          </cell>
        </row>
        <row r="83">
          <cell r="A83" t="str">
            <v>Санкт-Петербург</v>
          </cell>
        </row>
        <row r="84">
          <cell r="A84" t="str">
            <v>Санкт-Петербург</v>
          </cell>
        </row>
        <row r="85">
          <cell r="A85" t="str">
            <v>Санкт-Петербург</v>
          </cell>
        </row>
        <row r="86">
          <cell r="A86" t="str">
            <v>Санкт-Петербург</v>
          </cell>
        </row>
        <row r="87">
          <cell r="A87" t="str">
            <v>Санкт-Петербург</v>
          </cell>
        </row>
        <row r="88">
          <cell r="A88" t="str">
            <v>Санкт-Петербург</v>
          </cell>
        </row>
        <row r="89">
          <cell r="A89" t="str">
            <v>Санкт-Петербург</v>
          </cell>
        </row>
        <row r="90">
          <cell r="A90" t="str">
            <v>Санкт-Петербург</v>
          </cell>
        </row>
        <row r="91">
          <cell r="A91" t="str">
            <v>Санкт-Петербург</v>
          </cell>
        </row>
        <row r="92">
          <cell r="A92" t="str">
            <v>Санкт-Петербург</v>
          </cell>
        </row>
        <row r="93">
          <cell r="A93" t="str">
            <v>Санкт-Петербург</v>
          </cell>
        </row>
        <row r="94">
          <cell r="A94" t="str">
            <v>Санкт-Петербург</v>
          </cell>
        </row>
        <row r="95">
          <cell r="A95" t="str">
            <v>Санкт-Петербург</v>
          </cell>
        </row>
        <row r="96">
          <cell r="A96" t="str">
            <v>Санкт-Петербург</v>
          </cell>
        </row>
        <row r="97">
          <cell r="A97" t="str">
            <v>Санкт-Петербург</v>
          </cell>
        </row>
        <row r="98">
          <cell r="A98" t="str">
            <v>Санкт-Петербург</v>
          </cell>
        </row>
        <row r="99">
          <cell r="A99" t="str">
            <v>Санкт-Петербург</v>
          </cell>
        </row>
        <row r="100">
          <cell r="A100" t="str">
            <v>Санкт-Петербург</v>
          </cell>
        </row>
        <row r="101">
          <cell r="A101" t="str">
            <v>Санкт-Петербург</v>
          </cell>
        </row>
        <row r="102">
          <cell r="A102" t="str">
            <v>Санкт-Петербург</v>
          </cell>
        </row>
        <row r="103">
          <cell r="A103" t="str">
            <v>Санкт-Петербург</v>
          </cell>
        </row>
        <row r="104">
          <cell r="A104" t="str">
            <v>Санкт-Петербург</v>
          </cell>
        </row>
        <row r="105">
          <cell r="A105" t="str">
            <v>Санкт-Петербург</v>
          </cell>
        </row>
        <row r="106">
          <cell r="A106" t="str">
            <v>Санкт-Петербург</v>
          </cell>
        </row>
        <row r="107">
          <cell r="A107" t="str">
            <v>Санкт-Петербург</v>
          </cell>
        </row>
        <row r="108">
          <cell r="A108" t="str">
            <v>Санкт-Петербург</v>
          </cell>
        </row>
        <row r="109">
          <cell r="A109" t="str">
            <v>Санкт-Петербург</v>
          </cell>
        </row>
        <row r="110">
          <cell r="A110" t="str">
            <v>Санкт-Петербург</v>
          </cell>
        </row>
        <row r="111">
          <cell r="A111" t="str">
            <v>Санкт-Петербург</v>
          </cell>
        </row>
        <row r="112">
          <cell r="A112" t="str">
            <v>Санкт-Петербург</v>
          </cell>
        </row>
        <row r="113">
          <cell r="A113" t="str">
            <v>Санкт-Петербург</v>
          </cell>
        </row>
        <row r="114">
          <cell r="A114" t="str">
            <v>Санкт-Петербург</v>
          </cell>
        </row>
        <row r="115">
          <cell r="A115" t="str">
            <v>Санкт-Петербург</v>
          </cell>
        </row>
        <row r="116">
          <cell r="A116" t="str">
            <v>Санкт-Петербург</v>
          </cell>
        </row>
        <row r="117">
          <cell r="A117" t="str">
            <v>Санкт-Петербург</v>
          </cell>
        </row>
        <row r="118">
          <cell r="A118" t="str">
            <v>Екатеринбург</v>
          </cell>
        </row>
        <row r="119">
          <cell r="A119" t="str">
            <v>Екатеринбург</v>
          </cell>
        </row>
        <row r="120">
          <cell r="A120" t="str">
            <v>Екатеринбург</v>
          </cell>
        </row>
        <row r="121">
          <cell r="A121" t="str">
            <v>Екатеринбург</v>
          </cell>
        </row>
        <row r="122">
          <cell r="A122" t="str">
            <v>Екатеринбург</v>
          </cell>
        </row>
        <row r="123">
          <cell r="A123" t="str">
            <v>Екатеринбург</v>
          </cell>
        </row>
        <row r="124">
          <cell r="A124" t="str">
            <v>Екатеринбург</v>
          </cell>
        </row>
        <row r="125">
          <cell r="A125" t="str">
            <v>Екатеринбург</v>
          </cell>
        </row>
        <row r="126">
          <cell r="A126" t="str">
            <v>Екатеринбург</v>
          </cell>
        </row>
        <row r="127">
          <cell r="A127" t="str">
            <v>Екатеринбург</v>
          </cell>
        </row>
        <row r="128">
          <cell r="A128" t="str">
            <v>Екатеринбург</v>
          </cell>
        </row>
        <row r="129">
          <cell r="A129" t="str">
            <v>Екатеринбург</v>
          </cell>
        </row>
        <row r="130">
          <cell r="A130" t="str">
            <v>Екатеринбург</v>
          </cell>
        </row>
        <row r="131">
          <cell r="A131" t="str">
            <v>Екатеринбург</v>
          </cell>
        </row>
        <row r="132">
          <cell r="A132" t="str">
            <v>Екатеринбург</v>
          </cell>
        </row>
        <row r="133">
          <cell r="A133" t="str">
            <v>Екатеринбург</v>
          </cell>
        </row>
        <row r="134">
          <cell r="A134" t="str">
            <v>Екатеринбург</v>
          </cell>
        </row>
        <row r="135">
          <cell r="A135" t="str">
            <v>Екатеринбург</v>
          </cell>
        </row>
        <row r="136">
          <cell r="A136" t="str">
            <v>Екатеринбург</v>
          </cell>
        </row>
        <row r="137">
          <cell r="A137" t="str">
            <v>Екатеринбург</v>
          </cell>
        </row>
        <row r="138">
          <cell r="A138" t="str">
            <v>Екатеринбург</v>
          </cell>
        </row>
        <row r="139">
          <cell r="A139" t="str">
            <v>Екатеринбург</v>
          </cell>
        </row>
        <row r="140">
          <cell r="A140" t="str">
            <v>Екатеринбург</v>
          </cell>
        </row>
        <row r="141">
          <cell r="A141" t="str">
            <v>Екатеринбург</v>
          </cell>
        </row>
        <row r="142">
          <cell r="A142" t="str">
            <v>Екатеринбург</v>
          </cell>
        </row>
        <row r="143">
          <cell r="A143" t="str">
            <v>Екатеринбург</v>
          </cell>
        </row>
        <row r="144">
          <cell r="A144" t="str">
            <v>Екатеринбург</v>
          </cell>
        </row>
        <row r="145">
          <cell r="A145" t="str">
            <v>Екатеринбург</v>
          </cell>
        </row>
        <row r="146">
          <cell r="A146" t="str">
            <v>Екатеринбург</v>
          </cell>
        </row>
        <row r="147">
          <cell r="A147" t="str">
            <v>Екатеринбург</v>
          </cell>
        </row>
        <row r="148">
          <cell r="A148" t="str">
            <v>Екатеринбург</v>
          </cell>
        </row>
        <row r="149">
          <cell r="A149" t="str">
            <v>Екатеринбург</v>
          </cell>
        </row>
        <row r="150">
          <cell r="A150" t="str">
            <v>Екатеринбург</v>
          </cell>
        </row>
        <row r="151">
          <cell r="A151" t="str">
            <v>Екатеринбург</v>
          </cell>
        </row>
        <row r="152">
          <cell r="A152" t="str">
            <v>Екатеринбург</v>
          </cell>
        </row>
        <row r="153">
          <cell r="A153" t="str">
            <v>Екатеринбург</v>
          </cell>
        </row>
        <row r="154">
          <cell r="A154" t="str">
            <v>Екатеринбург</v>
          </cell>
        </row>
        <row r="155">
          <cell r="A155" t="str">
            <v>Екатеринбург</v>
          </cell>
        </row>
        <row r="156">
          <cell r="A156" t="str">
            <v>Екатеринбург</v>
          </cell>
        </row>
        <row r="157">
          <cell r="A157" t="str">
            <v>Екатеринбург</v>
          </cell>
        </row>
        <row r="158">
          <cell r="A158" t="str">
            <v>Екатеринбург</v>
          </cell>
        </row>
        <row r="159">
          <cell r="A159" t="str">
            <v>Екатеринбург</v>
          </cell>
        </row>
        <row r="160">
          <cell r="A160" t="str">
            <v>Екатеринбург</v>
          </cell>
        </row>
        <row r="161">
          <cell r="A161" t="str">
            <v>Екатеринбург</v>
          </cell>
        </row>
        <row r="162">
          <cell r="A162" t="str">
            <v>Екатеринбург</v>
          </cell>
        </row>
        <row r="163">
          <cell r="A163" t="str">
            <v>Екатеринбург</v>
          </cell>
        </row>
        <row r="164">
          <cell r="A164" t="str">
            <v>Екатеринбург</v>
          </cell>
        </row>
        <row r="165">
          <cell r="A165" t="str">
            <v>Екатеринбург</v>
          </cell>
        </row>
        <row r="166">
          <cell r="A166" t="str">
            <v>Екатеринбург</v>
          </cell>
        </row>
        <row r="167">
          <cell r="A167" t="str">
            <v>Екатеринбург</v>
          </cell>
        </row>
        <row r="168">
          <cell r="A168" t="str">
            <v>Екатеринбург</v>
          </cell>
        </row>
        <row r="169">
          <cell r="A169" t="str">
            <v>Екатеринбург</v>
          </cell>
        </row>
        <row r="170">
          <cell r="A170" t="str">
            <v>Екатеринбург</v>
          </cell>
        </row>
        <row r="171">
          <cell r="A171" t="str">
            <v>Екатеринбург</v>
          </cell>
        </row>
        <row r="172">
          <cell r="A172" t="str">
            <v>Екатеринбург</v>
          </cell>
        </row>
        <row r="173">
          <cell r="A173" t="str">
            <v>Екатеринбург</v>
          </cell>
        </row>
        <row r="174">
          <cell r="A174" t="str">
            <v>Екатеринбург</v>
          </cell>
        </row>
        <row r="175">
          <cell r="A175" t="str">
            <v>Екатеринбург</v>
          </cell>
        </row>
        <row r="176">
          <cell r="A176" t="str">
            <v>Казань</v>
          </cell>
        </row>
        <row r="177">
          <cell r="A177" t="str">
            <v>Казань</v>
          </cell>
        </row>
        <row r="178">
          <cell r="A178" t="str">
            <v>Казань</v>
          </cell>
        </row>
        <row r="179">
          <cell r="A179" t="str">
            <v>Казань</v>
          </cell>
        </row>
        <row r="180">
          <cell r="A180" t="str">
            <v>Казань</v>
          </cell>
        </row>
        <row r="181">
          <cell r="A181" t="str">
            <v>Казань</v>
          </cell>
        </row>
        <row r="182">
          <cell r="A182" t="str">
            <v>Казань</v>
          </cell>
        </row>
        <row r="183">
          <cell r="A183" t="str">
            <v>Казань</v>
          </cell>
        </row>
        <row r="184">
          <cell r="A184" t="str">
            <v>Казань</v>
          </cell>
        </row>
        <row r="185">
          <cell r="A185" t="str">
            <v>Казань</v>
          </cell>
        </row>
        <row r="186">
          <cell r="A186" t="str">
            <v>Казань</v>
          </cell>
        </row>
        <row r="187">
          <cell r="A187" t="str">
            <v>Казань</v>
          </cell>
        </row>
        <row r="188">
          <cell r="A188" t="str">
            <v>Казань</v>
          </cell>
        </row>
        <row r="189">
          <cell r="A189" t="str">
            <v>Казань</v>
          </cell>
        </row>
        <row r="190">
          <cell r="A190" t="str">
            <v>Казань</v>
          </cell>
        </row>
        <row r="191">
          <cell r="A191" t="str">
            <v>Казань</v>
          </cell>
        </row>
        <row r="192">
          <cell r="A192" t="str">
            <v>Казань</v>
          </cell>
        </row>
        <row r="193">
          <cell r="A193" t="str">
            <v>Казань</v>
          </cell>
        </row>
        <row r="194">
          <cell r="A194" t="str">
            <v>Казань</v>
          </cell>
        </row>
        <row r="195">
          <cell r="A195" t="str">
            <v>Казань</v>
          </cell>
        </row>
        <row r="196">
          <cell r="A196" t="str">
            <v>Казань</v>
          </cell>
        </row>
        <row r="197">
          <cell r="A197" t="str">
            <v>Казань</v>
          </cell>
        </row>
        <row r="198">
          <cell r="A198" t="str">
            <v>Казань</v>
          </cell>
        </row>
        <row r="199">
          <cell r="A199" t="str">
            <v>Казань</v>
          </cell>
        </row>
        <row r="200">
          <cell r="A200" t="str">
            <v>Казань</v>
          </cell>
        </row>
        <row r="201">
          <cell r="A201" t="str">
            <v>Казань</v>
          </cell>
        </row>
        <row r="202">
          <cell r="A202" t="str">
            <v>Казань</v>
          </cell>
        </row>
        <row r="203">
          <cell r="A203" t="str">
            <v>Казань</v>
          </cell>
        </row>
        <row r="204">
          <cell r="A204" t="str">
            <v>Казань</v>
          </cell>
        </row>
        <row r="205">
          <cell r="A205" t="str">
            <v>Казань</v>
          </cell>
        </row>
        <row r="206">
          <cell r="A206" t="str">
            <v>Казань</v>
          </cell>
        </row>
        <row r="207">
          <cell r="A207" t="str">
            <v>Казань</v>
          </cell>
        </row>
        <row r="208">
          <cell r="A208" t="str">
            <v>Казань</v>
          </cell>
        </row>
        <row r="209">
          <cell r="A209" t="str">
            <v>Казань</v>
          </cell>
        </row>
        <row r="210">
          <cell r="A210" t="str">
            <v>Казань</v>
          </cell>
        </row>
        <row r="211">
          <cell r="A211" t="str">
            <v>Казань</v>
          </cell>
        </row>
        <row r="212">
          <cell r="A212" t="str">
            <v>Казань</v>
          </cell>
        </row>
        <row r="213">
          <cell r="A213" t="str">
            <v>Казань</v>
          </cell>
        </row>
        <row r="214">
          <cell r="A214" t="str">
            <v>Казань</v>
          </cell>
        </row>
        <row r="215">
          <cell r="A215" t="str">
            <v>Казань</v>
          </cell>
        </row>
        <row r="216">
          <cell r="A216" t="str">
            <v>Казань</v>
          </cell>
        </row>
        <row r="217">
          <cell r="A217" t="str">
            <v>Казань</v>
          </cell>
        </row>
        <row r="218">
          <cell r="A218" t="str">
            <v>Казань</v>
          </cell>
        </row>
        <row r="219">
          <cell r="A219" t="str">
            <v>Казань</v>
          </cell>
        </row>
        <row r="220">
          <cell r="A220" t="str">
            <v>Казань</v>
          </cell>
        </row>
        <row r="221">
          <cell r="A221" t="str">
            <v>Казань</v>
          </cell>
        </row>
        <row r="222">
          <cell r="A222" t="str">
            <v>Казань</v>
          </cell>
        </row>
        <row r="223">
          <cell r="A223" t="str">
            <v>Казань</v>
          </cell>
        </row>
        <row r="224">
          <cell r="A224" t="str">
            <v>Казань</v>
          </cell>
        </row>
        <row r="225">
          <cell r="A225" t="str">
            <v>Казань</v>
          </cell>
        </row>
        <row r="226">
          <cell r="A226" t="str">
            <v>Казань</v>
          </cell>
        </row>
        <row r="227">
          <cell r="A227" t="str">
            <v>Казань</v>
          </cell>
        </row>
        <row r="228">
          <cell r="A228" t="str">
            <v>Казань</v>
          </cell>
        </row>
        <row r="229">
          <cell r="A229" t="str">
            <v>Казань</v>
          </cell>
        </row>
        <row r="230">
          <cell r="A230" t="str">
            <v>Казань</v>
          </cell>
        </row>
        <row r="231">
          <cell r="A231" t="str">
            <v>Казань</v>
          </cell>
        </row>
        <row r="232">
          <cell r="A232" t="str">
            <v>Казань</v>
          </cell>
        </row>
        <row r="233">
          <cell r="A233" t="str">
            <v>Казань</v>
          </cell>
        </row>
        <row r="234">
          <cell r="A234" t="str">
            <v>Новосибирск</v>
          </cell>
        </row>
        <row r="235">
          <cell r="A235" t="str">
            <v>Новосибирск</v>
          </cell>
        </row>
        <row r="236">
          <cell r="A236" t="str">
            <v>Новосибирск</v>
          </cell>
        </row>
        <row r="237">
          <cell r="A237" t="str">
            <v>Новосибирск</v>
          </cell>
        </row>
        <row r="238">
          <cell r="A238" t="str">
            <v>Новосибирск</v>
          </cell>
        </row>
        <row r="239">
          <cell r="A239" t="str">
            <v>Новосибирск</v>
          </cell>
        </row>
        <row r="240">
          <cell r="A240" t="str">
            <v>Новосибирск</v>
          </cell>
        </row>
        <row r="241">
          <cell r="A241" t="str">
            <v>Новосибирск</v>
          </cell>
        </row>
        <row r="242">
          <cell r="A242" t="str">
            <v>Новосибирск</v>
          </cell>
        </row>
        <row r="243">
          <cell r="A243" t="str">
            <v>Новосибирск</v>
          </cell>
        </row>
        <row r="244">
          <cell r="A244" t="str">
            <v>Новосибирск</v>
          </cell>
        </row>
        <row r="245">
          <cell r="A245" t="str">
            <v>Новосибирск</v>
          </cell>
        </row>
        <row r="246">
          <cell r="A246" t="str">
            <v>Новосибирск</v>
          </cell>
        </row>
        <row r="247">
          <cell r="A247" t="str">
            <v>Новосибирск</v>
          </cell>
        </row>
        <row r="248">
          <cell r="A248" t="str">
            <v>Новосибирск</v>
          </cell>
        </row>
        <row r="249">
          <cell r="A249" t="str">
            <v>Новосибирск</v>
          </cell>
        </row>
        <row r="250">
          <cell r="A250" t="str">
            <v>Новосибирск</v>
          </cell>
        </row>
        <row r="251">
          <cell r="A251" t="str">
            <v>Новосибирск</v>
          </cell>
        </row>
        <row r="252">
          <cell r="A252" t="str">
            <v>Новосибирск</v>
          </cell>
        </row>
        <row r="253">
          <cell r="A253" t="str">
            <v>Новосибирск</v>
          </cell>
        </row>
        <row r="254">
          <cell r="A254" t="str">
            <v>Новосибирск</v>
          </cell>
        </row>
        <row r="255">
          <cell r="A255" t="str">
            <v>Новосибирск</v>
          </cell>
        </row>
        <row r="256">
          <cell r="A256" t="str">
            <v>Новосибирск</v>
          </cell>
        </row>
        <row r="257">
          <cell r="A257" t="str">
            <v>Новосибирск</v>
          </cell>
        </row>
        <row r="258">
          <cell r="A258" t="str">
            <v>Новосибирск</v>
          </cell>
        </row>
        <row r="259">
          <cell r="A259" t="str">
            <v>Новосибирск</v>
          </cell>
        </row>
        <row r="260">
          <cell r="A260" t="str">
            <v>Новосибирск</v>
          </cell>
        </row>
        <row r="261">
          <cell r="A261" t="str">
            <v>Новосибирск</v>
          </cell>
        </row>
        <row r="262">
          <cell r="A262" t="str">
            <v>Новосибирск</v>
          </cell>
        </row>
        <row r="263">
          <cell r="A263" t="str">
            <v>Новосибирск</v>
          </cell>
        </row>
        <row r="264">
          <cell r="A264" t="str">
            <v>Новосибирск</v>
          </cell>
        </row>
        <row r="265">
          <cell r="A265" t="str">
            <v>Новосибирск</v>
          </cell>
        </row>
        <row r="266">
          <cell r="A266" t="str">
            <v>Новосибирск</v>
          </cell>
        </row>
        <row r="267">
          <cell r="A267" t="str">
            <v>Новосибирск</v>
          </cell>
        </row>
        <row r="268">
          <cell r="A268" t="str">
            <v>Новосибирск</v>
          </cell>
        </row>
        <row r="269">
          <cell r="A269" t="str">
            <v>Новосибирск</v>
          </cell>
        </row>
        <row r="270">
          <cell r="A270" t="str">
            <v>Новосибирск</v>
          </cell>
        </row>
        <row r="271">
          <cell r="A271" t="str">
            <v>Новосибирск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Краснодар</v>
          </cell>
        </row>
        <row r="293">
          <cell r="A293" t="str">
            <v>Краснодар</v>
          </cell>
        </row>
        <row r="294">
          <cell r="A294" t="str">
            <v>Краснодар</v>
          </cell>
        </row>
        <row r="295">
          <cell r="A295" t="str">
            <v>Краснодар</v>
          </cell>
        </row>
        <row r="296">
          <cell r="A296" t="str">
            <v>Краснодар</v>
          </cell>
        </row>
        <row r="297">
          <cell r="A297" t="str">
            <v>Краснодар</v>
          </cell>
        </row>
        <row r="298">
          <cell r="A298" t="str">
            <v>Краснодар</v>
          </cell>
        </row>
        <row r="299">
          <cell r="A299" t="str">
            <v>Краснодар</v>
          </cell>
        </row>
        <row r="300">
          <cell r="A300" t="str">
            <v>Краснодар</v>
          </cell>
        </row>
        <row r="301">
          <cell r="A301" t="str">
            <v>Краснодар</v>
          </cell>
        </row>
        <row r="302">
          <cell r="A302" t="str">
            <v>Краснодар</v>
          </cell>
        </row>
        <row r="303">
          <cell r="A303" t="str">
            <v>Краснодар</v>
          </cell>
        </row>
        <row r="304">
          <cell r="A304" t="str">
            <v>Краснодар</v>
          </cell>
        </row>
        <row r="305">
          <cell r="A305" t="str">
            <v>Краснодар</v>
          </cell>
        </row>
        <row r="306">
          <cell r="A306" t="str">
            <v>Краснодар</v>
          </cell>
        </row>
        <row r="307">
          <cell r="A307" t="str">
            <v>Краснодар</v>
          </cell>
        </row>
        <row r="308">
          <cell r="A308" t="str">
            <v>Краснодар</v>
          </cell>
        </row>
        <row r="309">
          <cell r="A309" t="str">
            <v>Краснодар</v>
          </cell>
        </row>
        <row r="310">
          <cell r="A310" t="str">
            <v>Краснодар</v>
          </cell>
        </row>
        <row r="311">
          <cell r="A311" t="str">
            <v>Краснодар</v>
          </cell>
        </row>
        <row r="312">
          <cell r="A312" t="str">
            <v>Краснодар</v>
          </cell>
        </row>
        <row r="313">
          <cell r="A313" t="str">
            <v>Краснодар</v>
          </cell>
        </row>
        <row r="314">
          <cell r="A314" t="str">
            <v>Краснодар</v>
          </cell>
        </row>
        <row r="315">
          <cell r="A315" t="str">
            <v>Краснодар</v>
          </cell>
        </row>
        <row r="316">
          <cell r="A316" t="str">
            <v>Краснодар</v>
          </cell>
        </row>
        <row r="317">
          <cell r="A317" t="str">
            <v>Краснодар</v>
          </cell>
        </row>
        <row r="318">
          <cell r="A318" t="str">
            <v>Краснодар</v>
          </cell>
        </row>
        <row r="319">
          <cell r="A319" t="str">
            <v>Краснодар</v>
          </cell>
        </row>
        <row r="320">
          <cell r="A320" t="str">
            <v>Краснодар</v>
          </cell>
        </row>
        <row r="321">
          <cell r="A321" t="str">
            <v>Краснодар</v>
          </cell>
        </row>
        <row r="322">
          <cell r="A322" t="str">
            <v>Краснодар</v>
          </cell>
        </row>
        <row r="323">
          <cell r="A323" t="str">
            <v>Краснодар</v>
          </cell>
        </row>
        <row r="324">
          <cell r="A324" t="str">
            <v>Краснодар</v>
          </cell>
        </row>
        <row r="325">
          <cell r="A325" t="str">
            <v>Краснодар</v>
          </cell>
        </row>
        <row r="326">
          <cell r="A326" t="str">
            <v>Краснодар</v>
          </cell>
        </row>
        <row r="327">
          <cell r="A327" t="str">
            <v>Краснодар</v>
          </cell>
        </row>
        <row r="328">
          <cell r="A328" t="str">
            <v>Краснодар</v>
          </cell>
        </row>
        <row r="329">
          <cell r="A329" t="str">
            <v>Краснодар</v>
          </cell>
        </row>
        <row r="330">
          <cell r="A330" t="str">
            <v>Краснодар</v>
          </cell>
        </row>
        <row r="331">
          <cell r="A331" t="str">
            <v>Краснодар</v>
          </cell>
        </row>
        <row r="332">
          <cell r="A332" t="str">
            <v>Краснодар</v>
          </cell>
        </row>
        <row r="333">
          <cell r="A333" t="str">
            <v>Краснодар</v>
          </cell>
        </row>
        <row r="334">
          <cell r="A334" t="str">
            <v>Краснодар</v>
          </cell>
        </row>
        <row r="335">
          <cell r="A335" t="str">
            <v>Краснодар</v>
          </cell>
        </row>
        <row r="336">
          <cell r="A336" t="str">
            <v>Краснодар</v>
          </cell>
        </row>
        <row r="337">
          <cell r="A337" t="str">
            <v>Краснодар</v>
          </cell>
        </row>
        <row r="338">
          <cell r="A338" t="str">
            <v>Краснодар</v>
          </cell>
        </row>
        <row r="339">
          <cell r="A339" t="str">
            <v>Краснодар</v>
          </cell>
        </row>
        <row r="340">
          <cell r="A340" t="str">
            <v>Краснодар</v>
          </cell>
        </row>
        <row r="341">
          <cell r="A341" t="str">
            <v>Краснодар</v>
          </cell>
        </row>
        <row r="342">
          <cell r="A342" t="str">
            <v>Краснодар</v>
          </cell>
        </row>
        <row r="343">
          <cell r="A343" t="str">
            <v>Краснодар</v>
          </cell>
        </row>
        <row r="344">
          <cell r="A344" t="str">
            <v>Краснодар</v>
          </cell>
        </row>
        <row r="345">
          <cell r="A345" t="str">
            <v>Краснодар</v>
          </cell>
        </row>
        <row r="346">
          <cell r="A346" t="str">
            <v>Краснодар</v>
          </cell>
        </row>
        <row r="347">
          <cell r="A347" t="str">
            <v>Краснодар</v>
          </cell>
        </row>
        <row r="348">
          <cell r="A348" t="str">
            <v>Краснодар</v>
          </cell>
        </row>
        <row r="349">
          <cell r="A349" t="str">
            <v>Краснодар</v>
          </cell>
        </row>
        <row r="350">
          <cell r="A350" t="str">
            <v>Сочи</v>
          </cell>
        </row>
        <row r="351">
          <cell r="A351" t="str">
            <v>Сочи</v>
          </cell>
        </row>
        <row r="352">
          <cell r="A352" t="str">
            <v>Сочи</v>
          </cell>
        </row>
        <row r="353">
          <cell r="A353" t="str">
            <v>Сочи</v>
          </cell>
        </row>
        <row r="354">
          <cell r="A354" t="str">
            <v>Сочи</v>
          </cell>
        </row>
        <row r="355">
          <cell r="A355" t="str">
            <v>Сочи</v>
          </cell>
        </row>
        <row r="356">
          <cell r="A356" t="str">
            <v>Сочи</v>
          </cell>
        </row>
        <row r="357">
          <cell r="A357" t="str">
            <v>Сочи</v>
          </cell>
        </row>
        <row r="358">
          <cell r="A358" t="str">
            <v>Сочи</v>
          </cell>
        </row>
        <row r="359">
          <cell r="A359" t="str">
            <v>Сочи</v>
          </cell>
        </row>
        <row r="360">
          <cell r="A360" t="str">
            <v>Сочи</v>
          </cell>
        </row>
        <row r="361">
          <cell r="A361" t="str">
            <v>Сочи</v>
          </cell>
        </row>
        <row r="362">
          <cell r="A362" t="str">
            <v>Сочи</v>
          </cell>
        </row>
        <row r="363">
          <cell r="A363" t="str">
            <v>Сочи</v>
          </cell>
        </row>
        <row r="364">
          <cell r="A364" t="str">
            <v>Сочи</v>
          </cell>
        </row>
        <row r="365">
          <cell r="A365" t="str">
            <v>Сочи</v>
          </cell>
        </row>
        <row r="366">
          <cell r="A366" t="str">
            <v>Сочи</v>
          </cell>
        </row>
        <row r="367">
          <cell r="A367" t="str">
            <v>Сочи</v>
          </cell>
        </row>
        <row r="368">
          <cell r="A368" t="str">
            <v>Сочи</v>
          </cell>
        </row>
        <row r="369">
          <cell r="A369" t="str">
            <v>Сочи</v>
          </cell>
        </row>
        <row r="370">
          <cell r="A370" t="str">
            <v>Сочи</v>
          </cell>
        </row>
        <row r="371">
          <cell r="A371" t="str">
            <v>Сочи</v>
          </cell>
        </row>
        <row r="372">
          <cell r="A372" t="str">
            <v>Сочи</v>
          </cell>
        </row>
        <row r="373">
          <cell r="A373" t="str">
            <v>Сочи</v>
          </cell>
        </row>
        <row r="374">
          <cell r="A374" t="str">
            <v>Сочи</v>
          </cell>
        </row>
        <row r="375">
          <cell r="A375" t="str">
            <v>Сочи</v>
          </cell>
        </row>
        <row r="376">
          <cell r="A376" t="str">
            <v>Сочи</v>
          </cell>
        </row>
        <row r="377">
          <cell r="A377" t="str">
            <v>Сочи</v>
          </cell>
        </row>
        <row r="378">
          <cell r="A378" t="str">
            <v>Сочи</v>
          </cell>
        </row>
        <row r="379">
          <cell r="A379" t="str">
            <v>Сочи</v>
          </cell>
        </row>
        <row r="380">
          <cell r="A380" t="str">
            <v>Сочи</v>
          </cell>
        </row>
        <row r="381">
          <cell r="A381" t="str">
            <v>Сочи</v>
          </cell>
        </row>
        <row r="382">
          <cell r="A382" t="str">
            <v>Сочи</v>
          </cell>
        </row>
        <row r="383">
          <cell r="A383" t="str">
            <v>Сочи</v>
          </cell>
        </row>
        <row r="384">
          <cell r="A384" t="str">
            <v>Сочи</v>
          </cell>
        </row>
        <row r="385">
          <cell r="A385" t="str">
            <v>Сочи</v>
          </cell>
        </row>
        <row r="386">
          <cell r="A386" t="str">
            <v>Сочи</v>
          </cell>
        </row>
        <row r="387">
          <cell r="A387" t="str">
            <v>Сочи</v>
          </cell>
        </row>
        <row r="388">
          <cell r="A388" t="str">
            <v>Сочи</v>
          </cell>
        </row>
        <row r="389">
          <cell r="A389" t="str">
            <v>Сочи</v>
          </cell>
        </row>
        <row r="390">
          <cell r="A390" t="str">
            <v>Сочи</v>
          </cell>
        </row>
        <row r="391">
          <cell r="A391" t="str">
            <v>Сочи</v>
          </cell>
        </row>
        <row r="392">
          <cell r="A392" t="str">
            <v>Сочи</v>
          </cell>
        </row>
        <row r="393">
          <cell r="A393" t="str">
            <v>Сочи</v>
          </cell>
        </row>
        <row r="394">
          <cell r="A394" t="str">
            <v>Сочи</v>
          </cell>
        </row>
        <row r="395">
          <cell r="A395" t="str">
            <v>Сочи</v>
          </cell>
        </row>
        <row r="396">
          <cell r="A396" t="str">
            <v>Сочи</v>
          </cell>
        </row>
        <row r="397">
          <cell r="A397" t="str">
            <v>Сочи</v>
          </cell>
        </row>
        <row r="398">
          <cell r="A398" t="str">
            <v>Сочи</v>
          </cell>
        </row>
        <row r="399">
          <cell r="A399" t="str">
            <v>Сочи</v>
          </cell>
        </row>
        <row r="400">
          <cell r="A400" t="str">
            <v>Сочи</v>
          </cell>
        </row>
        <row r="401">
          <cell r="A401" t="str">
            <v>Сочи</v>
          </cell>
        </row>
        <row r="402">
          <cell r="A402" t="str">
            <v>Сочи</v>
          </cell>
        </row>
        <row r="403">
          <cell r="A403" t="str">
            <v>Сочи</v>
          </cell>
        </row>
        <row r="404">
          <cell r="A404" t="str">
            <v>Сочи</v>
          </cell>
        </row>
        <row r="405">
          <cell r="A405" t="str">
            <v>Сочи</v>
          </cell>
        </row>
        <row r="406">
          <cell r="A406" t="str">
            <v>Сочи</v>
          </cell>
        </row>
        <row r="407">
          <cell r="A407" t="str">
            <v>Сочи</v>
          </cell>
        </row>
        <row r="408">
          <cell r="A408" t="str">
            <v>Нижний Новгород</v>
          </cell>
        </row>
        <row r="409">
          <cell r="A409" t="str">
            <v>Нижний Новгород</v>
          </cell>
        </row>
        <row r="410">
          <cell r="A410" t="str">
            <v>Нижний Новгород</v>
          </cell>
        </row>
        <row r="411">
          <cell r="A411" t="str">
            <v>Нижний Новгород</v>
          </cell>
        </row>
        <row r="412">
          <cell r="A412" t="str">
            <v>Нижний Новгород</v>
          </cell>
        </row>
        <row r="413">
          <cell r="A413" t="str">
            <v>Нижний Новгород</v>
          </cell>
        </row>
        <row r="414">
          <cell r="A414" t="str">
            <v>Нижний Новгород</v>
          </cell>
        </row>
        <row r="415">
          <cell r="A415" t="str">
            <v>Нижний Новгород</v>
          </cell>
        </row>
        <row r="416">
          <cell r="A416" t="str">
            <v>Нижний Новгород</v>
          </cell>
        </row>
        <row r="417">
          <cell r="A417" t="str">
            <v>Нижний Новгород</v>
          </cell>
        </row>
        <row r="418">
          <cell r="A418" t="str">
            <v>Нижний Новгород</v>
          </cell>
        </row>
        <row r="419">
          <cell r="A419" t="str">
            <v>Нижний Новгород</v>
          </cell>
        </row>
        <row r="420">
          <cell r="A420" t="str">
            <v>Нижний Новгород</v>
          </cell>
        </row>
        <row r="421">
          <cell r="A421" t="str">
            <v>Нижний Новгород</v>
          </cell>
        </row>
        <row r="422">
          <cell r="A422" t="str">
            <v>Нижний Новгород</v>
          </cell>
        </row>
        <row r="423">
          <cell r="A423" t="str">
            <v>Нижний Новгород</v>
          </cell>
        </row>
        <row r="424">
          <cell r="A424" t="str">
            <v>Нижний Новгород</v>
          </cell>
        </row>
        <row r="425">
          <cell r="A425" t="str">
            <v>Нижний Новгород</v>
          </cell>
        </row>
        <row r="426">
          <cell r="A426" t="str">
            <v>Нижний Новгород</v>
          </cell>
        </row>
        <row r="427">
          <cell r="A427" t="str">
            <v>Нижний Новгород</v>
          </cell>
        </row>
        <row r="428">
          <cell r="A428" t="str">
            <v>Нижний Новгород</v>
          </cell>
        </row>
        <row r="429">
          <cell r="A429" t="str">
            <v>Нижний Новгород</v>
          </cell>
        </row>
        <row r="430">
          <cell r="A430" t="str">
            <v>Нижний Новгород</v>
          </cell>
        </row>
        <row r="431">
          <cell r="A431" t="str">
            <v>Нижний Новгород</v>
          </cell>
        </row>
        <row r="432">
          <cell r="A432" t="str">
            <v>Нижний Новгород</v>
          </cell>
        </row>
        <row r="433">
          <cell r="A433" t="str">
            <v>Нижний Новгород</v>
          </cell>
        </row>
        <row r="434">
          <cell r="A434" t="str">
            <v>Нижний Новгород</v>
          </cell>
        </row>
        <row r="435">
          <cell r="A435" t="str">
            <v>Нижний Новгород</v>
          </cell>
        </row>
        <row r="436">
          <cell r="A436" t="str">
            <v>Нижний Новгород</v>
          </cell>
        </row>
        <row r="437">
          <cell r="A437" t="str">
            <v>Нижний Новгород</v>
          </cell>
        </row>
        <row r="438">
          <cell r="A438" t="str">
            <v>Нижний Новгород</v>
          </cell>
        </row>
        <row r="439">
          <cell r="A439" t="str">
            <v>Нижний Новгород</v>
          </cell>
        </row>
        <row r="440">
          <cell r="A440" t="str">
            <v>Нижний Новгород</v>
          </cell>
        </row>
        <row r="441">
          <cell r="A441" t="str">
            <v>Нижний Новгород</v>
          </cell>
        </row>
        <row r="442">
          <cell r="A442" t="str">
            <v>Нижний Новгород</v>
          </cell>
        </row>
        <row r="443">
          <cell r="A443" t="str">
            <v>Нижний Новгород</v>
          </cell>
        </row>
        <row r="444">
          <cell r="A444" t="str">
            <v>Нижний Новгород</v>
          </cell>
        </row>
        <row r="445">
          <cell r="A445" t="str">
            <v>Нижний Новгород</v>
          </cell>
        </row>
        <row r="446">
          <cell r="A446" t="str">
            <v>Нижний Новгород</v>
          </cell>
        </row>
        <row r="447">
          <cell r="A447" t="str">
            <v>Нижний Новгород</v>
          </cell>
        </row>
        <row r="448">
          <cell r="A448" t="str">
            <v>Нижний Новгород</v>
          </cell>
        </row>
        <row r="449">
          <cell r="A449" t="str">
            <v>Нижний Новгород</v>
          </cell>
        </row>
        <row r="450">
          <cell r="A450" t="str">
            <v>Нижний Новгород</v>
          </cell>
        </row>
        <row r="451">
          <cell r="A451" t="str">
            <v>Нижний Новгород</v>
          </cell>
        </row>
        <row r="452">
          <cell r="A452" t="str">
            <v>Нижний Новгород</v>
          </cell>
        </row>
        <row r="453">
          <cell r="A453" t="str">
            <v>Нижний Новгород</v>
          </cell>
        </row>
        <row r="454">
          <cell r="A454" t="str">
            <v>Нижний Новгород</v>
          </cell>
        </row>
        <row r="455">
          <cell r="A455" t="str">
            <v>Нижний Новгород</v>
          </cell>
        </row>
        <row r="456">
          <cell r="A456" t="str">
            <v>Нижний Новгород</v>
          </cell>
        </row>
        <row r="457">
          <cell r="A457" t="str">
            <v>Нижний Новгород</v>
          </cell>
        </row>
        <row r="458">
          <cell r="A458" t="str">
            <v>Нижний Новгород</v>
          </cell>
        </row>
        <row r="459">
          <cell r="A459" t="str">
            <v>Нижний Новгород</v>
          </cell>
        </row>
        <row r="460">
          <cell r="A460" t="str">
            <v>Нижний Новгород</v>
          </cell>
        </row>
        <row r="461">
          <cell r="A461" t="str">
            <v>Нижний Новгород</v>
          </cell>
        </row>
        <row r="462">
          <cell r="A462" t="str">
            <v>Нижний Новгород</v>
          </cell>
        </row>
        <row r="463">
          <cell r="A463" t="str">
            <v>Нижний Новгород</v>
          </cell>
        </row>
        <row r="464">
          <cell r="A464" t="str">
            <v>Нижний Новгород</v>
          </cell>
        </row>
        <row r="465">
          <cell r="A465" t="str">
            <v>Нижний Новгород</v>
          </cell>
        </row>
        <row r="466">
          <cell r="A466" t="str">
            <v>Хабаровск</v>
          </cell>
        </row>
        <row r="467">
          <cell r="A467" t="str">
            <v>Хабаровск</v>
          </cell>
        </row>
        <row r="468">
          <cell r="A468" t="str">
            <v>Хабаровск</v>
          </cell>
        </row>
        <row r="469">
          <cell r="A469" t="str">
            <v>Хабаровск</v>
          </cell>
        </row>
        <row r="470">
          <cell r="A470" t="str">
            <v>Хабаровск</v>
          </cell>
        </row>
        <row r="471">
          <cell r="A471" t="str">
            <v>Хабаровск</v>
          </cell>
        </row>
        <row r="472">
          <cell r="A472" t="str">
            <v>Хабаровск</v>
          </cell>
        </row>
        <row r="473">
          <cell r="A473" t="str">
            <v>Хабаровск</v>
          </cell>
        </row>
        <row r="474">
          <cell r="A474" t="str">
            <v>Хабаровск</v>
          </cell>
        </row>
        <row r="475">
          <cell r="A475" t="str">
            <v>Хабаровск</v>
          </cell>
        </row>
        <row r="476">
          <cell r="A476" t="str">
            <v>Хабаровск</v>
          </cell>
        </row>
        <row r="477">
          <cell r="A477" t="str">
            <v>Хабаровск</v>
          </cell>
        </row>
        <row r="478">
          <cell r="A478" t="str">
            <v>Хабаровск</v>
          </cell>
        </row>
        <row r="479">
          <cell r="A479" t="str">
            <v>Хабаровск</v>
          </cell>
        </row>
        <row r="480">
          <cell r="A480" t="str">
            <v>Хабаровск</v>
          </cell>
        </row>
        <row r="481">
          <cell r="A481" t="str">
            <v>Хабаровск</v>
          </cell>
        </row>
        <row r="482">
          <cell r="A482" t="str">
            <v>Хабаровск</v>
          </cell>
        </row>
        <row r="483">
          <cell r="A483" t="str">
            <v>Хабаровск</v>
          </cell>
        </row>
        <row r="484">
          <cell r="A484" t="str">
            <v>Хабаровск</v>
          </cell>
        </row>
        <row r="485">
          <cell r="A485" t="str">
            <v>Хабаровск</v>
          </cell>
        </row>
        <row r="486">
          <cell r="A486" t="str">
            <v>Хабаровск</v>
          </cell>
        </row>
        <row r="487">
          <cell r="A487" t="str">
            <v>Хабаровск</v>
          </cell>
        </row>
        <row r="488">
          <cell r="A488" t="str">
            <v>Хабаровск</v>
          </cell>
        </row>
        <row r="489">
          <cell r="A489" t="str">
            <v>Хабаровск</v>
          </cell>
        </row>
        <row r="490">
          <cell r="A490" t="str">
            <v>Хабаровск</v>
          </cell>
        </row>
        <row r="491">
          <cell r="A491" t="str">
            <v>Хабаровск</v>
          </cell>
        </row>
        <row r="492">
          <cell r="A492" t="str">
            <v>Хабаровск</v>
          </cell>
        </row>
        <row r="493">
          <cell r="A493" t="str">
            <v>Хабаровск</v>
          </cell>
        </row>
        <row r="494">
          <cell r="A494" t="str">
            <v>Хабаровск</v>
          </cell>
        </row>
        <row r="495">
          <cell r="A495" t="str">
            <v>Хабаровск</v>
          </cell>
        </row>
        <row r="496">
          <cell r="A496" t="str">
            <v>Хабаровск</v>
          </cell>
        </row>
        <row r="497">
          <cell r="A497" t="str">
            <v>Хабаровск</v>
          </cell>
        </row>
        <row r="498">
          <cell r="A498" t="str">
            <v>Хабаровск</v>
          </cell>
        </row>
        <row r="499">
          <cell r="A499" t="str">
            <v>Хабаровск</v>
          </cell>
        </row>
        <row r="500">
          <cell r="A500" t="str">
            <v>Хабаровск</v>
          </cell>
        </row>
        <row r="501">
          <cell r="A501" t="str">
            <v>Хабаровск</v>
          </cell>
        </row>
        <row r="502">
          <cell r="A502" t="str">
            <v>Хабаровск</v>
          </cell>
        </row>
        <row r="503">
          <cell r="A503" t="str">
            <v>Хабаровск</v>
          </cell>
        </row>
        <row r="504">
          <cell r="A504" t="str">
            <v>Хабаровск</v>
          </cell>
        </row>
        <row r="505">
          <cell r="A505" t="str">
            <v>Хабаровск</v>
          </cell>
        </row>
        <row r="506">
          <cell r="A506" t="str">
            <v>Хабаровск</v>
          </cell>
        </row>
        <row r="507">
          <cell r="A507" t="str">
            <v>Хабаровск</v>
          </cell>
        </row>
        <row r="508">
          <cell r="A508" t="str">
            <v>Хабаровск</v>
          </cell>
        </row>
        <row r="509">
          <cell r="A509" t="str">
            <v>Хабаровск</v>
          </cell>
        </row>
        <row r="510">
          <cell r="A510" t="str">
            <v>Хабаровск</v>
          </cell>
        </row>
        <row r="511">
          <cell r="A511" t="str">
            <v>Хабаровск</v>
          </cell>
        </row>
        <row r="512">
          <cell r="A512" t="str">
            <v>Хабаровск</v>
          </cell>
        </row>
        <row r="513">
          <cell r="A513" t="str">
            <v>Хабаровск</v>
          </cell>
        </row>
        <row r="514">
          <cell r="A514" t="str">
            <v>Хабаровск</v>
          </cell>
        </row>
        <row r="515">
          <cell r="A515" t="str">
            <v>Хабаровск</v>
          </cell>
        </row>
        <row r="516">
          <cell r="A516" t="str">
            <v>Хабаровск</v>
          </cell>
        </row>
        <row r="517">
          <cell r="A517" t="str">
            <v>Хабаровск</v>
          </cell>
        </row>
        <row r="518">
          <cell r="A518" t="str">
            <v>Хабаровск</v>
          </cell>
        </row>
        <row r="519">
          <cell r="A519" t="str">
            <v>Хабаровск</v>
          </cell>
        </row>
        <row r="520">
          <cell r="A520" t="str">
            <v>Хабаровск</v>
          </cell>
        </row>
        <row r="521">
          <cell r="A521" t="str">
            <v>Хабаровск</v>
          </cell>
        </row>
        <row r="522">
          <cell r="A522" t="str">
            <v>Хабаровск</v>
          </cell>
        </row>
        <row r="523">
          <cell r="A523" t="str">
            <v>Хабаровск</v>
          </cell>
        </row>
        <row r="524">
          <cell r="A524" t="str">
            <v>Омск</v>
          </cell>
        </row>
        <row r="525">
          <cell r="A525" t="str">
            <v>Омск</v>
          </cell>
        </row>
        <row r="526">
          <cell r="A526" t="str">
            <v>Омск</v>
          </cell>
        </row>
        <row r="527">
          <cell r="A527" t="str">
            <v>Омск</v>
          </cell>
        </row>
        <row r="528">
          <cell r="A528" t="str">
            <v>Омск</v>
          </cell>
        </row>
        <row r="529">
          <cell r="A529" t="str">
            <v>Омск</v>
          </cell>
        </row>
        <row r="530">
          <cell r="A530" t="str">
            <v>Омск</v>
          </cell>
        </row>
        <row r="531">
          <cell r="A531" t="str">
            <v>Омск</v>
          </cell>
        </row>
        <row r="532">
          <cell r="A532" t="str">
            <v>Омск</v>
          </cell>
        </row>
        <row r="533">
          <cell r="A533" t="str">
            <v>Омск</v>
          </cell>
        </row>
        <row r="534">
          <cell r="A534" t="str">
            <v>Омск</v>
          </cell>
        </row>
        <row r="535">
          <cell r="A535" t="str">
            <v>Омск</v>
          </cell>
        </row>
        <row r="536">
          <cell r="A536" t="str">
            <v>Омск</v>
          </cell>
        </row>
        <row r="537">
          <cell r="A537" t="str">
            <v>Омск</v>
          </cell>
        </row>
        <row r="538">
          <cell r="A538" t="str">
            <v>Омск</v>
          </cell>
        </row>
        <row r="539">
          <cell r="A539" t="str">
            <v>Омск</v>
          </cell>
        </row>
        <row r="540">
          <cell r="A540" t="str">
            <v>Омск</v>
          </cell>
        </row>
        <row r="541">
          <cell r="A541" t="str">
            <v>Омск</v>
          </cell>
        </row>
        <row r="542">
          <cell r="A542" t="str">
            <v>Омск</v>
          </cell>
        </row>
        <row r="543">
          <cell r="A543" t="str">
            <v>Омск</v>
          </cell>
        </row>
        <row r="544">
          <cell r="A544" t="str">
            <v>Омск</v>
          </cell>
        </row>
        <row r="545">
          <cell r="A545" t="str">
            <v>Омск</v>
          </cell>
        </row>
        <row r="546">
          <cell r="A546" t="str">
            <v>Омск</v>
          </cell>
        </row>
        <row r="547">
          <cell r="A547" t="str">
            <v>Омск</v>
          </cell>
        </row>
        <row r="548">
          <cell r="A548" t="str">
            <v>Омск</v>
          </cell>
        </row>
        <row r="549">
          <cell r="A549" t="str">
            <v>Омск</v>
          </cell>
        </row>
        <row r="550">
          <cell r="A550" t="str">
            <v>Омск</v>
          </cell>
        </row>
        <row r="551">
          <cell r="A551" t="str">
            <v>Омск</v>
          </cell>
        </row>
        <row r="552">
          <cell r="A552" t="str">
            <v>Омск</v>
          </cell>
        </row>
        <row r="553">
          <cell r="A553" t="str">
            <v>Омск</v>
          </cell>
        </row>
        <row r="554">
          <cell r="A554" t="str">
            <v>Омск</v>
          </cell>
        </row>
        <row r="555">
          <cell r="A555" t="str">
            <v>Омск</v>
          </cell>
        </row>
        <row r="556">
          <cell r="A556" t="str">
            <v>Омск</v>
          </cell>
        </row>
        <row r="557">
          <cell r="A557" t="str">
            <v>Омск</v>
          </cell>
        </row>
        <row r="558">
          <cell r="A558" t="str">
            <v>Омск</v>
          </cell>
        </row>
        <row r="559">
          <cell r="A559" t="str">
            <v>Омск</v>
          </cell>
        </row>
        <row r="560">
          <cell r="A560" t="str">
            <v>Омск</v>
          </cell>
        </row>
        <row r="561">
          <cell r="A561" t="str">
            <v>Омск</v>
          </cell>
        </row>
        <row r="562">
          <cell r="A562" t="str">
            <v>Омск</v>
          </cell>
        </row>
        <row r="563">
          <cell r="A563" t="str">
            <v>Омск</v>
          </cell>
        </row>
        <row r="564">
          <cell r="A564" t="str">
            <v>Омск</v>
          </cell>
        </row>
        <row r="565">
          <cell r="A565" t="str">
            <v>Омск</v>
          </cell>
        </row>
        <row r="566">
          <cell r="A566" t="str">
            <v>Омск</v>
          </cell>
        </row>
        <row r="567">
          <cell r="A567" t="str">
            <v>Омск</v>
          </cell>
        </row>
        <row r="568">
          <cell r="A568" t="str">
            <v>Омск</v>
          </cell>
        </row>
        <row r="569">
          <cell r="A569" t="str">
            <v>Омск</v>
          </cell>
        </row>
        <row r="570">
          <cell r="A570" t="str">
            <v>Омск</v>
          </cell>
        </row>
        <row r="571">
          <cell r="A571" t="str">
            <v>Омск</v>
          </cell>
        </row>
        <row r="572">
          <cell r="A572" t="str">
            <v>Омск</v>
          </cell>
        </row>
        <row r="573">
          <cell r="A573" t="str">
            <v>Омск</v>
          </cell>
        </row>
        <row r="574">
          <cell r="A574" t="str">
            <v>Омск</v>
          </cell>
        </row>
        <row r="575">
          <cell r="A575" t="str">
            <v>Омск</v>
          </cell>
        </row>
        <row r="576">
          <cell r="A576" t="str">
            <v>Омск</v>
          </cell>
        </row>
        <row r="577">
          <cell r="A577" t="str">
            <v>Омск</v>
          </cell>
        </row>
        <row r="578">
          <cell r="A578" t="str">
            <v>Омск</v>
          </cell>
        </row>
        <row r="579">
          <cell r="A579" t="str">
            <v>Омск</v>
          </cell>
        </row>
        <row r="580">
          <cell r="A580" t="str">
            <v>Омск</v>
          </cell>
        </row>
        <row r="581">
          <cell r="A581" t="str">
            <v>Омск</v>
          </cell>
        </row>
        <row r="582">
          <cell r="A582" t="str">
            <v>Воронеж</v>
          </cell>
        </row>
        <row r="583">
          <cell r="A583" t="str">
            <v>Воронеж</v>
          </cell>
        </row>
        <row r="584">
          <cell r="A584" t="str">
            <v>Воронеж</v>
          </cell>
        </row>
        <row r="585">
          <cell r="A585" t="str">
            <v>Воронеж</v>
          </cell>
        </row>
        <row r="586">
          <cell r="A586" t="str">
            <v>Воронеж</v>
          </cell>
        </row>
        <row r="587">
          <cell r="A587" t="str">
            <v>Воронеж</v>
          </cell>
        </row>
        <row r="588">
          <cell r="A588" t="str">
            <v>Воронеж</v>
          </cell>
        </row>
        <row r="589">
          <cell r="A589" t="str">
            <v>Воронеж</v>
          </cell>
        </row>
        <row r="590">
          <cell r="A590" t="str">
            <v>Воронеж</v>
          </cell>
        </row>
        <row r="591">
          <cell r="A591" t="str">
            <v>Воронеж</v>
          </cell>
        </row>
        <row r="592">
          <cell r="A592" t="str">
            <v>Воронеж</v>
          </cell>
        </row>
        <row r="593">
          <cell r="A593" t="str">
            <v>Воронеж</v>
          </cell>
        </row>
        <row r="594">
          <cell r="A594" t="str">
            <v>Воронеж</v>
          </cell>
        </row>
        <row r="595">
          <cell r="A595" t="str">
            <v>Воронеж</v>
          </cell>
        </row>
        <row r="596">
          <cell r="A596" t="str">
            <v>Воронеж</v>
          </cell>
        </row>
        <row r="597">
          <cell r="A597" t="str">
            <v>Воронеж</v>
          </cell>
        </row>
        <row r="598">
          <cell r="A598" t="str">
            <v>Воронеж</v>
          </cell>
        </row>
        <row r="599">
          <cell r="A599" t="str">
            <v>Воронеж</v>
          </cell>
        </row>
        <row r="600">
          <cell r="A600" t="str">
            <v>Воронеж</v>
          </cell>
        </row>
        <row r="601">
          <cell r="A601" t="str">
            <v>Воронеж</v>
          </cell>
        </row>
        <row r="602">
          <cell r="A602" t="str">
            <v>Воронеж</v>
          </cell>
        </row>
        <row r="603">
          <cell r="A603" t="str">
            <v>Воронеж</v>
          </cell>
        </row>
        <row r="604">
          <cell r="A604" t="str">
            <v>Воронеж</v>
          </cell>
        </row>
        <row r="605">
          <cell r="A605" t="str">
            <v>Воронеж</v>
          </cell>
        </row>
        <row r="606">
          <cell r="A606" t="str">
            <v>Воронеж</v>
          </cell>
        </row>
        <row r="607">
          <cell r="A607" t="str">
            <v>Воронеж</v>
          </cell>
        </row>
        <row r="608">
          <cell r="A608" t="str">
            <v>Воронеж</v>
          </cell>
        </row>
        <row r="609">
          <cell r="A609" t="str">
            <v>Воронеж</v>
          </cell>
        </row>
        <row r="610">
          <cell r="A610" t="str">
            <v>Воронеж</v>
          </cell>
        </row>
        <row r="611">
          <cell r="A611" t="str">
            <v>Воронеж</v>
          </cell>
        </row>
        <row r="612">
          <cell r="A612" t="str">
            <v>Воронеж</v>
          </cell>
        </row>
        <row r="613">
          <cell r="A613" t="str">
            <v>Воронеж</v>
          </cell>
        </row>
        <row r="614">
          <cell r="A614" t="str">
            <v>Воронеж</v>
          </cell>
        </row>
        <row r="615">
          <cell r="A615" t="str">
            <v>Воронеж</v>
          </cell>
        </row>
        <row r="616">
          <cell r="A616" t="str">
            <v>Воронеж</v>
          </cell>
        </row>
        <row r="617">
          <cell r="A617" t="str">
            <v>Воронеж</v>
          </cell>
        </row>
        <row r="618">
          <cell r="A618" t="str">
            <v>Воронеж</v>
          </cell>
        </row>
        <row r="619">
          <cell r="A619" t="str">
            <v>Воронеж</v>
          </cell>
        </row>
        <row r="620">
          <cell r="A620" t="str">
            <v>Воронеж</v>
          </cell>
        </row>
        <row r="621">
          <cell r="A621" t="str">
            <v>Воронеж</v>
          </cell>
        </row>
        <row r="622">
          <cell r="A622" t="str">
            <v>Воронеж</v>
          </cell>
        </row>
        <row r="623">
          <cell r="A623" t="str">
            <v>Воронеж</v>
          </cell>
        </row>
        <row r="624">
          <cell r="A624" t="str">
            <v>Воронеж</v>
          </cell>
        </row>
        <row r="625">
          <cell r="A625" t="str">
            <v>Воронеж</v>
          </cell>
        </row>
        <row r="626">
          <cell r="A626" t="str">
            <v>Воронеж</v>
          </cell>
        </row>
        <row r="627">
          <cell r="A627" t="str">
            <v>Воронеж</v>
          </cell>
        </row>
        <row r="628">
          <cell r="A628" t="str">
            <v>Воронеж</v>
          </cell>
        </row>
        <row r="629">
          <cell r="A629" t="str">
            <v>Воронеж</v>
          </cell>
        </row>
        <row r="630">
          <cell r="A630" t="str">
            <v>Воронеж</v>
          </cell>
        </row>
        <row r="631">
          <cell r="A631" t="str">
            <v>Воронеж</v>
          </cell>
        </row>
        <row r="632">
          <cell r="A632" t="str">
            <v>Воронеж</v>
          </cell>
        </row>
        <row r="633">
          <cell r="A633" t="str">
            <v>Воронеж</v>
          </cell>
        </row>
        <row r="634">
          <cell r="A634" t="str">
            <v>Воронеж</v>
          </cell>
        </row>
        <row r="635">
          <cell r="A635" t="str">
            <v>Воронеж</v>
          </cell>
        </row>
        <row r="636">
          <cell r="A636" t="str">
            <v>Воронеж</v>
          </cell>
        </row>
        <row r="637">
          <cell r="A637" t="str">
            <v>Воронеж</v>
          </cell>
        </row>
        <row r="638">
          <cell r="A638" t="str">
            <v>Воронеж</v>
          </cell>
        </row>
        <row r="639">
          <cell r="A639" t="str">
            <v>Воронеж</v>
          </cell>
        </row>
      </sheetData>
      <sheetData sheetId="28">
        <row r="2">
          <cell r="A2" t="str">
            <v>Анапа</v>
          </cell>
          <cell r="B2" t="str">
            <v>ТЦ Красная Площадь</v>
          </cell>
          <cell r="F2">
            <v>20.013333333333332</v>
          </cell>
          <cell r="G2">
            <v>5</v>
          </cell>
        </row>
        <row r="3">
          <cell r="A3" t="str">
            <v>Красногорск</v>
          </cell>
          <cell r="B3" t="str">
            <v>ТЦ Vegas, Крокус сити</v>
          </cell>
          <cell r="F3">
            <v>36.866666666666667</v>
          </cell>
          <cell r="G3">
            <v>5</v>
          </cell>
        </row>
        <row r="4">
          <cell r="A4" t="str">
            <v>Краснодар</v>
          </cell>
          <cell r="B4" t="str">
            <v>ТЦ Красная Площадь</v>
          </cell>
          <cell r="F4">
            <v>60.669577333333336</v>
          </cell>
          <cell r="G4">
            <v>5</v>
          </cell>
        </row>
        <row r="5">
          <cell r="A5" t="str">
            <v>Москва</v>
          </cell>
          <cell r="B5" t="str">
            <v>Такси</v>
          </cell>
          <cell r="F5">
            <v>963.33333333333337</v>
          </cell>
          <cell r="G5">
            <v>5</v>
          </cell>
        </row>
        <row r="6">
          <cell r="A6" t="str">
            <v>Москва</v>
          </cell>
          <cell r="B6" t="str">
            <v>Авиапарк</v>
          </cell>
          <cell r="F6">
            <v>400</v>
          </cell>
          <cell r="G6">
            <v>5</v>
          </cell>
        </row>
        <row r="7">
          <cell r="A7" t="str">
            <v>Москва</v>
          </cell>
          <cell r="B7" t="str">
            <v>Digital-мобиль</v>
          </cell>
          <cell r="F7">
            <v>235.37999999999997</v>
          </cell>
          <cell r="G7">
            <v>5</v>
          </cell>
        </row>
        <row r="8">
          <cell r="A8" t="str">
            <v>Москва</v>
          </cell>
          <cell r="B8" t="str">
            <v>ПВЗ</v>
          </cell>
          <cell r="F8">
            <v>716.7619047619047</v>
          </cell>
          <cell r="G8">
            <v>5</v>
          </cell>
        </row>
        <row r="9">
          <cell r="A9" t="str">
            <v>Москва</v>
          </cell>
          <cell r="B9" t="str">
            <v>Аэроэкспрессы (Москва)</v>
          </cell>
          <cell r="F9">
            <v>429.33909999999997</v>
          </cell>
          <cell r="G9">
            <v>5</v>
          </cell>
        </row>
        <row r="10">
          <cell r="A10" t="str">
            <v>Москва</v>
          </cell>
          <cell r="B10" t="str">
            <v>Сапсаны</v>
          </cell>
          <cell r="F10">
            <v>13.106924034133106</v>
          </cell>
          <cell r="G10">
            <v>5</v>
          </cell>
        </row>
        <row r="11">
          <cell r="A11" t="str">
            <v>Москва</v>
          </cell>
          <cell r="B11" t="str">
            <v>Ласточки</v>
          </cell>
          <cell r="F11">
            <v>114.9</v>
          </cell>
          <cell r="G11">
            <v>5</v>
          </cell>
        </row>
        <row r="12">
          <cell r="A12" t="str">
            <v>Москва</v>
          </cell>
          <cell r="B12" t="str">
            <v>ТЦ Коламбус</v>
          </cell>
          <cell r="F12">
            <v>79</v>
          </cell>
          <cell r="G12">
            <v>5</v>
          </cell>
        </row>
        <row r="13">
          <cell r="A13" t="str">
            <v>Москва</v>
          </cell>
          <cell r="B13" t="str">
            <v>ТЦ Охотный ряд</v>
          </cell>
          <cell r="F13">
            <v>189.6</v>
          </cell>
          <cell r="G13">
            <v>5</v>
          </cell>
        </row>
        <row r="14">
          <cell r="A14" t="str">
            <v>Москва</v>
          </cell>
          <cell r="B14" t="str">
            <v>ТЦ Атриум</v>
          </cell>
          <cell r="F14">
            <v>168.53333333333333</v>
          </cell>
          <cell r="G14">
            <v>5</v>
          </cell>
        </row>
        <row r="15">
          <cell r="A15" t="str">
            <v>Москва</v>
          </cell>
          <cell r="B15" t="str">
            <v>ТЦ XL</v>
          </cell>
          <cell r="F15">
            <v>71.099999999999994</v>
          </cell>
          <cell r="G15">
            <v>5</v>
          </cell>
        </row>
        <row r="16">
          <cell r="A16" t="str">
            <v>Москва</v>
          </cell>
          <cell r="B16" t="str">
            <v>ТЦ Саларис</v>
          </cell>
          <cell r="F16">
            <v>110.6</v>
          </cell>
          <cell r="G16">
            <v>5</v>
          </cell>
        </row>
        <row r="17">
          <cell r="A17" t="str">
            <v>Москва</v>
          </cell>
          <cell r="B17" t="str">
            <v>ТЦ Vegas, Кунцево</v>
          </cell>
          <cell r="F17">
            <v>24.963999999999999</v>
          </cell>
          <cell r="G17">
            <v>5</v>
          </cell>
        </row>
        <row r="18">
          <cell r="A18" t="str">
            <v>Москва</v>
          </cell>
          <cell r="B18" t="str">
            <v>ТЦ Европейский</v>
          </cell>
          <cell r="F18">
            <v>147.46666666666667</v>
          </cell>
          <cell r="G18">
            <v>5</v>
          </cell>
        </row>
        <row r="19">
          <cell r="A19" t="str">
            <v>Москва</v>
          </cell>
          <cell r="B19" t="str">
            <v>ТЦ Афимолл</v>
          </cell>
          <cell r="F19">
            <v>658.33333333333337</v>
          </cell>
          <cell r="G19">
            <v>5</v>
          </cell>
        </row>
        <row r="20">
          <cell r="A20" t="str">
            <v>Москва</v>
          </cell>
          <cell r="B20" t="str">
            <v>ТЦ Гагаринский</v>
          </cell>
          <cell r="F20">
            <v>13.166666666666668</v>
          </cell>
          <cell r="G20">
            <v>5</v>
          </cell>
        </row>
        <row r="21">
          <cell r="A21" t="str">
            <v>Москва</v>
          </cell>
          <cell r="B21" t="str">
            <v>ТЦ Авиапарк</v>
          </cell>
          <cell r="F21">
            <v>1185</v>
          </cell>
          <cell r="G21">
            <v>5</v>
          </cell>
        </row>
        <row r="22">
          <cell r="A22" t="str">
            <v>Москва</v>
          </cell>
          <cell r="B22" t="str">
            <v>ТЦ Vegas, Каширское</v>
          </cell>
          <cell r="F22">
            <v>1.3166666666666667</v>
          </cell>
          <cell r="G22">
            <v>5</v>
          </cell>
        </row>
        <row r="23">
          <cell r="A23" t="str">
            <v>Москва</v>
          </cell>
          <cell r="B23" t="str">
            <v>Азбука Вкуса</v>
          </cell>
          <cell r="F23">
            <v>966.66666666666663</v>
          </cell>
          <cell r="G23">
            <v>5</v>
          </cell>
        </row>
        <row r="24">
          <cell r="A24" t="str">
            <v>Нижний Новгород</v>
          </cell>
          <cell r="B24" t="str">
            <v>Ласточки</v>
          </cell>
          <cell r="F24">
            <v>114.9</v>
          </cell>
          <cell r="G24">
            <v>5</v>
          </cell>
        </row>
        <row r="25">
          <cell r="A25" t="str">
            <v>Подольск</v>
          </cell>
          <cell r="B25" t="str">
            <v>ТЦ Центральный</v>
          </cell>
          <cell r="F25">
            <v>18.433333333333334</v>
          </cell>
          <cell r="G25">
            <v>5</v>
          </cell>
        </row>
        <row r="26">
          <cell r="A26" t="str">
            <v>Ростов-на-Дону</v>
          </cell>
          <cell r="B26" t="str">
            <v>ТЦ Золотой Вавилон</v>
          </cell>
          <cell r="F26">
            <v>39.5</v>
          </cell>
          <cell r="G26">
            <v>5</v>
          </cell>
        </row>
        <row r="27">
          <cell r="A27" t="str">
            <v>Самара</v>
          </cell>
          <cell r="B27" t="str">
            <v>ТЦ Мега</v>
          </cell>
          <cell r="F27">
            <v>52.666666666666671</v>
          </cell>
          <cell r="G27">
            <v>5</v>
          </cell>
        </row>
        <row r="28">
          <cell r="A28" t="str">
            <v>Самара</v>
          </cell>
          <cell r="B28" t="str">
            <v>ТЦ Вива ленд</v>
          </cell>
          <cell r="F28">
            <v>2.7572549019607844</v>
          </cell>
          <cell r="G28">
            <v>5</v>
          </cell>
        </row>
        <row r="29">
          <cell r="A29" t="str">
            <v>Санкт-Петербург</v>
          </cell>
          <cell r="B29" t="str">
            <v>ПВЗ</v>
          </cell>
          <cell r="F29">
            <v>716.7619047619047</v>
          </cell>
          <cell r="G29">
            <v>5</v>
          </cell>
        </row>
        <row r="30">
          <cell r="A30" t="str">
            <v>Санкт-Петербург</v>
          </cell>
          <cell r="B30" t="str">
            <v>Сапсаны</v>
          </cell>
          <cell r="F30">
            <v>13.106924034133106</v>
          </cell>
          <cell r="G30">
            <v>5</v>
          </cell>
        </row>
        <row r="31">
          <cell r="A31" t="str">
            <v>Санкт-Петербург</v>
          </cell>
          <cell r="B31" t="str">
            <v>Ласточки</v>
          </cell>
          <cell r="F31">
            <v>114.9</v>
          </cell>
          <cell r="G31">
            <v>5</v>
          </cell>
        </row>
        <row r="32">
          <cell r="A32" t="str">
            <v>Санкт-Петербург</v>
          </cell>
          <cell r="B32" t="str">
            <v>ТЦ Атмосфера</v>
          </cell>
          <cell r="F32">
            <v>147.46666666666667</v>
          </cell>
          <cell r="G32">
            <v>5</v>
          </cell>
        </row>
        <row r="33">
          <cell r="A33" t="str">
            <v>Санкт-Петербург</v>
          </cell>
          <cell r="B33" t="str">
            <v>ТЦ Меркурий</v>
          </cell>
          <cell r="F33">
            <v>36.432941176470592</v>
          </cell>
          <cell r="G33">
            <v>5</v>
          </cell>
        </row>
        <row r="34">
          <cell r="A34" t="str">
            <v>Санкт-Петербург</v>
          </cell>
          <cell r="B34" t="str">
            <v>ТЦ Балканскй-3</v>
          </cell>
          <cell r="F34">
            <v>91.041045751634002</v>
          </cell>
          <cell r="G34">
            <v>5</v>
          </cell>
        </row>
        <row r="35">
          <cell r="A35" t="str">
            <v>Санкт-Петербург</v>
          </cell>
          <cell r="B35" t="str">
            <v>Азбука Вкуса</v>
          </cell>
          <cell r="F35">
            <v>966.66666666666663</v>
          </cell>
          <cell r="G35">
            <v>5</v>
          </cell>
        </row>
        <row r="36">
          <cell r="A36" t="str">
            <v>Тюмень</v>
          </cell>
          <cell r="B36" t="str">
            <v>ТЦ Солнечный</v>
          </cell>
          <cell r="F36">
            <v>8.1112586400000009</v>
          </cell>
          <cell r="G36">
            <v>5</v>
          </cell>
        </row>
        <row r="37">
          <cell r="A37" t="str">
            <v>Химки</v>
          </cell>
          <cell r="B37" t="str">
            <v>ТЦ Мега, Химки</v>
          </cell>
          <cell r="F37">
            <v>131.66666666666666</v>
          </cell>
          <cell r="G37">
            <v>5</v>
          </cell>
        </row>
        <row r="40">
          <cell r="A40" t="str">
            <v>Источник: оценка агентства OMD</v>
          </cell>
        </row>
      </sheetData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E338-98BB-4357-9114-69D6B4DE28F0}">
  <sheetPr>
    <tabColor rgb="FF92D050"/>
  </sheetPr>
  <dimension ref="A1:N42"/>
  <sheetViews>
    <sheetView tabSelected="1" zoomScale="80" zoomScaleNormal="80" workbookViewId="0">
      <pane ySplit="1" topLeftCell="A2" activePane="bottomLeft" state="frozen"/>
      <selection activeCell="A14" sqref="A14"/>
      <selection pane="bottomLeft" activeCell="B1" sqref="B1"/>
    </sheetView>
  </sheetViews>
  <sheetFormatPr defaultColWidth="9.140625" defaultRowHeight="13.5" x14ac:dyDescent="0.25"/>
  <cols>
    <col min="1" max="1" width="64.85546875" style="1" customWidth="1"/>
    <col min="2" max="2" width="37.28515625" style="1" customWidth="1"/>
    <col min="3" max="3" width="26.7109375" style="1" customWidth="1"/>
    <col min="4" max="4" width="13" style="2" customWidth="1"/>
    <col min="5" max="5" width="15.85546875" style="1" customWidth="1"/>
    <col min="6" max="7" width="22.42578125" style="1" customWidth="1"/>
    <col min="8" max="8" width="22.140625" style="1" customWidth="1"/>
    <col min="9" max="9" width="26.42578125" style="1" customWidth="1"/>
    <col min="10" max="10" width="25.140625" style="1" customWidth="1"/>
    <col min="11" max="11" width="24" style="1" customWidth="1"/>
    <col min="12" max="12" width="26" style="1" customWidth="1"/>
    <col min="13" max="13" width="16.42578125" style="1" customWidth="1"/>
    <col min="14" max="16384" width="9.140625" style="1"/>
  </cols>
  <sheetData>
    <row r="1" spans="1:14" ht="57.75" customHeight="1" x14ac:dyDescent="0.25">
      <c r="A1" s="64" t="s">
        <v>64</v>
      </c>
      <c r="B1" s="68" t="s">
        <v>63</v>
      </c>
      <c r="C1" s="68" t="s">
        <v>62</v>
      </c>
      <c r="D1" s="57" t="s">
        <v>61</v>
      </c>
      <c r="E1" s="57" t="s">
        <v>60</v>
      </c>
      <c r="F1" s="57" t="s">
        <v>59</v>
      </c>
      <c r="G1" s="57" t="s">
        <v>58</v>
      </c>
      <c r="H1" s="57" t="s">
        <v>57</v>
      </c>
      <c r="I1" s="66" t="s">
        <v>69</v>
      </c>
      <c r="J1" s="65" t="s">
        <v>68</v>
      </c>
      <c r="K1" s="69" t="s">
        <v>42</v>
      </c>
      <c r="L1" s="70" t="s">
        <v>48</v>
      </c>
      <c r="M1" s="69" t="s">
        <v>56</v>
      </c>
    </row>
    <row r="2" spans="1:14" ht="20.25" customHeight="1" x14ac:dyDescent="0.25">
      <c r="A2" s="60" t="s">
        <v>55</v>
      </c>
      <c r="B2" s="37" t="s">
        <v>53</v>
      </c>
      <c r="C2" s="36" t="s">
        <v>54</v>
      </c>
      <c r="D2" s="56">
        <v>120</v>
      </c>
      <c r="E2" s="41">
        <v>0.3</v>
      </c>
      <c r="F2" s="19">
        <v>50000</v>
      </c>
      <c r="G2" s="18"/>
      <c r="H2" s="20">
        <v>15000</v>
      </c>
      <c r="I2" s="51"/>
      <c r="J2" s="50"/>
      <c r="K2" s="18"/>
      <c r="L2" s="17">
        <v>0</v>
      </c>
      <c r="M2" s="16">
        <v>1000</v>
      </c>
    </row>
    <row r="3" spans="1:14" ht="19.7" customHeight="1" x14ac:dyDescent="0.25">
      <c r="A3" s="60" t="s">
        <v>55</v>
      </c>
      <c r="B3" s="54" t="s">
        <v>51</v>
      </c>
      <c r="C3" s="53" t="s">
        <v>52</v>
      </c>
      <c r="D3" s="32">
        <v>120</v>
      </c>
      <c r="E3" s="52">
        <v>0.3</v>
      </c>
      <c r="F3" s="19">
        <v>5000</v>
      </c>
      <c r="G3" s="18"/>
      <c r="H3" s="20">
        <v>1500</v>
      </c>
      <c r="I3" s="51"/>
      <c r="J3" s="50"/>
      <c r="K3" s="18"/>
      <c r="L3" s="17">
        <v>0</v>
      </c>
      <c r="M3" s="16">
        <v>300</v>
      </c>
    </row>
    <row r="4" spans="1:14" ht="20.25" customHeight="1" x14ac:dyDescent="0.25">
      <c r="A4" s="60" t="s">
        <v>55</v>
      </c>
      <c r="B4" s="63" t="s">
        <v>50</v>
      </c>
      <c r="C4" s="36" t="s">
        <v>49</v>
      </c>
      <c r="D4" s="32">
        <v>120</v>
      </c>
      <c r="E4" s="41">
        <v>0.2</v>
      </c>
      <c r="F4" s="19"/>
      <c r="G4" s="18"/>
      <c r="H4" s="20">
        <v>196668.20571428572</v>
      </c>
      <c r="I4" s="20">
        <v>1076</v>
      </c>
      <c r="J4" s="49"/>
      <c r="K4" s="18">
        <v>30</v>
      </c>
      <c r="L4" s="40">
        <v>15.84</v>
      </c>
      <c r="M4" s="16">
        <v>8304</v>
      </c>
      <c r="N4" s="48" t="e">
        <f>_xlfn.CONCAT(#REF!,C4)</f>
        <v>#REF!</v>
      </c>
    </row>
    <row r="5" spans="1:14" ht="20.25" customHeight="1" x14ac:dyDescent="0.25">
      <c r="A5" s="60" t="s">
        <v>55</v>
      </c>
      <c r="B5" s="12" t="s">
        <v>45</v>
      </c>
      <c r="C5" s="33" t="s">
        <v>47</v>
      </c>
      <c r="D5" s="32">
        <v>120</v>
      </c>
      <c r="E5" s="41">
        <v>0.3</v>
      </c>
      <c r="F5" s="19">
        <v>24000</v>
      </c>
      <c r="G5" s="18"/>
      <c r="H5" s="20">
        <v>7200</v>
      </c>
      <c r="I5" s="45"/>
      <c r="J5" s="44"/>
      <c r="K5" s="18"/>
      <c r="L5" s="40">
        <v>0</v>
      </c>
      <c r="M5" s="46">
        <v>1440</v>
      </c>
    </row>
    <row r="6" spans="1:14" ht="20.25" customHeight="1" x14ac:dyDescent="0.25">
      <c r="A6" s="60" t="s">
        <v>55</v>
      </c>
      <c r="B6" s="12" t="s">
        <v>45</v>
      </c>
      <c r="C6" s="33" t="s">
        <v>46</v>
      </c>
      <c r="D6" s="32">
        <v>120</v>
      </c>
      <c r="E6" s="41">
        <v>0.3</v>
      </c>
      <c r="F6" s="19">
        <v>4000</v>
      </c>
      <c r="G6" s="18"/>
      <c r="H6" s="20">
        <v>1200</v>
      </c>
      <c r="I6" s="45"/>
      <c r="J6" s="44"/>
      <c r="K6" s="18"/>
      <c r="L6" s="40">
        <v>0</v>
      </c>
      <c r="M6" s="46">
        <v>240</v>
      </c>
    </row>
    <row r="7" spans="1:14" ht="20.25" customHeight="1" x14ac:dyDescent="0.25">
      <c r="A7" s="60" t="s">
        <v>55</v>
      </c>
      <c r="B7" s="11" t="s">
        <v>43</v>
      </c>
      <c r="C7" s="33" t="s">
        <v>44</v>
      </c>
      <c r="D7" s="32">
        <v>120</v>
      </c>
      <c r="E7" s="41">
        <v>1</v>
      </c>
      <c r="F7" s="19"/>
      <c r="G7" s="18">
        <v>1100</v>
      </c>
      <c r="H7" s="20">
        <v>1100</v>
      </c>
      <c r="I7" s="19"/>
      <c r="J7" s="18"/>
      <c r="K7" s="43"/>
      <c r="L7" s="40"/>
      <c r="M7" s="16">
        <v>1100</v>
      </c>
    </row>
    <row r="8" spans="1:14" ht="20.25" customHeight="1" x14ac:dyDescent="0.25">
      <c r="A8" s="60" t="s">
        <v>55</v>
      </c>
      <c r="B8" s="42" t="s">
        <v>39</v>
      </c>
      <c r="C8" s="33" t="s">
        <v>41</v>
      </c>
      <c r="D8" s="32">
        <v>120</v>
      </c>
      <c r="E8" s="41">
        <v>0.5</v>
      </c>
      <c r="F8" s="19">
        <v>10000</v>
      </c>
      <c r="G8" s="18"/>
      <c r="H8" s="20">
        <v>5000</v>
      </c>
      <c r="I8" s="18"/>
      <c r="J8" s="67" t="s">
        <v>40</v>
      </c>
      <c r="K8" s="18">
        <v>1</v>
      </c>
      <c r="L8" s="40"/>
      <c r="M8" s="16">
        <v>3333.3333333333335</v>
      </c>
    </row>
    <row r="9" spans="1:14" ht="19.7" customHeight="1" x14ac:dyDescent="0.25">
      <c r="A9" s="59" t="s">
        <v>38</v>
      </c>
      <c r="B9" s="12" t="s">
        <v>36</v>
      </c>
      <c r="C9" s="33" t="s">
        <v>37</v>
      </c>
      <c r="D9" s="32">
        <v>28</v>
      </c>
      <c r="E9" s="21">
        <v>1</v>
      </c>
      <c r="F9" s="19">
        <v>90</v>
      </c>
      <c r="G9" s="18"/>
      <c r="H9" s="30">
        <v>90</v>
      </c>
      <c r="I9" s="18"/>
      <c r="J9" s="39"/>
      <c r="K9" s="18">
        <v>0</v>
      </c>
      <c r="L9" s="17"/>
      <c r="M9" s="16">
        <v>30</v>
      </c>
    </row>
    <row r="10" spans="1:14" ht="20.25" customHeight="1" x14ac:dyDescent="0.25">
      <c r="A10" s="59" t="s">
        <v>38</v>
      </c>
      <c r="B10" s="12" t="s">
        <v>25</v>
      </c>
      <c r="C10" s="33" t="s">
        <v>35</v>
      </c>
      <c r="D10" s="32">
        <v>28</v>
      </c>
      <c r="E10" s="21">
        <v>1</v>
      </c>
      <c r="F10" s="19">
        <v>90</v>
      </c>
      <c r="G10" s="18"/>
      <c r="H10" s="30">
        <v>90</v>
      </c>
      <c r="I10" s="18"/>
      <c r="J10" s="39"/>
      <c r="K10" s="18"/>
      <c r="L10" s="17"/>
      <c r="M10" s="38">
        <v>30</v>
      </c>
    </row>
    <row r="11" spans="1:14" ht="20.25" customHeight="1" x14ac:dyDescent="0.25">
      <c r="A11" s="59" t="s">
        <v>38</v>
      </c>
      <c r="B11" s="12" t="s">
        <v>25</v>
      </c>
      <c r="C11" s="33" t="s">
        <v>34</v>
      </c>
      <c r="D11" s="32">
        <v>28</v>
      </c>
      <c r="E11" s="21">
        <v>1</v>
      </c>
      <c r="F11" s="19">
        <v>90</v>
      </c>
      <c r="G11" s="18"/>
      <c r="H11" s="30">
        <v>90</v>
      </c>
      <c r="I11" s="18"/>
      <c r="J11" s="39"/>
      <c r="K11" s="18"/>
      <c r="L11" s="17"/>
      <c r="M11" s="38">
        <v>90</v>
      </c>
    </row>
    <row r="12" spans="1:14" ht="20.25" customHeight="1" x14ac:dyDescent="0.25">
      <c r="A12" s="59" t="s">
        <v>38</v>
      </c>
      <c r="B12" s="12" t="s">
        <v>25</v>
      </c>
      <c r="C12" s="33" t="s">
        <v>33</v>
      </c>
      <c r="D12" s="32">
        <v>28</v>
      </c>
      <c r="E12" s="21">
        <v>1</v>
      </c>
      <c r="F12" s="19">
        <v>90</v>
      </c>
      <c r="G12" s="18"/>
      <c r="H12" s="30">
        <v>90</v>
      </c>
      <c r="I12" s="18"/>
      <c r="J12" s="39"/>
      <c r="K12" s="18"/>
      <c r="L12" s="17"/>
      <c r="M12" s="38">
        <v>60</v>
      </c>
    </row>
    <row r="13" spans="1:14" ht="20.25" customHeight="1" x14ac:dyDescent="0.25">
      <c r="A13" s="59" t="s">
        <v>38</v>
      </c>
      <c r="B13" s="12" t="s">
        <v>25</v>
      </c>
      <c r="C13" s="33" t="s">
        <v>32</v>
      </c>
      <c r="D13" s="32">
        <v>28</v>
      </c>
      <c r="E13" s="21">
        <v>1</v>
      </c>
      <c r="F13" s="19">
        <v>90</v>
      </c>
      <c r="G13" s="18"/>
      <c r="H13" s="30">
        <v>90</v>
      </c>
      <c r="I13" s="18"/>
      <c r="J13" s="39"/>
      <c r="K13" s="18"/>
      <c r="L13" s="17"/>
      <c r="M13" s="38">
        <v>15</v>
      </c>
    </row>
    <row r="14" spans="1:14" ht="20.25" customHeight="1" x14ac:dyDescent="0.25">
      <c r="A14" s="59" t="s">
        <v>38</v>
      </c>
      <c r="B14" s="12" t="s">
        <v>25</v>
      </c>
      <c r="C14" s="33" t="s">
        <v>31</v>
      </c>
      <c r="D14" s="32">
        <v>28</v>
      </c>
      <c r="E14" s="21">
        <v>1</v>
      </c>
      <c r="F14" s="19">
        <v>90</v>
      </c>
      <c r="G14" s="18"/>
      <c r="H14" s="30">
        <v>90</v>
      </c>
      <c r="I14" s="18"/>
      <c r="J14" s="39"/>
      <c r="K14" s="18"/>
      <c r="L14" s="17"/>
      <c r="M14" s="38">
        <v>45</v>
      </c>
    </row>
    <row r="15" spans="1:14" ht="20.25" customHeight="1" x14ac:dyDescent="0.25">
      <c r="A15" s="59" t="s">
        <v>38</v>
      </c>
      <c r="B15" s="12" t="s">
        <v>25</v>
      </c>
      <c r="C15" s="33" t="s">
        <v>30</v>
      </c>
      <c r="D15" s="32">
        <v>28</v>
      </c>
      <c r="E15" s="21">
        <v>1</v>
      </c>
      <c r="F15" s="19">
        <v>90</v>
      </c>
      <c r="G15" s="18"/>
      <c r="H15" s="30">
        <v>90</v>
      </c>
      <c r="I15" s="18"/>
      <c r="J15" s="39"/>
      <c r="K15" s="18"/>
      <c r="L15" s="17"/>
      <c r="M15" s="38">
        <v>30</v>
      </c>
    </row>
    <row r="16" spans="1:14" ht="20.25" customHeight="1" x14ac:dyDescent="0.25">
      <c r="A16" s="59" t="s">
        <v>38</v>
      </c>
      <c r="B16" s="12" t="s">
        <v>25</v>
      </c>
      <c r="C16" s="33" t="s">
        <v>29</v>
      </c>
      <c r="D16" s="32">
        <v>28</v>
      </c>
      <c r="E16" s="21">
        <v>1</v>
      </c>
      <c r="F16" s="19">
        <v>90</v>
      </c>
      <c r="G16" s="18"/>
      <c r="H16" s="30">
        <v>90</v>
      </c>
      <c r="I16" s="18"/>
      <c r="J16" s="39"/>
      <c r="K16" s="18"/>
      <c r="L16" s="17"/>
      <c r="M16" s="38">
        <v>90</v>
      </c>
    </row>
    <row r="17" spans="1:13" ht="20.25" customHeight="1" x14ac:dyDescent="0.25">
      <c r="A17" s="59" t="s">
        <v>38</v>
      </c>
      <c r="B17" s="12" t="s">
        <v>25</v>
      </c>
      <c r="C17" s="33" t="s">
        <v>28</v>
      </c>
      <c r="D17" s="32">
        <v>28</v>
      </c>
      <c r="E17" s="21">
        <v>1</v>
      </c>
      <c r="F17" s="19">
        <v>90</v>
      </c>
      <c r="G17" s="18"/>
      <c r="H17" s="30">
        <v>90</v>
      </c>
      <c r="I17" s="18"/>
      <c r="J17" s="39"/>
      <c r="K17" s="18"/>
      <c r="L17" s="17"/>
      <c r="M17" s="38">
        <v>45</v>
      </c>
    </row>
    <row r="18" spans="1:13" ht="20.25" customHeight="1" x14ac:dyDescent="0.25">
      <c r="A18" s="59" t="s">
        <v>38</v>
      </c>
      <c r="B18" s="12" t="s">
        <v>25</v>
      </c>
      <c r="C18" s="33" t="s">
        <v>27</v>
      </c>
      <c r="D18" s="32">
        <v>28</v>
      </c>
      <c r="E18" s="21">
        <v>1</v>
      </c>
      <c r="F18" s="19">
        <v>90</v>
      </c>
      <c r="G18" s="18"/>
      <c r="H18" s="30">
        <v>90</v>
      </c>
      <c r="I18" s="18"/>
      <c r="J18" s="39"/>
      <c r="K18" s="18"/>
      <c r="L18" s="17"/>
      <c r="M18" s="38">
        <v>60</v>
      </c>
    </row>
    <row r="19" spans="1:13" ht="20.25" customHeight="1" x14ac:dyDescent="0.25">
      <c r="A19" s="59" t="s">
        <v>38</v>
      </c>
      <c r="B19" s="12" t="s">
        <v>25</v>
      </c>
      <c r="C19" s="33" t="s">
        <v>26</v>
      </c>
      <c r="D19" s="32">
        <v>28</v>
      </c>
      <c r="E19" s="21">
        <v>1</v>
      </c>
      <c r="F19" s="19">
        <v>90</v>
      </c>
      <c r="G19" s="18"/>
      <c r="H19" s="30">
        <v>90</v>
      </c>
      <c r="I19" s="18"/>
      <c r="J19" s="39"/>
      <c r="K19" s="18"/>
      <c r="L19" s="17"/>
      <c r="M19" s="38">
        <v>90</v>
      </c>
    </row>
    <row r="20" spans="1:13" ht="20.25" customHeight="1" x14ac:dyDescent="0.25">
      <c r="A20" s="59" t="s">
        <v>38</v>
      </c>
      <c r="B20" s="37" t="s">
        <v>24</v>
      </c>
      <c r="C20" s="36" t="s">
        <v>23</v>
      </c>
      <c r="D20" s="32">
        <v>28</v>
      </c>
      <c r="E20" s="21">
        <v>1</v>
      </c>
      <c r="F20" s="31">
        <v>90</v>
      </c>
      <c r="G20" s="29"/>
      <c r="H20" s="30">
        <v>90</v>
      </c>
      <c r="I20" s="29"/>
      <c r="J20" s="28"/>
      <c r="K20" s="18"/>
      <c r="L20" s="17"/>
      <c r="M20" s="35">
        <v>60</v>
      </c>
    </row>
    <row r="21" spans="1:13" ht="22.7" customHeight="1" x14ac:dyDescent="0.25">
      <c r="A21" s="61" t="s">
        <v>20</v>
      </c>
      <c r="B21" s="12" t="s">
        <v>17</v>
      </c>
      <c r="C21" s="23" t="s">
        <v>19</v>
      </c>
      <c r="D21" s="22"/>
      <c r="E21" s="21"/>
      <c r="F21" s="19"/>
      <c r="G21" s="18"/>
      <c r="H21" s="16" t="s">
        <v>111</v>
      </c>
      <c r="I21" s="19">
        <v>6</v>
      </c>
      <c r="J21" s="18"/>
      <c r="K21" s="18">
        <v>1</v>
      </c>
      <c r="L21" s="17"/>
      <c r="M21" s="16">
        <v>0</v>
      </c>
    </row>
    <row r="22" spans="1:13" ht="23.45" customHeight="1" x14ac:dyDescent="0.25">
      <c r="A22" s="61" t="s">
        <v>20</v>
      </c>
      <c r="B22" s="12" t="s">
        <v>17</v>
      </c>
      <c r="C22" s="23" t="s">
        <v>18</v>
      </c>
      <c r="D22" s="22"/>
      <c r="E22" s="21"/>
      <c r="F22" s="19"/>
      <c r="G22" s="18"/>
      <c r="H22" s="16" t="s">
        <v>111</v>
      </c>
      <c r="I22" s="19">
        <v>8</v>
      </c>
      <c r="J22" s="18"/>
      <c r="K22" s="18">
        <v>1</v>
      </c>
      <c r="L22" s="17"/>
      <c r="M22" s="16">
        <v>0</v>
      </c>
    </row>
    <row r="23" spans="1:13" ht="21" customHeight="1" x14ac:dyDescent="0.25">
      <c r="A23" s="61" t="s">
        <v>20</v>
      </c>
      <c r="B23" s="12" t="s">
        <v>17</v>
      </c>
      <c r="C23" s="23" t="s">
        <v>16</v>
      </c>
      <c r="D23" s="22"/>
      <c r="E23" s="21"/>
      <c r="F23" s="19"/>
      <c r="G23" s="18"/>
      <c r="H23" s="16" t="s">
        <v>111</v>
      </c>
      <c r="I23" s="19">
        <v>7</v>
      </c>
      <c r="J23" s="18"/>
      <c r="K23" s="18">
        <v>1</v>
      </c>
      <c r="L23" s="17"/>
      <c r="M23" s="16">
        <v>0</v>
      </c>
    </row>
    <row r="24" spans="1:13" x14ac:dyDescent="0.25">
      <c r="A24" s="10"/>
      <c r="B24" s="5"/>
      <c r="C24" s="3"/>
      <c r="D24" s="4"/>
      <c r="E24" s="3"/>
      <c r="F24" s="3"/>
      <c r="G24" s="3"/>
      <c r="H24" s="3"/>
      <c r="I24" s="3"/>
      <c r="J24" s="3"/>
      <c r="K24" s="3"/>
      <c r="L24" s="3"/>
    </row>
    <row r="25" spans="1:13" x14ac:dyDescent="0.25">
      <c r="A25" s="10"/>
      <c r="B25" s="5"/>
      <c r="C25" s="3"/>
      <c r="D25" s="4"/>
      <c r="E25" s="3"/>
      <c r="F25" s="3"/>
      <c r="G25" s="3"/>
      <c r="H25" s="3"/>
      <c r="I25" s="3"/>
      <c r="J25" s="3"/>
      <c r="K25" s="3"/>
      <c r="L25" s="3"/>
    </row>
    <row r="26" spans="1:13" x14ac:dyDescent="0.25">
      <c r="A26" s="10"/>
      <c r="B26" s="5"/>
      <c r="C26" s="3"/>
      <c r="D26" s="4"/>
      <c r="E26" s="3"/>
      <c r="F26" s="3"/>
      <c r="G26" s="3"/>
      <c r="H26" s="3"/>
      <c r="I26" s="3"/>
      <c r="J26" s="3"/>
      <c r="K26" s="3"/>
      <c r="L26" s="3"/>
    </row>
    <row r="27" spans="1:13" x14ac:dyDescent="0.25">
      <c r="A27" s="169"/>
      <c r="B27" s="5"/>
      <c r="C27" s="3"/>
      <c r="D27" s="4"/>
      <c r="E27" s="3"/>
      <c r="F27" s="3"/>
      <c r="G27" s="3"/>
      <c r="H27" s="3"/>
      <c r="I27" s="3"/>
      <c r="J27" s="3"/>
      <c r="K27" s="3"/>
      <c r="L27" s="3"/>
    </row>
    <row r="28" spans="1:13" x14ac:dyDescent="0.25">
      <c r="A28" s="169"/>
      <c r="B28" s="5"/>
      <c r="C28" s="3"/>
      <c r="D28" s="4"/>
      <c r="E28" s="3"/>
      <c r="F28" s="3"/>
      <c r="G28" s="3"/>
      <c r="H28" s="3"/>
      <c r="I28" s="3"/>
      <c r="J28" s="3"/>
      <c r="K28" s="3"/>
      <c r="L28" s="3"/>
    </row>
    <row r="29" spans="1:13" x14ac:dyDescent="0.25">
      <c r="A29" s="169"/>
      <c r="B29" s="5"/>
      <c r="C29" s="3"/>
      <c r="D29" s="4"/>
      <c r="E29" s="3"/>
      <c r="F29" s="3"/>
      <c r="G29" s="3"/>
      <c r="H29" s="3"/>
      <c r="I29" s="3"/>
      <c r="J29" s="3"/>
      <c r="K29" s="3"/>
      <c r="L29" s="3"/>
    </row>
    <row r="30" spans="1:13" x14ac:dyDescent="0.25">
      <c r="A30" s="169"/>
      <c r="B30" s="5"/>
      <c r="C30" s="8"/>
      <c r="D30" s="4"/>
      <c r="E30" s="3"/>
      <c r="F30" s="3"/>
      <c r="G30" s="3"/>
      <c r="H30" s="3"/>
      <c r="I30" s="3"/>
      <c r="J30" s="3"/>
      <c r="K30" s="3"/>
      <c r="L30" s="3"/>
    </row>
    <row r="31" spans="1:13" x14ac:dyDescent="0.25">
      <c r="A31" s="169"/>
      <c r="B31" s="5"/>
      <c r="C31" s="8"/>
      <c r="D31" s="4"/>
      <c r="E31" s="3"/>
      <c r="F31" s="3"/>
      <c r="G31" s="3"/>
      <c r="H31" s="3"/>
      <c r="I31" s="3"/>
      <c r="J31" s="3"/>
      <c r="K31" s="3"/>
      <c r="L31" s="3"/>
    </row>
    <row r="32" spans="1:13" x14ac:dyDescent="0.25">
      <c r="A32" s="169"/>
      <c r="B32" s="5"/>
      <c r="C32" s="3"/>
      <c r="D32" s="4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7"/>
      <c r="B33" s="5"/>
      <c r="C33" s="3"/>
      <c r="D33" s="4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5"/>
      <c r="C34" s="3"/>
      <c r="D34" s="4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5"/>
      <c r="C35" s="5"/>
      <c r="D35" s="6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3"/>
      <c r="B36" s="5"/>
      <c r="C36" s="3"/>
      <c r="D36" s="4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5"/>
      <c r="C37" s="3"/>
      <c r="D37" s="4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5"/>
      <c r="C38" s="3"/>
      <c r="D38" s="4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5"/>
      <c r="C39" s="5"/>
      <c r="D39" s="6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3"/>
      <c r="B40" s="5"/>
      <c r="C40" s="3"/>
      <c r="D40" s="4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5"/>
      <c r="C41" s="3"/>
      <c r="D41" s="4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5"/>
      <c r="C42" s="3"/>
      <c r="D42" s="4"/>
      <c r="E42" s="3"/>
      <c r="F42" s="3"/>
      <c r="G42" s="3"/>
      <c r="H42" s="3"/>
      <c r="I42" s="3"/>
      <c r="J42" s="3"/>
      <c r="K42" s="3"/>
      <c r="L42" s="3"/>
    </row>
  </sheetData>
  <sheetProtection formatCells="0" formatColumns="0" formatRows="0"/>
  <mergeCells count="1">
    <mergeCell ref="A27:A32"/>
  </mergeCells>
  <dataValidations count="1">
    <dataValidation type="list" allowBlank="1" showInputMessage="1" showErrorMessage="1" sqref="C3" xr:uid="{6087019C-688C-4400-B863-2E7AABF222F1}">
      <formula1>Indoor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7101-466A-4FFA-97EB-73ABB1D17E97}">
  <sheetPr>
    <tabColor rgb="FF92D050"/>
  </sheetPr>
  <dimension ref="A1:C32"/>
  <sheetViews>
    <sheetView zoomScale="85" zoomScaleNormal="55" workbookViewId="0">
      <selection activeCell="D9" sqref="D9"/>
    </sheetView>
  </sheetViews>
  <sheetFormatPr defaultColWidth="9.140625" defaultRowHeight="13.5" x14ac:dyDescent="0.25"/>
  <cols>
    <col min="1" max="1" width="36" style="1" customWidth="1"/>
    <col min="2" max="2" width="52.7109375" style="1" customWidth="1"/>
    <col min="3" max="3" width="22.42578125" style="1" customWidth="1"/>
    <col min="4" max="16384" width="9.140625" style="1"/>
  </cols>
  <sheetData>
    <row r="1" spans="1:3" x14ac:dyDescent="0.25">
      <c r="A1" s="73" t="s">
        <v>70</v>
      </c>
      <c r="B1" s="73" t="s">
        <v>71</v>
      </c>
      <c r="C1" s="73" t="s">
        <v>72</v>
      </c>
    </row>
    <row r="2" spans="1:3" ht="13.35" customHeight="1" x14ac:dyDescent="0.25">
      <c r="A2" s="74" t="s">
        <v>14</v>
      </c>
      <c r="B2" s="71" t="s">
        <v>13</v>
      </c>
      <c r="C2" s="75">
        <v>90</v>
      </c>
    </row>
    <row r="3" spans="1:3" ht="20.25" customHeight="1" x14ac:dyDescent="0.25">
      <c r="A3" s="74" t="s">
        <v>14</v>
      </c>
      <c r="B3" s="72" t="s">
        <v>12</v>
      </c>
      <c r="C3" s="76"/>
    </row>
    <row r="4" spans="1:3" ht="20.25" customHeight="1" x14ac:dyDescent="0.25">
      <c r="A4" s="74" t="s">
        <v>14</v>
      </c>
      <c r="B4" s="72" t="s">
        <v>11</v>
      </c>
      <c r="C4" s="77"/>
    </row>
    <row r="5" spans="1:3" ht="20.25" customHeight="1" x14ac:dyDescent="0.25">
      <c r="A5" s="74" t="s">
        <v>14</v>
      </c>
      <c r="B5" s="72" t="s">
        <v>10</v>
      </c>
      <c r="C5" s="76"/>
    </row>
    <row r="6" spans="1:3" ht="20.25" customHeight="1" x14ac:dyDescent="0.25">
      <c r="A6" s="74" t="s">
        <v>14</v>
      </c>
      <c r="B6" s="72" t="s">
        <v>9</v>
      </c>
      <c r="C6" s="78"/>
    </row>
    <row r="7" spans="1:3" ht="20.25" customHeight="1" x14ac:dyDescent="0.25">
      <c r="A7" s="74" t="s">
        <v>8</v>
      </c>
      <c r="B7" s="72" t="s">
        <v>7</v>
      </c>
      <c r="C7" s="81">
        <v>5000000</v>
      </c>
    </row>
    <row r="8" spans="1:3" ht="44.45" customHeight="1" x14ac:dyDescent="0.25">
      <c r="A8" s="74" t="s">
        <v>8</v>
      </c>
      <c r="B8" s="71" t="s">
        <v>6</v>
      </c>
      <c r="C8" s="79">
        <v>19763160.75</v>
      </c>
    </row>
    <row r="9" spans="1:3" ht="44.45" customHeight="1" x14ac:dyDescent="0.25">
      <c r="A9" s="74" t="s">
        <v>8</v>
      </c>
      <c r="B9" s="71" t="s">
        <v>5</v>
      </c>
      <c r="C9" s="79">
        <f>SUM(C7:C8)</f>
        <v>24763160.75</v>
      </c>
    </row>
    <row r="10" spans="1:3" ht="44.45" customHeight="1" x14ac:dyDescent="0.25">
      <c r="A10" s="74" t="s">
        <v>4</v>
      </c>
      <c r="B10" s="71" t="s">
        <v>3</v>
      </c>
      <c r="C10" s="80"/>
    </row>
    <row r="11" spans="1:3" ht="20.25" customHeight="1" x14ac:dyDescent="0.25">
      <c r="A11" s="74" t="s">
        <v>4</v>
      </c>
      <c r="B11" s="71" t="s">
        <v>2</v>
      </c>
      <c r="C11" s="80">
        <v>0.10825510378398345</v>
      </c>
    </row>
    <row r="12" spans="1:3" ht="20.25" customHeight="1" x14ac:dyDescent="0.25">
      <c r="A12" s="74" t="s">
        <v>4</v>
      </c>
      <c r="B12" s="72" t="s">
        <v>1</v>
      </c>
      <c r="C12" s="163">
        <v>3.9999061978910775</v>
      </c>
    </row>
    <row r="13" spans="1:3" ht="20.25" customHeight="1" x14ac:dyDescent="0.25">
      <c r="A13" s="74" t="s">
        <v>4</v>
      </c>
      <c r="B13" s="72" t="s">
        <v>0</v>
      </c>
      <c r="C13" s="85">
        <v>275.14623055555558</v>
      </c>
    </row>
    <row r="14" spans="1:3" x14ac:dyDescent="0.25">
      <c r="A14" s="74" t="s">
        <v>74</v>
      </c>
      <c r="B14" s="12" t="s">
        <v>135</v>
      </c>
      <c r="C14" s="86">
        <v>11062.57</v>
      </c>
    </row>
    <row r="15" spans="1:3" ht="15" x14ac:dyDescent="0.25">
      <c r="A15" s="74" t="s">
        <v>74</v>
      </c>
      <c r="B15" s="12" t="s">
        <v>66</v>
      </c>
      <c r="C15" s="83">
        <v>28</v>
      </c>
    </row>
    <row r="16" spans="1:3" x14ac:dyDescent="0.25">
      <c r="A16" s="74" t="s">
        <v>74</v>
      </c>
      <c r="B16" s="11" t="s">
        <v>65</v>
      </c>
      <c r="C16" s="84">
        <v>120</v>
      </c>
    </row>
    <row r="17" spans="1:3" x14ac:dyDescent="0.25">
      <c r="A17" s="74" t="s">
        <v>74</v>
      </c>
      <c r="B17" s="11" t="s">
        <v>73</v>
      </c>
      <c r="C17" s="84">
        <v>90</v>
      </c>
    </row>
    <row r="18" spans="1:3" x14ac:dyDescent="0.25">
      <c r="A18" s="82"/>
      <c r="B18" s="3"/>
      <c r="C18" s="3"/>
    </row>
    <row r="19" spans="1:3" x14ac:dyDescent="0.25">
      <c r="A19" s="82"/>
      <c r="B19" s="3"/>
      <c r="C19" s="3"/>
    </row>
    <row r="20" spans="1:3" x14ac:dyDescent="0.25">
      <c r="A20" s="82"/>
      <c r="B20" s="8"/>
      <c r="C20" s="5"/>
    </row>
    <row r="21" spans="1:3" x14ac:dyDescent="0.25">
      <c r="A21" s="82"/>
      <c r="B21" s="8"/>
      <c r="C21" s="5"/>
    </row>
    <row r="22" spans="1:3" x14ac:dyDescent="0.25">
      <c r="A22" s="82"/>
      <c r="B22" s="3"/>
      <c r="C22" s="3"/>
    </row>
    <row r="23" spans="1:3" x14ac:dyDescent="0.25">
      <c r="A23" s="7"/>
      <c r="B23" s="3"/>
      <c r="C23" s="3"/>
    </row>
    <row r="24" spans="1:3" x14ac:dyDescent="0.25">
      <c r="A24" s="3"/>
      <c r="B24" s="3"/>
      <c r="C24" s="3"/>
    </row>
    <row r="25" spans="1:3" x14ac:dyDescent="0.25">
      <c r="A25" s="5"/>
      <c r="B25" s="5"/>
      <c r="C25" s="5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5"/>
      <c r="B29" s="5"/>
      <c r="C29" s="5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</sheetData>
  <sheetProtection formatCells="0" formatColumns="0" format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9CC6-F578-4958-AFED-306CF1F5FFA4}">
  <sheetPr>
    <tabColor rgb="FFFFFF00"/>
  </sheetPr>
  <dimension ref="A1:E34"/>
  <sheetViews>
    <sheetView zoomScale="50" zoomScaleNormal="50" workbookViewId="0">
      <pane ySplit="1" topLeftCell="A2" activePane="bottomLeft" state="frozen"/>
      <selection activeCell="A14" sqref="A14"/>
      <selection pane="bottomLeft" sqref="A1:D1"/>
    </sheetView>
  </sheetViews>
  <sheetFormatPr defaultColWidth="9.140625" defaultRowHeight="13.5" x14ac:dyDescent="0.25"/>
  <cols>
    <col min="1" max="1" width="64.85546875" style="1" customWidth="1"/>
    <col min="2" max="2" width="56.140625" style="1" customWidth="1"/>
    <col min="3" max="3" width="22.140625" style="1" customWidth="1"/>
    <col min="4" max="4" width="16.42578125" style="1" customWidth="1"/>
    <col min="5" max="16384" width="9.140625" style="1"/>
  </cols>
  <sheetData>
    <row r="1" spans="1:5" ht="57.75" customHeight="1" x14ac:dyDescent="0.25">
      <c r="A1" s="68" t="s">
        <v>64</v>
      </c>
      <c r="B1" s="68" t="s">
        <v>63</v>
      </c>
      <c r="C1" s="57" t="s">
        <v>57</v>
      </c>
      <c r="D1" s="57" t="s">
        <v>56</v>
      </c>
    </row>
    <row r="2" spans="1:5" ht="24.75" customHeight="1" x14ac:dyDescent="0.25">
      <c r="A2" s="58" t="s">
        <v>55</v>
      </c>
      <c r="B2" s="27" t="s">
        <v>53</v>
      </c>
      <c r="C2" s="47">
        <v>15000</v>
      </c>
      <c r="D2" s="47">
        <v>1000</v>
      </c>
    </row>
    <row r="3" spans="1:5" ht="24.75" customHeight="1" x14ac:dyDescent="0.25">
      <c r="A3" s="58" t="s">
        <v>55</v>
      </c>
      <c r="B3" s="55" t="s">
        <v>51</v>
      </c>
      <c r="C3" s="47">
        <v>1500</v>
      </c>
      <c r="D3" s="47">
        <v>300</v>
      </c>
    </row>
    <row r="4" spans="1:5" ht="28.5" customHeight="1" x14ac:dyDescent="0.25">
      <c r="A4" s="58" t="s">
        <v>55</v>
      </c>
      <c r="B4" s="27" t="s">
        <v>50</v>
      </c>
      <c r="C4" s="47">
        <v>196668.20571428572</v>
      </c>
      <c r="D4" s="47">
        <v>8303.7686857142853</v>
      </c>
    </row>
    <row r="5" spans="1:5" ht="26.45" customHeight="1" x14ac:dyDescent="0.25">
      <c r="A5" s="58" t="s">
        <v>55</v>
      </c>
      <c r="B5" s="27" t="s">
        <v>45</v>
      </c>
      <c r="C5" s="47">
        <v>8400</v>
      </c>
      <c r="D5" s="47">
        <v>1440</v>
      </c>
    </row>
    <row r="6" spans="1:5" ht="44.25" customHeight="1" x14ac:dyDescent="0.25">
      <c r="A6" s="58" t="s">
        <v>55</v>
      </c>
      <c r="B6" s="27" t="s">
        <v>43</v>
      </c>
      <c r="C6" s="47">
        <v>1100</v>
      </c>
      <c r="D6" s="47">
        <v>1100</v>
      </c>
    </row>
    <row r="7" spans="1:5" ht="28.7" customHeight="1" x14ac:dyDescent="0.25">
      <c r="A7" s="58" t="s">
        <v>55</v>
      </c>
      <c r="B7" s="27" t="s">
        <v>39</v>
      </c>
      <c r="C7" s="47">
        <v>5000</v>
      </c>
      <c r="D7" s="47">
        <v>3333.3333333333335</v>
      </c>
      <c r="E7" s="24"/>
    </row>
    <row r="8" spans="1:5" ht="20.25" customHeight="1" x14ac:dyDescent="0.25">
      <c r="A8" s="59" t="s">
        <v>38</v>
      </c>
      <c r="B8" s="27" t="s">
        <v>36</v>
      </c>
      <c r="C8" s="47">
        <v>90</v>
      </c>
      <c r="D8" s="47">
        <v>30</v>
      </c>
    </row>
    <row r="9" spans="1:5" ht="20.25" customHeight="1" x14ac:dyDescent="0.25">
      <c r="A9" s="59" t="s">
        <v>38</v>
      </c>
      <c r="B9" s="27" t="s">
        <v>25</v>
      </c>
      <c r="C9" s="47">
        <v>900</v>
      </c>
      <c r="D9" s="47">
        <v>90</v>
      </c>
    </row>
    <row r="10" spans="1:5" ht="20.25" customHeight="1" x14ac:dyDescent="0.25">
      <c r="A10" s="59" t="s">
        <v>38</v>
      </c>
      <c r="B10" s="27" t="s">
        <v>24</v>
      </c>
      <c r="C10" s="47">
        <v>90</v>
      </c>
      <c r="D10" s="47">
        <v>60</v>
      </c>
    </row>
    <row r="11" spans="1:5" ht="20.25" customHeight="1" x14ac:dyDescent="0.25">
      <c r="A11" s="59" t="s">
        <v>38</v>
      </c>
      <c r="B11" s="62" t="s">
        <v>22</v>
      </c>
      <c r="C11" s="47"/>
      <c r="D11" s="47"/>
    </row>
    <row r="12" spans="1:5" ht="20.25" customHeight="1" x14ac:dyDescent="0.25">
      <c r="A12" s="59" t="s">
        <v>38</v>
      </c>
      <c r="B12" s="62" t="s">
        <v>21</v>
      </c>
      <c r="C12" s="34"/>
      <c r="D12" s="25"/>
    </row>
    <row r="13" spans="1:5" ht="42" customHeight="1" x14ac:dyDescent="0.25">
      <c r="A13" s="59" t="s">
        <v>20</v>
      </c>
      <c r="B13" s="62" t="s">
        <v>17</v>
      </c>
      <c r="C13" s="26"/>
      <c r="D13" s="25"/>
      <c r="E13" s="24"/>
    </row>
    <row r="14" spans="1:5" s="13" customFormat="1" ht="29.25" customHeight="1" x14ac:dyDescent="0.25">
      <c r="A14" s="15" t="s">
        <v>15</v>
      </c>
      <c r="B14" s="14"/>
      <c r="C14" s="47">
        <v>228748.20571428572</v>
      </c>
      <c r="D14" s="47">
        <v>6190.9353681984348</v>
      </c>
    </row>
    <row r="15" spans="1:5" x14ac:dyDescent="0.25">
      <c r="A15" s="10"/>
      <c r="C15" s="3"/>
    </row>
    <row r="16" spans="1:5" x14ac:dyDescent="0.25">
      <c r="A16" s="10"/>
      <c r="B16" s="5"/>
      <c r="C16" s="3"/>
    </row>
    <row r="17" spans="1:3" x14ac:dyDescent="0.25">
      <c r="A17" s="10"/>
      <c r="B17" s="5"/>
      <c r="C17" s="3"/>
    </row>
    <row r="18" spans="1:3" x14ac:dyDescent="0.25">
      <c r="A18" s="10"/>
      <c r="B18" s="5"/>
      <c r="C18" s="5"/>
    </row>
    <row r="19" spans="1:3" x14ac:dyDescent="0.25">
      <c r="A19" s="169"/>
      <c r="B19" s="5"/>
      <c r="C19" s="3"/>
    </row>
    <row r="20" spans="1:3" x14ac:dyDescent="0.25">
      <c r="A20" s="169"/>
      <c r="B20" s="5"/>
      <c r="C20" s="3"/>
    </row>
    <row r="21" spans="1:3" x14ac:dyDescent="0.25">
      <c r="A21" s="169"/>
      <c r="B21" s="5"/>
      <c r="C21" s="3"/>
    </row>
    <row r="22" spans="1:3" x14ac:dyDescent="0.25">
      <c r="A22" s="169"/>
      <c r="B22" s="5"/>
      <c r="C22" s="5"/>
    </row>
    <row r="23" spans="1:3" x14ac:dyDescent="0.25">
      <c r="A23" s="169"/>
      <c r="B23" s="5"/>
      <c r="C23" s="5"/>
    </row>
    <row r="24" spans="1:3" x14ac:dyDescent="0.25">
      <c r="A24" s="169"/>
      <c r="B24" s="5"/>
      <c r="C24" s="3"/>
    </row>
    <row r="25" spans="1:3" x14ac:dyDescent="0.25">
      <c r="A25" s="7"/>
      <c r="B25" s="5"/>
      <c r="C25" s="3"/>
    </row>
    <row r="26" spans="1:3" x14ac:dyDescent="0.25">
      <c r="A26" s="3"/>
      <c r="B26" s="5"/>
      <c r="C26" s="3"/>
    </row>
    <row r="27" spans="1:3" x14ac:dyDescent="0.25">
      <c r="A27" s="5"/>
      <c r="C27" s="5"/>
    </row>
    <row r="28" spans="1:3" x14ac:dyDescent="0.25">
      <c r="A28" s="3"/>
      <c r="B28" s="5"/>
      <c r="C28" s="3"/>
    </row>
    <row r="29" spans="1:3" x14ac:dyDescent="0.25">
      <c r="A29" s="3"/>
      <c r="B29" s="5"/>
      <c r="C29" s="3"/>
    </row>
    <row r="30" spans="1:3" x14ac:dyDescent="0.25">
      <c r="A30" s="3"/>
      <c r="B30" s="5"/>
      <c r="C30" s="3"/>
    </row>
    <row r="31" spans="1:3" x14ac:dyDescent="0.25">
      <c r="A31" s="5"/>
      <c r="C31" s="5"/>
    </row>
    <row r="32" spans="1:3" x14ac:dyDescent="0.25">
      <c r="A32" s="3"/>
      <c r="B32" s="5"/>
      <c r="C32" s="3"/>
    </row>
    <row r="33" spans="1:3" x14ac:dyDescent="0.25">
      <c r="A33" s="3"/>
      <c r="B33" s="5"/>
      <c r="C33" s="3"/>
    </row>
    <row r="34" spans="1:3" x14ac:dyDescent="0.25">
      <c r="A34" s="3"/>
      <c r="B34" s="5"/>
      <c r="C34" s="3"/>
    </row>
  </sheetData>
  <sheetProtection formatCells="0" formatColumns="0" formatRows="0"/>
  <mergeCells count="1">
    <mergeCell ref="A19:A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3E87-D838-45E4-B7F2-CEE037AC9F39}">
  <sheetPr>
    <tabColor rgb="FF92D050"/>
  </sheetPr>
  <dimension ref="B1:P149"/>
  <sheetViews>
    <sheetView topLeftCell="A111" zoomScale="85" zoomScaleNormal="55" workbookViewId="0">
      <selection activeCell="E128" sqref="E128"/>
    </sheetView>
  </sheetViews>
  <sheetFormatPr defaultColWidth="9.140625" defaultRowHeight="13.5" outlineLevelRow="1" x14ac:dyDescent="0.25"/>
  <cols>
    <col min="1" max="1" width="6" style="1" customWidth="1"/>
    <col min="2" max="2" width="6.140625" style="87" customWidth="1"/>
    <col min="3" max="3" width="23.42578125" style="1" customWidth="1"/>
    <col min="4" max="4" width="33.85546875" style="1" customWidth="1"/>
    <col min="5" max="5" width="26.7109375" style="1" customWidth="1"/>
    <col min="6" max="6" width="13" style="2" customWidth="1"/>
    <col min="7" max="7" width="15.85546875" style="1" customWidth="1"/>
    <col min="8" max="9" width="22.42578125" style="1" customWidth="1"/>
    <col min="10" max="10" width="22.140625" style="1" customWidth="1"/>
    <col min="11" max="11" width="26.42578125" style="1" customWidth="1"/>
    <col min="12" max="12" width="25.140625" style="1" customWidth="1"/>
    <col min="13" max="13" width="24" style="1" customWidth="1"/>
    <col min="14" max="14" width="26" style="1" customWidth="1"/>
    <col min="15" max="15" width="16.42578125" style="1" customWidth="1"/>
    <col min="16" max="16384" width="9.140625" style="1"/>
  </cols>
  <sheetData>
    <row r="1" spans="2:16" ht="14.25" thickBot="1" x14ac:dyDescent="0.3"/>
    <row r="2" spans="2:16" ht="14.25" thickBot="1" x14ac:dyDescent="0.3">
      <c r="B2" s="142"/>
      <c r="C2" s="162" t="s">
        <v>134</v>
      </c>
      <c r="D2" s="161" t="s">
        <v>63</v>
      </c>
      <c r="E2" s="160"/>
      <c r="F2" s="1"/>
      <c r="H2" s="143"/>
      <c r="I2" s="143"/>
      <c r="J2" s="143"/>
      <c r="K2" s="143"/>
      <c r="L2" s="143"/>
      <c r="M2" s="143"/>
      <c r="N2" s="143"/>
    </row>
    <row r="3" spans="2:16" ht="27.75" thickBot="1" x14ac:dyDescent="0.3">
      <c r="B3" s="142"/>
      <c r="C3" s="156" t="s">
        <v>67</v>
      </c>
      <c r="D3" s="159" t="s">
        <v>133</v>
      </c>
      <c r="E3" s="158">
        <v>11062.57</v>
      </c>
      <c r="F3" s="1"/>
      <c r="H3" s="143"/>
      <c r="I3" s="143"/>
      <c r="J3" s="143"/>
      <c r="K3" s="143"/>
      <c r="L3" s="143"/>
      <c r="M3" s="143"/>
      <c r="N3" s="157"/>
    </row>
    <row r="4" spans="2:16" x14ac:dyDescent="0.25">
      <c r="B4" s="87">
        <v>1</v>
      </c>
      <c r="C4" s="156" t="s">
        <v>132</v>
      </c>
      <c r="D4" s="155" t="s">
        <v>131</v>
      </c>
      <c r="E4" s="154" t="s">
        <v>130</v>
      </c>
      <c r="F4" s="1"/>
      <c r="H4" s="4"/>
      <c r="I4" s="4"/>
      <c r="J4" s="3"/>
      <c r="K4" s="3"/>
      <c r="L4" s="3"/>
      <c r="M4" s="3"/>
      <c r="N4" s="3"/>
    </row>
    <row r="5" spans="2:16" x14ac:dyDescent="0.25">
      <c r="C5" s="153" t="s">
        <v>129</v>
      </c>
      <c r="D5" s="152" t="s">
        <v>128</v>
      </c>
      <c r="E5" s="147" t="s">
        <v>127</v>
      </c>
      <c r="F5" s="1"/>
      <c r="H5" s="4"/>
      <c r="I5" s="4"/>
      <c r="J5" s="3"/>
      <c r="K5" s="3"/>
      <c r="L5" s="3"/>
      <c r="M5" s="3"/>
      <c r="N5" s="3"/>
    </row>
    <row r="6" spans="2:16" ht="15.75" thickBot="1" x14ac:dyDescent="0.3">
      <c r="C6" s="151"/>
      <c r="D6" s="150" t="s">
        <v>66</v>
      </c>
      <c r="E6" s="149">
        <v>28</v>
      </c>
      <c r="F6" s="1"/>
      <c r="H6" s="4"/>
      <c r="I6" s="4"/>
      <c r="J6" s="3"/>
      <c r="K6" s="3"/>
      <c r="L6" s="3"/>
      <c r="M6" s="3"/>
      <c r="N6" s="3"/>
    </row>
    <row r="7" spans="2:16" ht="28.7" customHeight="1" thickBot="1" x14ac:dyDescent="0.3">
      <c r="B7" s="87">
        <v>2</v>
      </c>
      <c r="C7" s="148" t="s">
        <v>65</v>
      </c>
      <c r="D7" s="24" t="s">
        <v>126</v>
      </c>
      <c r="E7" s="147">
        <v>120</v>
      </c>
      <c r="F7" s="143"/>
      <c r="G7" s="143"/>
      <c r="H7" s="4"/>
      <c r="I7" s="4"/>
      <c r="J7" s="3"/>
      <c r="K7" s="3"/>
      <c r="L7" s="3"/>
      <c r="M7" s="3"/>
      <c r="N7" s="3"/>
    </row>
    <row r="8" spans="2:16" ht="16.7" customHeight="1" x14ac:dyDescent="0.25">
      <c r="B8" s="87">
        <v>3</v>
      </c>
      <c r="C8" s="146" t="s">
        <v>125</v>
      </c>
      <c r="D8" s="145" t="s">
        <v>124</v>
      </c>
      <c r="E8" s="144">
        <v>90</v>
      </c>
      <c r="F8" s="143"/>
      <c r="G8" s="143"/>
      <c r="H8" s="4"/>
      <c r="I8" s="4"/>
      <c r="J8" s="3"/>
      <c r="K8" s="3"/>
      <c r="L8" s="3"/>
      <c r="M8" s="3"/>
      <c r="N8" s="3"/>
    </row>
    <row r="9" spans="2:16" ht="57.75" customHeight="1" x14ac:dyDescent="0.25">
      <c r="B9" s="142" t="s">
        <v>123</v>
      </c>
      <c r="C9" s="27" t="s">
        <v>64</v>
      </c>
      <c r="D9" s="27" t="s">
        <v>63</v>
      </c>
      <c r="E9" s="27" t="s">
        <v>62</v>
      </c>
      <c r="F9" s="114" t="s">
        <v>61</v>
      </c>
      <c r="G9" s="114" t="s">
        <v>60</v>
      </c>
      <c r="H9" s="114" t="s">
        <v>59</v>
      </c>
      <c r="I9" s="114" t="s">
        <v>58</v>
      </c>
      <c r="J9" s="57" t="s">
        <v>57</v>
      </c>
      <c r="K9" s="191" t="s">
        <v>122</v>
      </c>
      <c r="L9" s="191"/>
      <c r="M9" s="191" t="s">
        <v>121</v>
      </c>
      <c r="N9" s="191"/>
      <c r="O9" s="114" t="s">
        <v>56</v>
      </c>
    </row>
    <row r="10" spans="2:16" ht="26.45" customHeight="1" x14ac:dyDescent="0.25">
      <c r="B10" s="142">
        <v>4</v>
      </c>
      <c r="C10" s="192" t="s">
        <v>55</v>
      </c>
      <c r="D10" s="27" t="s">
        <v>118</v>
      </c>
      <c r="E10" s="27"/>
      <c r="F10" s="27"/>
      <c r="G10" s="114"/>
      <c r="H10" s="122"/>
      <c r="I10" s="114"/>
      <c r="J10" s="47">
        <f ca="1">SUM(J11:J12)</f>
        <v>0</v>
      </c>
      <c r="K10" s="114" t="s">
        <v>120</v>
      </c>
      <c r="L10" s="114" t="s">
        <v>119</v>
      </c>
      <c r="M10" s="114" t="s">
        <v>42</v>
      </c>
      <c r="N10" s="120" t="s">
        <v>48</v>
      </c>
      <c r="O10" s="25">
        <f ca="1">IFERROR(IF(J10&gt;0,J10/VLOOKUP(D10,'[2]Коэфы качество контакта'!$A$2:$G$22,7,FALSE),(1-(1-(O11/$E$3*0.5))*(1-(O12/$E$3*0.5)))*$E$3),0)</f>
        <v>0</v>
      </c>
    </row>
    <row r="11" spans="2:16" ht="20.25" customHeight="1" outlineLevel="1" x14ac:dyDescent="0.25">
      <c r="C11" s="192"/>
      <c r="D11" s="37" t="s">
        <v>118</v>
      </c>
      <c r="E11" s="53" t="s">
        <v>97</v>
      </c>
      <c r="F11" s="56"/>
      <c r="G11" s="52"/>
      <c r="H11" s="19"/>
      <c r="I11" s="18"/>
      <c r="J11" s="20" t="str" cm="1">
        <f t="array" aca="1" ref="J11" ca="1">IFERROR(IF(H11&gt;0,H11*G11,IF(K11&gt;0,SUM(OTSТВМосква)*G11*F11*(K11/200),IF(I11&gt;0,G11*I11*SUMPRODUCT(('[2]Коэфы качество контакта'!$A$2:$A$50=D11)*'[2]Коэфы качество контакта'!$G$2:$G$50),""))),"")</f>
        <v/>
      </c>
      <c r="K11" s="126">
        <f ca="1">IFERROR(SUM(МинутыТВМосква),0)</f>
        <v>0</v>
      </c>
      <c r="L11" s="49" t="s">
        <v>117</v>
      </c>
      <c r="M11" s="18"/>
      <c r="N11" s="17">
        <f>M11*VLOOKUP(D11,'[2]Коэфы качество контакта'!$A$2:$E$22,3,FALSE)*VLOOKUP(D11,'[2]Коэфы качество контакта'!$A$2:$E$22,5,FALSE)</f>
        <v>0</v>
      </c>
      <c r="O11" s="16" t="str">
        <f ca="1">IFERROR(IF(I11&gt;0,I11*G11,J11/VLOOKUP(D11,'[2]Коэфы качество контакта'!$A$2:$G$22,7,FALSE)),"")</f>
        <v/>
      </c>
      <c r="P11" s="141" t="str">
        <f>_xlfn.CONCAT($E$4,E11)</f>
        <v>МоскваСпонсорство</v>
      </c>
    </row>
    <row r="12" spans="2:16" ht="20.25" customHeight="1" outlineLevel="1" x14ac:dyDescent="0.25">
      <c r="C12" s="192"/>
      <c r="D12" s="37" t="s">
        <v>118</v>
      </c>
      <c r="E12" s="53" t="s">
        <v>49</v>
      </c>
      <c r="F12" s="56"/>
      <c r="G12" s="52"/>
      <c r="H12" s="19"/>
      <c r="I12" s="18"/>
      <c r="J12" s="20" t="str" cm="1">
        <f t="array" aca="1" ref="J12" ca="1">IFERROR(IF(H12&gt;0,H12*G12,IF(K12&gt;0,SUM(OTSТВМосква)*G12*F12*(K12/200),IF(I12&gt;0,G12*I12*SUMPRODUCT(('[2]Коэфы качество контакта'!$A$2:$A$50=D12)*'[2]Коэфы качество контакта'!$G$2:$G$50),""))),"")</f>
        <v/>
      </c>
      <c r="K12" s="126">
        <f ca="1">IFERROR(SUM(МинутыТВМосква),0)</f>
        <v>0</v>
      </c>
      <c r="L12" s="49" t="s">
        <v>117</v>
      </c>
      <c r="M12" s="18"/>
      <c r="N12" s="17">
        <f>M12*VLOOKUP(D12,'[2]Коэфы качество контакта'!$A$2:$E$22,3,FALSE)*VLOOKUP(D12,'[2]Коэфы качество контакта'!$A$2:$E$22,5,FALSE)</f>
        <v>0</v>
      </c>
      <c r="O12" s="16" t="str">
        <f ca="1">IFERROR(IF(I12&gt;0,I12*G12,J12/VLOOKUP(D12,'[2]Коэфы качество контакта'!$A$2:$G$22,7,FALSE)),"")</f>
        <v/>
      </c>
      <c r="P12" s="141" t="str">
        <f>_xlfn.CONCAT($E$4,E12)</f>
        <v>МоскваПрямая Реклама</v>
      </c>
    </row>
    <row r="13" spans="2:16" ht="24.75" customHeight="1" x14ac:dyDescent="0.25">
      <c r="C13" s="192"/>
      <c r="D13" s="27" t="s">
        <v>53</v>
      </c>
      <c r="E13" s="27"/>
      <c r="F13" s="140"/>
      <c r="G13" s="114"/>
      <c r="H13" s="122"/>
      <c r="I13" s="114"/>
      <c r="J13" s="47">
        <f>SUM(J14:J21)</f>
        <v>15000</v>
      </c>
      <c r="K13" s="114" t="s">
        <v>116</v>
      </c>
      <c r="L13" s="114"/>
      <c r="M13" s="114" t="s">
        <v>42</v>
      </c>
      <c r="N13" s="120" t="s">
        <v>48</v>
      </c>
      <c r="O13" s="25">
        <f>IFERROR(IF(J13&gt;0,J13/VLOOKUP(D13,'[2]Коэфы качество контакта'!$A$2:$G$22,7,FALSE),(1-(1-(O14/$E$3*0.5))*(1-(O15/$E$3*0.5))*(1-(O16/$E$3*0.5))*(1-(O17/$E$3*0.5))*(1-(O18/$E$3*0.5))*(1-(O19/$E$3*0.5))*(1-(O20/$E$3*0.5))*(1-(O21/$E$3*0.5)))*$E$3),)</f>
        <v>1000</v>
      </c>
    </row>
    <row r="14" spans="2:16" ht="20.25" customHeight="1" outlineLevel="1" x14ac:dyDescent="0.25">
      <c r="C14" s="192"/>
      <c r="D14" s="37" t="s">
        <v>53</v>
      </c>
      <c r="E14" s="36" t="s">
        <v>54</v>
      </c>
      <c r="F14" s="56">
        <v>120</v>
      </c>
      <c r="G14" s="41">
        <v>0.3</v>
      </c>
      <c r="H14" s="19">
        <v>50000</v>
      </c>
      <c r="I14" s="18"/>
      <c r="J14" s="20" cm="1">
        <f t="array" ref="J14">IF(H14&gt;0,H14*G14,IF(K14&gt;0,SUMPRODUCT(([2]OOH!$A$2:$A$1000=Москва!$E$4)*([2]OOH!$B$2:$B$1000=Москва!$E14)*[2]OOH!$C$2:$C$1000)*F14*K14*G14,IF(I14&gt;0,G14*I14*SUMPRODUCT(('[2]Коэфы качество контакта'!$A$2:$A$50=D14)*'[2]Коэфы качество контакта'!$G$2:$G$50),"")))</f>
        <v>15000</v>
      </c>
      <c r="K14" s="51"/>
      <c r="L14" s="50"/>
      <c r="M14" s="18"/>
      <c r="N14" s="17">
        <f>M14*VLOOKUP(D14,'[2]Коэфы качество контакта'!$A$2:$E$22,3,FALSE)*VLOOKUP(D14,'[2]Коэфы качество контакта'!$A$2:$E$22,5,FALSE)</f>
        <v>0</v>
      </c>
      <c r="O14" s="16">
        <f>IFERROR(IF(I14&gt;0,I14*G14,J14/VLOOKUP(D14,'[2]Коэфы качество контакта'!$A$2:$G$22,7,FALSE)),"")</f>
        <v>1000</v>
      </c>
    </row>
    <row r="15" spans="2:16" ht="20.25" customHeight="1" outlineLevel="1" x14ac:dyDescent="0.25">
      <c r="C15" s="192"/>
      <c r="D15" s="37" t="s">
        <v>53</v>
      </c>
      <c r="E15" s="36" t="s">
        <v>115</v>
      </c>
      <c r="F15" s="56"/>
      <c r="G15" s="41"/>
      <c r="H15" s="19"/>
      <c r="I15" s="18"/>
      <c r="J15" s="20" t="str" cm="1">
        <f t="array" ref="J15">IF(H15&gt;0,H15*G15,IF(K15&gt;0,SUMPRODUCT(([2]OOH!$A$2:$A$1000=Москва!$E$4)*([2]OOH!$B$2:$B$1000=Москва!$E15)*[2]OOH!$C$2:$C$1000)*F15*K15*G15,IF(I15&gt;0,G15*I15*SUMPRODUCT(('[2]Коэфы качество контакта'!$A$2:$A$50=D15)*'[2]Коэфы качество контакта'!$G$2:$G$50),"")))</f>
        <v/>
      </c>
      <c r="K15" s="51"/>
      <c r="L15" s="50"/>
      <c r="M15" s="18"/>
      <c r="N15" s="17">
        <f>M15*VLOOKUP(D15,'[2]Коэфы качество контакта'!$A$2:$E$22,3,FALSE)*VLOOKUP(D15,'[2]Коэфы качество контакта'!$A$2:$E$22,5,FALSE)</f>
        <v>0</v>
      </c>
      <c r="O15" s="16" t="str">
        <f>IFERROR(IF(I15&gt;0,I15*G15,J15/VLOOKUP(D15,'[2]Коэфы качество контакта'!$A$2:$G$22,7,FALSE)),"")</f>
        <v/>
      </c>
    </row>
    <row r="16" spans="2:16" ht="20.25" customHeight="1" outlineLevel="1" x14ac:dyDescent="0.25">
      <c r="C16" s="192"/>
      <c r="D16" s="37" t="s">
        <v>53</v>
      </c>
      <c r="E16" s="36" t="s">
        <v>114</v>
      </c>
      <c r="F16" s="56"/>
      <c r="G16" s="41"/>
      <c r="H16" s="19"/>
      <c r="I16" s="18"/>
      <c r="J16" s="20" t="str" cm="1">
        <f t="array" ref="J16">IF(H16&gt;0,H16*G16,IF(K16&gt;0,SUMPRODUCT(([2]OOH!$A$2:$A$1000=Москва!$E$4)*([2]OOH!$B$2:$B$1000=Москва!$E16)*[2]OOH!$C$2:$C$1000)*F16*K16*G16,IF(I16&gt;0,G16*I16*SUMPRODUCT(('[2]Коэфы качество контакта'!$A$2:$A$50=D16)*'[2]Коэфы качество контакта'!$G$2:$G$50),"")))</f>
        <v/>
      </c>
      <c r="K16" s="51"/>
      <c r="L16" s="50"/>
      <c r="M16" s="18"/>
      <c r="N16" s="17">
        <f>M16*VLOOKUP(D16,'[2]Коэфы качество контакта'!$A$2:$E$22,3,FALSE)*VLOOKUP(D16,'[2]Коэфы качество контакта'!$A$2:$E$22,5,FALSE)</f>
        <v>0</v>
      </c>
      <c r="O16" s="16" t="str">
        <f>IFERROR(IF(I16&gt;0,I16*G16,J16/VLOOKUP(D16,'[2]Коэфы качество контакта'!$A$2:$G$22,7,FALSE)),"")</f>
        <v/>
      </c>
    </row>
    <row r="17" spans="3:15" ht="20.25" customHeight="1" outlineLevel="1" x14ac:dyDescent="0.25">
      <c r="C17" s="192"/>
      <c r="D17" s="37" t="s">
        <v>53</v>
      </c>
      <c r="E17" s="36" t="s">
        <v>113</v>
      </c>
      <c r="F17" s="56"/>
      <c r="G17" s="41"/>
      <c r="H17" s="19"/>
      <c r="I17" s="18"/>
      <c r="J17" s="20" t="str" cm="1">
        <f t="array" ref="J17">IF(H17&gt;0,H17*G17,IF(K17&gt;0,SUMPRODUCT(([2]OOH!$A$2:$A$1000=Москва!$E$4)*([2]OOH!$B$2:$B$1000=Москва!$E17)*[2]OOH!$C$2:$C$1000)*F17*K17*G17,IF(I17&gt;0,G17*I17*SUMPRODUCT(('[2]Коэфы качество контакта'!$A$2:$A$50=D17)*'[2]Коэфы качество контакта'!$G$2:$G$50),"")))</f>
        <v/>
      </c>
      <c r="K17" s="51"/>
      <c r="L17" s="50"/>
      <c r="M17" s="18"/>
      <c r="N17" s="17">
        <f>M17*VLOOKUP(D17,'[2]Коэфы качество контакта'!$A$2:$E$22,3,FALSE)*VLOOKUP(D17,'[2]Коэфы качество контакта'!$A$2:$E$22,5,FALSE)</f>
        <v>0</v>
      </c>
      <c r="O17" s="16" t="str">
        <f>IFERROR(IF(I17&gt;0,I17*G17,J17/VLOOKUP(D17,'[2]Коэфы качество контакта'!$A$2:$G$22,7,FALSE)),"")</f>
        <v/>
      </c>
    </row>
    <row r="18" spans="3:15" ht="20.25" customHeight="1" outlineLevel="1" x14ac:dyDescent="0.25">
      <c r="C18" s="192"/>
      <c r="D18" s="139" t="s">
        <v>53</v>
      </c>
      <c r="E18" s="36" t="s">
        <v>112</v>
      </c>
      <c r="F18" s="56"/>
      <c r="G18" s="41"/>
      <c r="H18" s="138"/>
      <c r="I18" s="137"/>
      <c r="J18" s="20" t="str" cm="1">
        <f t="array" ref="J18">IF(H18&gt;0,H18*G18,IF(K18&gt;0,SUMPRODUCT(([2]OOH!$A$2:$A$1000=Москва!$E$4)*([2]OOH!$B$2:$B$1000=Москва!$E18)*[2]OOH!$C$2:$C$1000)*F18*K18*G18,IF(I18&gt;0,G18*I18*SUMPRODUCT(('[2]Коэфы качество контакта'!$A$2:$A$50=D18)*'[2]Коэфы качество контакта'!$G$2:$G$50),"")))</f>
        <v/>
      </c>
      <c r="K18" s="51"/>
      <c r="L18" s="50"/>
      <c r="M18" s="18"/>
      <c r="N18" s="17">
        <f>M18*VLOOKUP(D18,'[2]Коэфы качество контакта'!$A$2:$E$22,3,FALSE)*VLOOKUP(D18,'[2]Коэфы качество контакта'!$A$2:$E$22,5,FALSE)</f>
        <v>0</v>
      </c>
      <c r="O18" s="16" t="str">
        <f>IFERROR(IF(I18&gt;0,I18*G18,J18/VLOOKUP(D18,'[2]Коэфы качество контакта'!$A$2:$G$22,7,FALSE)),"")</f>
        <v/>
      </c>
    </row>
    <row r="19" spans="3:15" ht="20.25" customHeight="1" outlineLevel="1" x14ac:dyDescent="0.25">
      <c r="C19" s="192"/>
      <c r="D19" s="37" t="s">
        <v>53</v>
      </c>
      <c r="E19" s="36"/>
      <c r="F19" s="32"/>
      <c r="G19" s="52"/>
      <c r="H19" s="19"/>
      <c r="I19" s="18"/>
      <c r="J19" s="20" t="str" cm="1">
        <f t="array" ref="J19">IF(H19&gt;0,H19*G19,IF(K19&gt;0,SUMPRODUCT(([2]OOH!$A$2:$A$1000=Москва!$E$4)*([2]OOH!$B$2:$B$1000=Москва!$E19)*[2]OOH!$C$2:$C$1000)*F19*K19*G19,IF(I19&gt;0,G19*I19*SUMPRODUCT(('[2]Коэфы качество контакта'!$A$2:$A$50=D19)*'[2]Коэфы качество контакта'!$G$2:$G$50),"")))</f>
        <v/>
      </c>
      <c r="K19" s="51"/>
      <c r="L19" s="50"/>
      <c r="M19" s="18"/>
      <c r="N19" s="17">
        <f>M19*VLOOKUP(D19,'[2]Коэфы качество контакта'!$A$2:$E$22,3,FALSE)*VLOOKUP(D19,'[2]Коэфы качество контакта'!$A$2:$E$22,5,FALSE)</f>
        <v>0</v>
      </c>
      <c r="O19" s="16" t="str">
        <f>IFERROR(IF(I19&gt;0,I19*G19,J19/VLOOKUP(D19,'[2]Коэфы качество контакта'!$A$2:$G$22,7,FALSE)),"")</f>
        <v/>
      </c>
    </row>
    <row r="20" spans="3:15" ht="20.25" customHeight="1" outlineLevel="1" x14ac:dyDescent="0.25">
      <c r="C20" s="192"/>
      <c r="D20" s="37" t="s">
        <v>53</v>
      </c>
      <c r="E20" s="36"/>
      <c r="F20" s="32"/>
      <c r="G20" s="52"/>
      <c r="H20" s="19"/>
      <c r="I20" s="18"/>
      <c r="J20" s="20" t="str" cm="1">
        <f t="array" ref="J20">IF(H20&gt;0,H20*G20,IF(K20&gt;0,SUMPRODUCT(([2]OOH!$A$2:$A$1000=Москва!$E$4)*([2]OOH!$B$2:$B$1000=Москва!$E20)*[2]OOH!$C$2:$C$1000)*F20*K20*G20,IF(I20&gt;0,G20*I20*SUMPRODUCT(('[2]Коэфы качество контакта'!$A$2:$A$50=D20)*'[2]Коэфы качество контакта'!$G$2:$G$50),"")))</f>
        <v/>
      </c>
      <c r="K20" s="51"/>
      <c r="L20" s="50"/>
      <c r="M20" s="18"/>
      <c r="N20" s="17">
        <f>M20*VLOOKUP(D20,'[2]Коэфы качество контакта'!$A$2:$E$22,3,FALSE)*VLOOKUP(D20,'[2]Коэфы качество контакта'!$A$2:$E$22,5,FALSE)</f>
        <v>0</v>
      </c>
      <c r="O20" s="16" t="str">
        <f>IFERROR(IF(I20&gt;0,I20*G20,J20/VLOOKUP(D20,'[2]Коэфы качество контакта'!$A$2:$G$22,7,FALSE)),"")</f>
        <v/>
      </c>
    </row>
    <row r="21" spans="3:15" ht="20.25" customHeight="1" outlineLevel="1" x14ac:dyDescent="0.25">
      <c r="C21" s="192"/>
      <c r="D21" s="37" t="s">
        <v>53</v>
      </c>
      <c r="E21" s="36"/>
      <c r="F21" s="32"/>
      <c r="G21" s="52"/>
      <c r="H21" s="19"/>
      <c r="I21" s="18"/>
      <c r="J21" s="20" t="str" cm="1">
        <f t="array" ref="J21">IF(H21&gt;0,H21*G21,IF(K21&gt;0,SUMPRODUCT(([2]OOH!$A$2:$A$1000=Москва!$E$4)*([2]OOH!$B$2:$B$1000=Москва!$E21)*[2]OOH!$C$2:$C$1000)*F21*K21*G21,IF(I21&gt;0,G21*I21*SUMPRODUCT(('[2]Коэфы качество контакта'!$A$2:$A$50=D21)*'[2]Коэфы качество контакта'!$G$2:$G$50),"")))</f>
        <v/>
      </c>
      <c r="K21" s="51"/>
      <c r="L21" s="50" t="s">
        <v>111</v>
      </c>
      <c r="M21" s="18"/>
      <c r="N21" s="17">
        <f>M21*VLOOKUP(D21,'[2]Коэфы качество контакта'!$A$2:$E$22,3,FALSE)*VLOOKUP(D21,'[2]Коэфы качество контакта'!$A$2:$E$22,5,FALSE)</f>
        <v>0</v>
      </c>
      <c r="O21" s="16" t="str">
        <f>IFERROR(IF(I21&gt;0,I21*G21,J21/VLOOKUP(D21,'[2]Коэфы качество контакта'!$A$2:$G$22,7,FALSE)),"")</f>
        <v/>
      </c>
    </row>
    <row r="22" spans="3:15" ht="24.75" customHeight="1" x14ac:dyDescent="0.25">
      <c r="C22" s="192"/>
      <c r="D22" s="55" t="s">
        <v>51</v>
      </c>
      <c r="E22" s="136"/>
      <c r="F22" s="135"/>
      <c r="G22" s="134"/>
      <c r="H22" s="115"/>
      <c r="I22" s="113"/>
      <c r="J22" s="26">
        <f>SUM(J23:J42)</f>
        <v>1500</v>
      </c>
      <c r="K22" s="114"/>
      <c r="L22" s="133"/>
      <c r="M22" s="114" t="s">
        <v>42</v>
      </c>
      <c r="N22" s="120" t="s">
        <v>48</v>
      </c>
      <c r="O22" s="25">
        <f>IF(J22&gt;0,J22/VLOOKUP(D22,'[2]Коэфы качество контакта'!$A$2:$G$22,7,FALSE),(1-(1-(O23/$E$3*0.5))*(1-(O24/$E$3*0.5))*(1-(O25/$E$3*0.5))*(1-(O26/$E$3*0.5))*(1-(O27/$E$3*0.5))*(1-(O28/$E$3*0.5))*(1-(O29/$E$3*0.5))*(1-(O30/$E$3*0.5))*(1-(O31/$E$3*0.5))*(1-(O32/$E$3*0.5))*(1-(O33/$E$3*0.5))*(1-(O34/$E$3*0.5))*(1-(O35/$E$3*0.5))*(1-(O36/$E$3*0.5))*(1-(O37/$E$3*0.5))*(1-(O38/$E$3*0.5))*(1-(O39/$E$3*0.5))*(1-(O40/$E$3*0.5))*(1-(O41/$E$3*0.5))*(1-(O42/$E$3*0.5)))*$E$3)</f>
        <v>300</v>
      </c>
    </row>
    <row r="23" spans="3:15" ht="19.7" customHeight="1" outlineLevel="1" x14ac:dyDescent="0.25">
      <c r="C23" s="192"/>
      <c r="D23" s="54" t="s">
        <v>51</v>
      </c>
      <c r="E23" s="53" t="s">
        <v>52</v>
      </c>
      <c r="F23" s="32">
        <v>120</v>
      </c>
      <c r="G23" s="52">
        <v>0.3</v>
      </c>
      <c r="H23" s="19">
        <v>5000</v>
      </c>
      <c r="I23" s="18"/>
      <c r="J23" s="20" cm="1">
        <f t="array" ref="J23">IF(H23&gt;0,H23*G23,IF(I23&gt;0,G23*I23*SUMPRODUCT(('[2]Коэфы качество контакта'!$A$2:$A$50=D23)*'[2]Коэфы качество контакта'!$G$2:$G$50),SUMPRODUCT(([2]Indoor!$A$2:$A$996=Москва!$E$4)*([2]Indoor!$B$2:$B$996=Москва!$E23)*[2]Indoor!$F$2:$F$996)*F23*G23))</f>
        <v>1500</v>
      </c>
      <c r="K23" s="51"/>
      <c r="L23" s="50"/>
      <c r="M23" s="18"/>
      <c r="N23" s="17">
        <f>M23*VLOOKUP(D23,'[2]Коэфы качество контакта'!$A$2:$E$22,3,FALSE)*VLOOKUP(D23,'[2]Коэфы качество контакта'!$A$2:$E$22,5,FALSE)</f>
        <v>0</v>
      </c>
      <c r="O23" s="16" cm="1">
        <f t="array" ref="O23">IFERROR(IF(I23&gt;0,I23*G23,J23/SUMPRODUCT(([2]Indoor!$A$2:$A$996=Москва!$E$4)*([2]Indoor!$B$2:$B$996=Москва!$E23)*[2]Indoor!$G$2:$G$996)),0)</f>
        <v>300</v>
      </c>
    </row>
    <row r="24" spans="3:15" ht="20.25" customHeight="1" outlineLevel="1" x14ac:dyDescent="0.25">
      <c r="C24" s="192"/>
      <c r="D24" s="54" t="s">
        <v>51</v>
      </c>
      <c r="E24" s="53" t="s">
        <v>110</v>
      </c>
      <c r="F24" s="32"/>
      <c r="G24" s="52"/>
      <c r="H24" s="19"/>
      <c r="I24" s="18"/>
      <c r="J24" s="20" cm="1">
        <f t="array" ref="J24">IF(H24&gt;0,H24*G24,IF(I24&gt;0,G24*I24*SUMPRODUCT(('[2]Коэфы качество контакта'!$A$2:$A$50=D24)*'[2]Коэфы качество контакта'!$G$2:$G$50),SUMPRODUCT(([2]Indoor!$A$2:$A$996=Москва!$E$4)*([2]Indoor!$B$2:$B$996=Москва!$E24)*[2]Indoor!$F$2:$F$996)*F24*G24))</f>
        <v>0</v>
      </c>
      <c r="K24" s="51"/>
      <c r="L24" s="50"/>
      <c r="M24" s="18"/>
      <c r="N24" s="17">
        <f>M24*VLOOKUP(D24,'[2]Коэфы качество контакта'!$A$2:$E$22,3,FALSE)*VLOOKUP(D24,'[2]Коэфы качество контакта'!$A$2:$E$22,5,FALSE)</f>
        <v>0</v>
      </c>
      <c r="O24" s="16" cm="1">
        <f t="array" ref="O24">IFERROR(IF(I24&gt;0,I24*G24,J24/SUMPRODUCT(([2]Indoor!$A$2:$A$996=Москва!$E$4)*([2]Indoor!$B$2:$B$996=Москва!$E24)*[2]Indoor!$G$2:$G$996)),0)</f>
        <v>0</v>
      </c>
    </row>
    <row r="25" spans="3:15" ht="20.25" customHeight="1" outlineLevel="1" x14ac:dyDescent="0.25">
      <c r="C25" s="192"/>
      <c r="D25" s="54" t="s">
        <v>51</v>
      </c>
      <c r="E25" s="53" t="s">
        <v>109</v>
      </c>
      <c r="F25" s="32"/>
      <c r="G25" s="52"/>
      <c r="H25" s="19"/>
      <c r="I25" s="18"/>
      <c r="J25" s="20" cm="1">
        <f t="array" ref="J25">IF(H25&gt;0,H25*G25,IF(I25&gt;0,G25*I25*SUMPRODUCT(('[2]Коэфы качество контакта'!$A$2:$A$50=D25)*'[2]Коэфы качество контакта'!$G$2:$G$50),SUMPRODUCT(([2]Indoor!$A$2:$A$996=Москва!$E$4)*([2]Indoor!$B$2:$B$996=Москва!$E25)*[2]Indoor!$F$2:$F$996)*F25*G25))</f>
        <v>0</v>
      </c>
      <c r="K25" s="51"/>
      <c r="L25" s="50"/>
      <c r="M25" s="18"/>
      <c r="N25" s="17">
        <f>M25*VLOOKUP(D25,'[2]Коэфы качество контакта'!$A$2:$E$22,3,FALSE)*VLOOKUP(D25,'[2]Коэфы качество контакта'!$A$2:$E$22,5,FALSE)</f>
        <v>0</v>
      </c>
      <c r="O25" s="16" cm="1">
        <f t="array" ref="O25">IFERROR(IF(I25&gt;0,I25*G25,J25/SUMPRODUCT(([2]Indoor!$A$2:$A$996=Москва!$E$4)*([2]Indoor!$B$2:$B$996=Москва!$E25)*[2]Indoor!$G$2:$G$996)),0)</f>
        <v>0</v>
      </c>
    </row>
    <row r="26" spans="3:15" ht="20.25" customHeight="1" outlineLevel="1" x14ac:dyDescent="0.25">
      <c r="C26" s="192"/>
      <c r="D26" s="54" t="s">
        <v>51</v>
      </c>
      <c r="E26" s="53" t="s">
        <v>108</v>
      </c>
      <c r="F26" s="32"/>
      <c r="G26" s="52"/>
      <c r="H26" s="19"/>
      <c r="I26" s="18"/>
      <c r="J26" s="20" cm="1">
        <f t="array" ref="J26">IF(H26&gt;0,H26*G26,IF(I26&gt;0,G26*I26*SUMPRODUCT(('[2]Коэфы качество контакта'!$A$2:$A$50=D26)*'[2]Коэфы качество контакта'!$G$2:$G$50),SUMPRODUCT(([2]Indoor!$A$2:$A$996=Москва!$E$4)*([2]Indoor!$B$2:$B$996=Москва!$E26)*[2]Indoor!$F$2:$F$996)*F26*G26))</f>
        <v>0</v>
      </c>
      <c r="K26" s="51"/>
      <c r="L26" s="50"/>
      <c r="M26" s="18"/>
      <c r="N26" s="17">
        <f>M26*VLOOKUP(D26,'[2]Коэфы качество контакта'!$A$2:$E$22,3,FALSE)*VLOOKUP(D26,'[2]Коэфы качество контакта'!$A$2:$E$22,5,FALSE)</f>
        <v>0</v>
      </c>
      <c r="O26" s="16" cm="1">
        <f t="array" ref="O26">IFERROR(IF(I26&gt;0,I26*G26,J26/SUMPRODUCT(([2]Indoor!$A$2:$A$996=Москва!$E$4)*([2]Indoor!$B$2:$B$996=Москва!$E26)*[2]Indoor!$G$2:$G$996)),0)</f>
        <v>0</v>
      </c>
    </row>
    <row r="27" spans="3:15" ht="20.25" customHeight="1" outlineLevel="1" x14ac:dyDescent="0.25">
      <c r="C27" s="192"/>
      <c r="D27" s="54" t="s">
        <v>51</v>
      </c>
      <c r="F27" s="32"/>
      <c r="G27" s="52"/>
      <c r="H27" s="19"/>
      <c r="I27" s="18"/>
      <c r="J27" s="20" cm="1">
        <f t="array" ref="J27">IF(H27&gt;0,H27*G27,IF(I27&gt;0,G27*I27*SUMPRODUCT(('[2]Коэфы качество контакта'!$A$2:$A$50=D27)*'[2]Коэфы качество контакта'!$G$2:$G$50),SUMPRODUCT(([2]Indoor!$A$2:$A$996=Москва!$E$4)*([2]Indoor!$B$2:$B$996=Москва!$E27)*[2]Indoor!$F$2:$F$996)*F27*G27))</f>
        <v>0</v>
      </c>
      <c r="K27" s="51"/>
      <c r="L27" s="50"/>
      <c r="M27" s="18"/>
      <c r="N27" s="17">
        <f>M27*VLOOKUP(D27,'[2]Коэфы качество контакта'!$A$2:$E$22,3,FALSE)*VLOOKUP(D27,'[2]Коэфы качество контакта'!$A$2:$E$22,5,FALSE)</f>
        <v>0</v>
      </c>
      <c r="O27" s="16" cm="1">
        <f t="array" ref="O27">IFERROR(IF(I27&gt;0,I27*G27,J27/SUMPRODUCT(([2]Indoor!$A$2:$A$996=Москва!$E$4)*([2]Indoor!$B$2:$B$996=Москва!$E27)*[2]Indoor!$G$2:$G$996)),0)</f>
        <v>0</v>
      </c>
    </row>
    <row r="28" spans="3:15" ht="19.7" customHeight="1" outlineLevel="1" x14ac:dyDescent="0.25">
      <c r="C28" s="192"/>
      <c r="D28" s="54" t="s">
        <v>51</v>
      </c>
      <c r="E28" s="53"/>
      <c r="F28" s="32"/>
      <c r="G28" s="52"/>
      <c r="H28" s="19"/>
      <c r="I28" s="18"/>
      <c r="J28" s="20" cm="1">
        <f t="array" ref="J28">IF(H28&gt;0,H28*G28,IF(I28&gt;0,G28*I28*SUMPRODUCT(('[2]Коэфы качество контакта'!$A$2:$A$50=D28)*'[2]Коэфы качество контакта'!$G$2:$G$50),SUMPRODUCT(([2]Indoor!$A$2:$A$996=Москва!$E$4)*([2]Indoor!$B$2:$B$996=Москва!$E28)*[2]Indoor!$F$2:$F$996)*F28*G28))</f>
        <v>0</v>
      </c>
      <c r="K28" s="51"/>
      <c r="L28" s="50"/>
      <c r="M28" s="18"/>
      <c r="N28" s="17">
        <f>M28*VLOOKUP(D28,'[2]Коэфы качество контакта'!$A$2:$E$22,3,FALSE)*VLOOKUP(D28,'[2]Коэфы качество контакта'!$A$2:$E$22,5,FALSE)</f>
        <v>0</v>
      </c>
      <c r="O28" s="16" cm="1">
        <f t="array" ref="O28">IFERROR(IF(I28&gt;0,I28*G28,J28/SUMPRODUCT(([2]Indoor!$A$2:$A$996=Москва!$E$4)*([2]Indoor!$B$2:$B$996=Москва!$E28)*[2]Indoor!$G$2:$G$996)),0)</f>
        <v>0</v>
      </c>
    </row>
    <row r="29" spans="3:15" ht="20.25" customHeight="1" outlineLevel="1" x14ac:dyDescent="0.25">
      <c r="C29" s="192"/>
      <c r="D29" s="54" t="s">
        <v>51</v>
      </c>
      <c r="E29" s="53"/>
      <c r="F29" s="32"/>
      <c r="G29" s="52"/>
      <c r="H29" s="19"/>
      <c r="I29" s="18"/>
      <c r="J29" s="20" cm="1">
        <f t="array" ref="J29">IF(H29&gt;0,H29*G29,IF(I29&gt;0,G29*I29*SUMPRODUCT(('[2]Коэфы качество контакта'!$A$2:$A$50=D29)*'[2]Коэфы качество контакта'!$G$2:$G$50),SUMPRODUCT(([2]Indoor!$A$2:$A$996=Москва!$E$4)*([2]Indoor!$B$2:$B$996=Москва!$E29)*[2]Indoor!$F$2:$F$996)*F29*G29))</f>
        <v>0</v>
      </c>
      <c r="K29" s="51"/>
      <c r="L29" s="50"/>
      <c r="M29" s="18"/>
      <c r="N29" s="17">
        <f>M29*VLOOKUP(D29,'[2]Коэфы качество контакта'!$A$2:$E$22,3,FALSE)*VLOOKUP(D29,'[2]Коэфы качество контакта'!$A$2:$E$22,5,FALSE)</f>
        <v>0</v>
      </c>
      <c r="O29" s="16" cm="1">
        <f t="array" ref="O29">IFERROR(IF(I29&gt;0,I29*G29,J29/SUMPRODUCT(([2]Indoor!$A$2:$A$996=Москва!$E$4)*([2]Indoor!$B$2:$B$996=Москва!$E29)*[2]Indoor!$G$2:$G$996)),0)</f>
        <v>0</v>
      </c>
    </row>
    <row r="30" spans="3:15" ht="20.25" customHeight="1" outlineLevel="1" x14ac:dyDescent="0.25">
      <c r="C30" s="192"/>
      <c r="D30" s="54" t="s">
        <v>51</v>
      </c>
      <c r="E30" s="53"/>
      <c r="F30" s="32"/>
      <c r="G30" s="52"/>
      <c r="H30" s="19"/>
      <c r="I30" s="18"/>
      <c r="J30" s="20" cm="1">
        <f t="array" ref="J30">IF(H30&gt;0,H30*G30,IF(I30&gt;0,G30*I30*SUMPRODUCT(('[2]Коэфы качество контакта'!$A$2:$A$50=D30)*'[2]Коэфы качество контакта'!$G$2:$G$50),SUMPRODUCT(([2]Indoor!$A$2:$A$996=Москва!$E$4)*([2]Indoor!$B$2:$B$996=Москва!$E30)*[2]Indoor!$F$2:$F$996)*F30*G30))</f>
        <v>0</v>
      </c>
      <c r="K30" s="51"/>
      <c r="L30" s="50"/>
      <c r="M30" s="18"/>
      <c r="N30" s="17">
        <f>M30*VLOOKUP(D30,'[2]Коэфы качество контакта'!$A$2:$E$22,3,FALSE)*VLOOKUP(D30,'[2]Коэфы качество контакта'!$A$2:$E$22,5,FALSE)</f>
        <v>0</v>
      </c>
      <c r="O30" s="16" cm="1">
        <f t="array" ref="O30">IFERROR(IF(I30&gt;0,I30*G30,J30/SUMPRODUCT(([2]Indoor!$A$2:$A$996=Москва!$E$4)*([2]Indoor!$B$2:$B$996=Москва!$E30)*[2]Indoor!$G$2:$G$996)),0)</f>
        <v>0</v>
      </c>
    </row>
    <row r="31" spans="3:15" ht="20.25" customHeight="1" outlineLevel="1" x14ac:dyDescent="0.25">
      <c r="C31" s="192"/>
      <c r="D31" s="54" t="s">
        <v>51</v>
      </c>
      <c r="E31" s="53"/>
      <c r="F31" s="32"/>
      <c r="G31" s="52"/>
      <c r="H31" s="19"/>
      <c r="I31" s="18"/>
      <c r="J31" s="20" cm="1">
        <f t="array" ref="J31">IF(H31&gt;0,H31*G31,IF(I31&gt;0,G31*I31*SUMPRODUCT(('[2]Коэфы качество контакта'!$A$2:$A$50=D31)*'[2]Коэфы качество контакта'!$G$2:$G$50),SUMPRODUCT(([2]Indoor!$A$2:$A$996=Москва!$E$4)*([2]Indoor!$B$2:$B$996=Москва!$E31)*[2]Indoor!$F$2:$F$996)*F31*G31))</f>
        <v>0</v>
      </c>
      <c r="K31" s="51"/>
      <c r="L31" s="50"/>
      <c r="M31" s="18"/>
      <c r="N31" s="17">
        <f>M31*VLOOKUP(D31,'[2]Коэфы качество контакта'!$A$2:$E$22,3,FALSE)*VLOOKUP(D31,'[2]Коэфы качество контакта'!$A$2:$E$22,5,FALSE)</f>
        <v>0</v>
      </c>
      <c r="O31" s="16" cm="1">
        <f t="array" ref="O31">IFERROR(IF(I31&gt;0,I31*G31,J31/SUMPRODUCT(([2]Indoor!$A$2:$A$996=Москва!$E$4)*([2]Indoor!$B$2:$B$996=Москва!$E31)*[2]Indoor!$G$2:$G$996)),0)</f>
        <v>0</v>
      </c>
    </row>
    <row r="32" spans="3:15" ht="20.25" customHeight="1" outlineLevel="1" x14ac:dyDescent="0.25">
      <c r="C32" s="192"/>
      <c r="D32" s="54" t="s">
        <v>51</v>
      </c>
      <c r="E32" s="53"/>
      <c r="F32" s="32"/>
      <c r="G32" s="52"/>
      <c r="H32" s="19"/>
      <c r="I32" s="18"/>
      <c r="J32" s="20" cm="1">
        <f t="array" ref="J32">IF(H32&gt;0,H32*G32,IF(I32&gt;0,G32*I32*SUMPRODUCT(('[2]Коэфы качество контакта'!$A$2:$A$50=D32)*'[2]Коэфы качество контакта'!$G$2:$G$50),SUMPRODUCT(([2]Indoor!$A$2:$A$996=Москва!$E$4)*([2]Indoor!$B$2:$B$996=Москва!$E32)*[2]Indoor!$F$2:$F$996)*F32*G32))</f>
        <v>0</v>
      </c>
      <c r="K32" s="51"/>
      <c r="L32" s="50"/>
      <c r="M32" s="18"/>
      <c r="N32" s="17">
        <f>M32*VLOOKUP(D32,'[2]Коэфы качество контакта'!$A$2:$E$22,3,FALSE)*VLOOKUP(D32,'[2]Коэфы качество контакта'!$A$2:$E$22,5,FALSE)</f>
        <v>0</v>
      </c>
      <c r="O32" s="16" cm="1">
        <f t="array" ref="O32">IFERROR(IF(I32&gt;0,I32*G32,J32/SUMPRODUCT(([2]Indoor!$A$2:$A$996=Москва!$E$4)*([2]Indoor!$B$2:$B$996=Москва!$E32)*[2]Indoor!$G$2:$G$996)),0)</f>
        <v>0</v>
      </c>
    </row>
    <row r="33" spans="3:16" ht="20.25" customHeight="1" outlineLevel="1" x14ac:dyDescent="0.25">
      <c r="C33" s="192"/>
      <c r="D33" s="54" t="s">
        <v>51</v>
      </c>
      <c r="E33" s="53"/>
      <c r="F33" s="32"/>
      <c r="G33" s="52"/>
      <c r="H33" s="19"/>
      <c r="I33" s="18"/>
      <c r="J33" s="20" cm="1">
        <f t="array" ref="J33">IF(H33&gt;0,H33*G33,IF(I33&gt;0,G33*I33*SUMPRODUCT(('[2]Коэфы качество контакта'!$A$2:$A$50=D33)*'[2]Коэфы качество контакта'!$G$2:$G$50),SUMPRODUCT(([2]Indoor!$A$2:$A$996=Москва!$E$4)*([2]Indoor!$B$2:$B$996=Москва!$E33)*[2]Indoor!$F$2:$F$996)*F33*G33))</f>
        <v>0</v>
      </c>
      <c r="K33" s="51"/>
      <c r="L33" s="50"/>
      <c r="M33" s="18"/>
      <c r="N33" s="17">
        <f>M33*VLOOKUP(D33,'[2]Коэфы качество контакта'!$A$2:$E$22,3,FALSE)*VLOOKUP(D33,'[2]Коэфы качество контакта'!$A$2:$E$22,5,FALSE)</f>
        <v>0</v>
      </c>
      <c r="O33" s="16" cm="1">
        <f t="array" ref="O33">IFERROR(IF(I33&gt;0,I33*G33,J33/SUMPRODUCT(([2]Indoor!$A$2:$A$996=Москва!$E$4)*([2]Indoor!$B$2:$B$996=Москва!$E33)*[2]Indoor!$G$2:$G$996)),0)</f>
        <v>0</v>
      </c>
    </row>
    <row r="34" spans="3:16" ht="20.25" customHeight="1" outlineLevel="1" x14ac:dyDescent="0.25">
      <c r="C34" s="192"/>
      <c r="D34" s="54" t="s">
        <v>51</v>
      </c>
      <c r="E34" s="53"/>
      <c r="F34" s="32"/>
      <c r="G34" s="52"/>
      <c r="H34" s="19"/>
      <c r="I34" s="18"/>
      <c r="J34" s="20" cm="1">
        <f t="array" ref="J34">IF(H34&gt;0,H34*G34,IF(I34&gt;0,G34*I34*SUMPRODUCT(('[2]Коэфы качество контакта'!$A$2:$A$50=D34)*'[2]Коэфы качество контакта'!$G$2:$G$50),SUMPRODUCT(([2]Indoor!$A$2:$A$996=Москва!$E$4)*([2]Indoor!$B$2:$B$996=Москва!$E34)*[2]Indoor!$F$2:$F$996)*F34*G34))</f>
        <v>0</v>
      </c>
      <c r="K34" s="51"/>
      <c r="L34" s="50"/>
      <c r="M34" s="18"/>
      <c r="N34" s="17">
        <f>M34*VLOOKUP(D34,'[2]Коэфы качество контакта'!$A$2:$E$22,3,FALSE)*VLOOKUP(D34,'[2]Коэфы качество контакта'!$A$2:$E$22,5,FALSE)</f>
        <v>0</v>
      </c>
      <c r="O34" s="16" cm="1">
        <f t="array" ref="O34">IFERROR(IF(I34&gt;0,I34*G34,J34/SUMPRODUCT(([2]Indoor!$A$2:$A$996=Москва!$E$4)*([2]Indoor!$B$2:$B$996=Москва!$E34)*[2]Indoor!$G$2:$G$996)),0)</f>
        <v>0</v>
      </c>
    </row>
    <row r="35" spans="3:16" ht="20.25" customHeight="1" outlineLevel="1" x14ac:dyDescent="0.25">
      <c r="C35" s="192"/>
      <c r="D35" s="54" t="s">
        <v>51</v>
      </c>
      <c r="E35" s="53"/>
      <c r="F35" s="32"/>
      <c r="G35" s="52"/>
      <c r="H35" s="19"/>
      <c r="I35" s="18"/>
      <c r="J35" s="20" cm="1">
        <f t="array" ref="J35">IF(H35&gt;0,H35*G35,IF(I35&gt;0,G35*I35*SUMPRODUCT(('[2]Коэфы качество контакта'!$A$2:$A$50=D35)*'[2]Коэфы качество контакта'!$G$2:$G$50),SUMPRODUCT(([2]Indoor!$A$2:$A$996=Москва!$E$4)*([2]Indoor!$B$2:$B$996=Москва!$E35)*[2]Indoor!$F$2:$F$996)*F35*G35))</f>
        <v>0</v>
      </c>
      <c r="K35" s="51"/>
      <c r="L35" s="50"/>
      <c r="M35" s="18"/>
      <c r="N35" s="17">
        <f>M35*VLOOKUP(D35,'[2]Коэфы качество контакта'!$A$2:$E$22,3,FALSE)*VLOOKUP(D35,'[2]Коэфы качество контакта'!$A$2:$E$22,5,FALSE)</f>
        <v>0</v>
      </c>
      <c r="O35" s="16" cm="1">
        <f t="array" ref="O35">IFERROR(IF(I35&gt;0,I35*G35,J35/SUMPRODUCT(([2]Indoor!$A$2:$A$996=Москва!$E$4)*([2]Indoor!$B$2:$B$996=Москва!$E35)*[2]Indoor!$G$2:$G$996)),0)</f>
        <v>0</v>
      </c>
    </row>
    <row r="36" spans="3:16" ht="20.25" customHeight="1" outlineLevel="1" x14ac:dyDescent="0.25">
      <c r="C36" s="192"/>
      <c r="D36" s="54" t="s">
        <v>51</v>
      </c>
      <c r="E36" s="53"/>
      <c r="F36" s="32"/>
      <c r="G36" s="52"/>
      <c r="H36" s="19"/>
      <c r="I36" s="18"/>
      <c r="J36" s="20" cm="1">
        <f t="array" ref="J36">IF(H36&gt;0,H36*G36,IF(I36&gt;0,G36*I36*SUMPRODUCT(('[2]Коэфы качество контакта'!$A$2:$A$50=D36)*'[2]Коэфы качество контакта'!$G$2:$G$50),SUMPRODUCT(([2]Indoor!$A$2:$A$996=Москва!$E$4)*([2]Indoor!$B$2:$B$996=Москва!$E36)*[2]Indoor!$F$2:$F$996)*F36*G36))</f>
        <v>0</v>
      </c>
      <c r="K36" s="51"/>
      <c r="L36" s="50"/>
      <c r="M36" s="18"/>
      <c r="N36" s="17">
        <f>M36*VLOOKUP(D36,'[2]Коэфы качество контакта'!$A$2:$E$22,3,FALSE)*VLOOKUP(D36,'[2]Коэфы качество контакта'!$A$2:$E$22,5,FALSE)</f>
        <v>0</v>
      </c>
      <c r="O36" s="16" cm="1">
        <f t="array" ref="O36">IFERROR(IF(I36&gt;0,I36*G36,J36/SUMPRODUCT(([2]Indoor!$A$2:$A$996=Москва!$E$4)*([2]Indoor!$B$2:$B$996=Москва!$E36)*[2]Indoor!$G$2:$G$996)),0)</f>
        <v>0</v>
      </c>
    </row>
    <row r="37" spans="3:16" ht="19.7" customHeight="1" outlineLevel="1" x14ac:dyDescent="0.25">
      <c r="C37" s="192"/>
      <c r="D37" s="54" t="s">
        <v>51</v>
      </c>
      <c r="E37" s="53"/>
      <c r="F37" s="32"/>
      <c r="G37" s="52"/>
      <c r="H37" s="19"/>
      <c r="I37" s="18"/>
      <c r="J37" s="20" cm="1">
        <f t="array" ref="J37">IF(H37&gt;0,H37*G37,IF(I37&gt;0,G37*I37*SUMPRODUCT(('[2]Коэфы качество контакта'!$A$2:$A$50=D37)*'[2]Коэфы качество контакта'!$G$2:$G$50),SUMPRODUCT(([2]Indoor!$A$2:$A$996=Москва!$E$4)*([2]Indoor!$B$2:$B$996=Москва!$E37)*[2]Indoor!$F$2:$F$996)*F37*G37))</f>
        <v>0</v>
      </c>
      <c r="K37" s="51"/>
      <c r="L37" s="50"/>
      <c r="M37" s="18"/>
      <c r="N37" s="17">
        <f>M37*VLOOKUP(D37,'[2]Коэфы качество контакта'!$A$2:$E$22,3,FALSE)*VLOOKUP(D37,'[2]Коэфы качество контакта'!$A$2:$E$22,5,FALSE)</f>
        <v>0</v>
      </c>
      <c r="O37" s="16" cm="1">
        <f t="array" ref="O37">IFERROR(IF(I37&gt;0,I37*G37,J37/SUMPRODUCT(([2]Indoor!$A$2:$A$996=Москва!$E$4)*([2]Indoor!$B$2:$B$996=Москва!$E37)*[2]Indoor!$G$2:$G$996)),0)</f>
        <v>0</v>
      </c>
    </row>
    <row r="38" spans="3:16" ht="20.25" customHeight="1" outlineLevel="1" x14ac:dyDescent="0.25">
      <c r="C38" s="192"/>
      <c r="D38" s="54" t="s">
        <v>51</v>
      </c>
      <c r="E38" s="53"/>
      <c r="F38" s="32"/>
      <c r="G38" s="52"/>
      <c r="H38" s="19"/>
      <c r="I38" s="18"/>
      <c r="J38" s="20" cm="1">
        <f t="array" ref="J38">IF(H38&gt;0,H38*G38,IF(I38&gt;0,G38*I38*SUMPRODUCT(('[2]Коэфы качество контакта'!$A$2:$A$50=D38)*'[2]Коэфы качество контакта'!$G$2:$G$50),SUMPRODUCT(([2]Indoor!$A$2:$A$996=Москва!$E$4)*([2]Indoor!$B$2:$B$996=Москва!$E38)*[2]Indoor!$F$2:$F$996)*F38*G38))</f>
        <v>0</v>
      </c>
      <c r="K38" s="51"/>
      <c r="L38" s="50"/>
      <c r="M38" s="18"/>
      <c r="N38" s="17">
        <f>M38*VLOOKUP(D38,'[2]Коэфы качество контакта'!$A$2:$E$22,3,FALSE)*VLOOKUP(D38,'[2]Коэфы качество контакта'!$A$2:$E$22,5,FALSE)</f>
        <v>0</v>
      </c>
      <c r="O38" s="16" cm="1">
        <f t="array" ref="O38">IFERROR(IF(I38&gt;0,I38*G38,J38/SUMPRODUCT(([2]Indoor!$A$2:$A$996=Москва!$E$4)*([2]Indoor!$B$2:$B$996=Москва!$E38)*[2]Indoor!$G$2:$G$996)),0)</f>
        <v>0</v>
      </c>
    </row>
    <row r="39" spans="3:16" ht="20.25" customHeight="1" outlineLevel="1" x14ac:dyDescent="0.25">
      <c r="C39" s="192"/>
      <c r="D39" s="54" t="s">
        <v>51</v>
      </c>
      <c r="E39" s="53"/>
      <c r="F39" s="32"/>
      <c r="G39" s="52"/>
      <c r="H39" s="19"/>
      <c r="I39" s="18"/>
      <c r="J39" s="20" cm="1">
        <f t="array" ref="J39">IF(H39&gt;0,H39*G39,IF(I39&gt;0,G39*I39*SUMPRODUCT(('[2]Коэфы качество контакта'!$A$2:$A$50=D39)*'[2]Коэфы качество контакта'!$G$2:$G$50),SUMPRODUCT(([2]Indoor!$A$2:$A$996=Москва!$E$4)*([2]Indoor!$B$2:$B$996=Москва!$E39)*[2]Indoor!$F$2:$F$996)*F39*G39))</f>
        <v>0</v>
      </c>
      <c r="K39" s="51"/>
      <c r="L39" s="50"/>
      <c r="M39" s="18"/>
      <c r="N39" s="17">
        <f>M39*VLOOKUP(D39,'[2]Коэфы качество контакта'!$A$2:$E$22,3,FALSE)*VLOOKUP(D39,'[2]Коэфы качество контакта'!$A$2:$E$22,5,FALSE)</f>
        <v>0</v>
      </c>
      <c r="O39" s="16" cm="1">
        <f t="array" ref="O39">IFERROR(IF(I39&gt;0,I39*G39,J39/SUMPRODUCT(([2]Indoor!$A$2:$A$996=Москва!$E$4)*([2]Indoor!$B$2:$B$996=Москва!$E39)*[2]Indoor!$G$2:$G$996)),0)</f>
        <v>0</v>
      </c>
    </row>
    <row r="40" spans="3:16" ht="20.25" customHeight="1" outlineLevel="1" x14ac:dyDescent="0.25">
      <c r="C40" s="192"/>
      <c r="D40" s="54" t="s">
        <v>51</v>
      </c>
      <c r="E40" s="53"/>
      <c r="F40" s="32"/>
      <c r="G40" s="52"/>
      <c r="H40" s="19"/>
      <c r="I40" s="18"/>
      <c r="J40" s="20" cm="1">
        <f t="array" ref="J40">IF(H40&gt;0,H40*G40,IF(I40&gt;0,G40*I40*SUMPRODUCT(('[2]Коэфы качество контакта'!$A$2:$A$50=D40)*'[2]Коэфы качество контакта'!$G$2:$G$50),SUMPRODUCT(([2]Indoor!$A$2:$A$996=Москва!$E$4)*([2]Indoor!$B$2:$B$996=Москва!$E40)*[2]Indoor!$F$2:$F$996)*F40*G40))</f>
        <v>0</v>
      </c>
      <c r="K40" s="51"/>
      <c r="L40" s="50"/>
      <c r="M40" s="18"/>
      <c r="N40" s="17">
        <f>M40*VLOOKUP(D40,'[2]Коэфы качество контакта'!$A$2:$E$22,3,FALSE)*VLOOKUP(D40,'[2]Коэфы качество контакта'!$A$2:$E$22,5,FALSE)</f>
        <v>0</v>
      </c>
      <c r="O40" s="16" cm="1">
        <f t="array" ref="O40">IFERROR(IF(I40&gt;0,I40*G40,J40/SUMPRODUCT(([2]Indoor!$A$2:$A$996=Москва!$E$4)*([2]Indoor!$B$2:$B$996=Москва!$E40)*[2]Indoor!$G$2:$G$996)),0)</f>
        <v>0</v>
      </c>
    </row>
    <row r="41" spans="3:16" ht="20.25" customHeight="1" outlineLevel="1" x14ac:dyDescent="0.25">
      <c r="C41" s="192"/>
      <c r="D41" s="54" t="s">
        <v>51</v>
      </c>
      <c r="E41" s="53"/>
      <c r="F41" s="32"/>
      <c r="G41" s="52"/>
      <c r="H41" s="19"/>
      <c r="I41" s="18"/>
      <c r="J41" s="20" cm="1">
        <f t="array" ref="J41">IF(H41&gt;0,H41*G41,IF(I41&gt;0,G41*I41*SUMPRODUCT(('[2]Коэфы качество контакта'!$A$2:$A$50=D41)*'[2]Коэфы качество контакта'!$G$2:$G$50),SUMPRODUCT(([2]Indoor!$A$2:$A$996=Москва!$E$4)*([2]Indoor!$B$2:$B$996=Москва!$E41)*[2]Indoor!$F$2:$F$996)*F41*G41))</f>
        <v>0</v>
      </c>
      <c r="K41" s="51"/>
      <c r="L41" s="50"/>
      <c r="M41" s="18"/>
      <c r="N41" s="17">
        <f>M41*VLOOKUP(D41,'[2]Коэфы качество контакта'!$A$2:$E$22,3,FALSE)*VLOOKUP(D41,'[2]Коэфы качество контакта'!$A$2:$E$22,5,FALSE)</f>
        <v>0</v>
      </c>
      <c r="O41" s="16" cm="1">
        <f t="array" ref="O41">IFERROR(IF(I41&gt;0,I41*G41,J41/SUMPRODUCT(([2]Indoor!$A$2:$A$996=Москва!$E$4)*([2]Indoor!$B$2:$B$996=Москва!$E41)*[2]Indoor!$G$2:$G$996)),0)</f>
        <v>0</v>
      </c>
    </row>
    <row r="42" spans="3:16" ht="20.25" customHeight="1" outlineLevel="1" x14ac:dyDescent="0.25">
      <c r="C42" s="192"/>
      <c r="D42" s="54" t="s">
        <v>51</v>
      </c>
      <c r="E42" s="53"/>
      <c r="F42" s="32"/>
      <c r="G42" s="52"/>
      <c r="H42" s="19"/>
      <c r="I42" s="18"/>
      <c r="J42" s="20" cm="1">
        <f t="array" ref="J42">IF(H42&gt;0,H42*G42,IF(I42&gt;0,G42*I42*SUMPRODUCT(('[2]Коэфы качество контакта'!$A$2:$A$50=D42)*'[2]Коэфы качество контакта'!$G$2:$G$50),SUMPRODUCT(([2]Indoor!$A$2:$A$996=Москва!$E$4)*([2]Indoor!$B$2:$B$996=Москва!$E42)*[2]Indoor!$F$2:$F$996)*F42*G42))</f>
        <v>0</v>
      </c>
      <c r="K42" s="51"/>
      <c r="L42" s="50"/>
      <c r="M42" s="18"/>
      <c r="N42" s="17">
        <f>M42*VLOOKUP(D42,'[2]Коэфы качество контакта'!$A$2:$E$22,3,FALSE)*VLOOKUP(D42,'[2]Коэфы качество контакта'!$A$2:$E$22,5,FALSE)</f>
        <v>0</v>
      </c>
      <c r="O42" s="16" cm="1">
        <f t="array" ref="O42">IFERROR(IF(I42&gt;0,I42*G42,J42/SUMPRODUCT(([2]Indoor!$A$2:$A$996=Москва!$E$4)*([2]Indoor!$B$2:$B$996=Москва!$E42)*[2]Indoor!$G$2:$G$996)),0)</f>
        <v>0</v>
      </c>
    </row>
    <row r="43" spans="3:16" ht="28.5" customHeight="1" x14ac:dyDescent="0.25">
      <c r="C43" s="192"/>
      <c r="D43" s="27" t="s">
        <v>101</v>
      </c>
      <c r="E43" s="124"/>
      <c r="F43" s="27"/>
      <c r="G43" s="123"/>
      <c r="H43" s="122"/>
      <c r="I43" s="114"/>
      <c r="J43" s="132">
        <f>SUM(J44:J48)</f>
        <v>0</v>
      </c>
      <c r="K43" s="114" t="s">
        <v>107</v>
      </c>
      <c r="L43" s="114" t="s">
        <v>106</v>
      </c>
      <c r="M43" s="114" t="s">
        <v>42</v>
      </c>
      <c r="N43" s="120" t="s">
        <v>48</v>
      </c>
      <c r="O43" s="25">
        <f>IF(J43&gt;0,J43/VLOOKUP(D43,'[2]Коэфы качество контакта'!$A$2:$G$22,7,FALSE),(1-(1-(O44/$E$3*0.5))*(1-(O45/$E$3*0.5))*(1-(O46/$E$3*0.5))*(1-(O47/$E$3*0.5))*(1-(O48/$E$3*0.5)))*$E$3)</f>
        <v>0</v>
      </c>
      <c r="P43" s="24"/>
    </row>
    <row r="44" spans="3:16" ht="20.25" customHeight="1" outlineLevel="1" x14ac:dyDescent="0.25">
      <c r="C44" s="192"/>
      <c r="D44" s="37" t="s">
        <v>101</v>
      </c>
      <c r="E44" s="36" t="s">
        <v>105</v>
      </c>
      <c r="F44" s="32"/>
      <c r="G44" s="41"/>
      <c r="H44" s="19"/>
      <c r="I44" s="18"/>
      <c r="J44" s="20" t="str" cm="1">
        <f t="array" ref="J44">IF(H44&gt;0,H44*G44,IF(K44&gt;0,SUMPRODUCT((([2]Метро!$A$2:$A$1000=Москва!$E$4)*[2]Метро!$E$2:$E$1000)/1000)*L44*F44*G44*SUMPRODUCT(([2]Метро!$F$2:$F$6=Москва!$E44)*[2]Метро!$G$2:$G$6)*K44,IF(I44&gt;0,G44*I44*SUMPRODUCT(('[2]Коэфы качество контакта'!$A$2:$A$50=D44)*'[2]Коэфы качество контакта'!$G$2:$G$50),"")))</f>
        <v/>
      </c>
      <c r="K44" s="51"/>
      <c r="L44" s="50"/>
      <c r="M44" s="18"/>
      <c r="N44" s="17">
        <f>M44*VLOOKUP(D44,'[2]Коэфы качество контакта'!$A$2:$E$22,3,FALSE)*VLOOKUP(D44,'[2]Коэфы качество контакта'!$A$2:$E$22,5,FALSE)</f>
        <v>0</v>
      </c>
      <c r="O44" s="16">
        <f>IFERROR(IF(I44&gt;0,I44*G44,J44/VLOOKUP(D44,'[2]Коэфы качество контакта'!$A$2:$G$22,7,FALSE)),)</f>
        <v>0</v>
      </c>
    </row>
    <row r="45" spans="3:16" ht="20.25" customHeight="1" outlineLevel="1" x14ac:dyDescent="0.25">
      <c r="C45" s="192"/>
      <c r="D45" s="37" t="s">
        <v>101</v>
      </c>
      <c r="E45" s="36" t="s">
        <v>104</v>
      </c>
      <c r="F45" s="32"/>
      <c r="G45" s="41"/>
      <c r="H45" s="19"/>
      <c r="I45" s="18"/>
      <c r="J45" s="20" t="str" cm="1">
        <f t="array" ref="J45">IF(H45&gt;0,H45*G45,IF(K45&gt;0,SUMPRODUCT((([2]Метро!$A$2:$A$1000=Москва!$E$4)*[2]Метро!$E$2:$E$1000)/1000)*L45*F45*G45*SUMPRODUCT(([2]Метро!$F$2:$F$6=Москва!$E45)*[2]Метро!$G$2:$G$6)*K45,IF(I45&gt;0,G45*I45*SUMPRODUCT(('[2]Коэфы качество контакта'!$A$2:$A$50=D45)*'[2]Коэфы качество контакта'!$G$2:$G$50),"")))</f>
        <v/>
      </c>
      <c r="K45" s="51"/>
      <c r="L45" s="50"/>
      <c r="M45" s="18"/>
      <c r="N45" s="17">
        <f>M45*VLOOKUP(D45,'[2]Коэфы качество контакта'!$A$2:$E$22,3,FALSE)*VLOOKUP(D45,'[2]Коэфы качество контакта'!$A$2:$E$22,5,FALSE)</f>
        <v>0</v>
      </c>
      <c r="O45" s="16">
        <f>IFERROR(IF(I45&gt;0,I45*G45,J45/VLOOKUP(D45,'[2]Коэфы качество контакта'!$A$2:$G$22,7,FALSE)),)</f>
        <v>0</v>
      </c>
    </row>
    <row r="46" spans="3:16" ht="20.25" customHeight="1" outlineLevel="1" x14ac:dyDescent="0.25">
      <c r="C46" s="192"/>
      <c r="D46" s="37" t="s">
        <v>101</v>
      </c>
      <c r="E46" s="36" t="s">
        <v>103</v>
      </c>
      <c r="F46" s="32"/>
      <c r="G46" s="41"/>
      <c r="H46" s="19"/>
      <c r="I46" s="18"/>
      <c r="J46" s="20" t="str" cm="1">
        <f t="array" ref="J46">IF(H46&gt;0,H46*G46,IF(K46&gt;0,SUMPRODUCT((([2]Метро!$A$2:$A$1000=Москва!$E$4)*[2]Метро!$E$2:$E$1000)/1000)*L46*F46*G46*SUMPRODUCT(([2]Метро!$F$2:$F$6=Москва!$E46)*[2]Метро!$G$2:$G$6)*K46,IF(I46&gt;0,G46*I46*SUMPRODUCT(('[2]Коэфы качество контакта'!$A$2:$A$50=D46)*'[2]Коэфы качество контакта'!$G$2:$G$50),"")))</f>
        <v/>
      </c>
      <c r="K46" s="51"/>
      <c r="L46" s="50"/>
      <c r="M46" s="18"/>
      <c r="N46" s="17">
        <f>M46*VLOOKUP(D46,'[2]Коэфы качество контакта'!$A$2:$E$22,3,FALSE)*VLOOKUP(D46,'[2]Коэфы качество контакта'!$A$2:$E$22,5,FALSE)</f>
        <v>0</v>
      </c>
      <c r="O46" s="16">
        <f>IFERROR(IF(I46&gt;0,I46*G46,J46/VLOOKUP(D46,'[2]Коэфы качество контакта'!$A$2:$G$22,7,FALSE)),)</f>
        <v>0</v>
      </c>
    </row>
    <row r="47" spans="3:16" ht="20.25" customHeight="1" outlineLevel="1" x14ac:dyDescent="0.25">
      <c r="C47" s="192"/>
      <c r="D47" s="37" t="s">
        <v>101</v>
      </c>
      <c r="E47" s="36" t="s">
        <v>102</v>
      </c>
      <c r="F47" s="32"/>
      <c r="G47" s="41"/>
      <c r="H47" s="19"/>
      <c r="I47" s="18"/>
      <c r="J47" s="20" t="str" cm="1">
        <f t="array" ref="J47">IF(H47&gt;0,H47*G47,IF(K47&gt;0,SUMPRODUCT((([2]Метро!$A$2:$A$1000=Москва!$E$4)*[2]Метро!$E$2:$E$1000)/1000)*L47*F47*G47*SUMPRODUCT(([2]Метро!$F$2:$F$6=Москва!$E47)*[2]Метро!$G$2:$G$6)*K47,IF(I47&gt;0,G47*I47*SUMPRODUCT(('[2]Коэфы качество контакта'!$A$2:$A$50=D47)*'[2]Коэфы качество контакта'!$G$2:$G$50),"")))</f>
        <v/>
      </c>
      <c r="K47" s="51"/>
      <c r="L47" s="50"/>
      <c r="M47" s="18"/>
      <c r="N47" s="17">
        <f>M47*VLOOKUP(D47,'[2]Коэфы качество контакта'!$A$2:$E$22,3,FALSE)*VLOOKUP(D47,'[2]Коэфы качество контакта'!$A$2:$E$22,5,FALSE)</f>
        <v>0</v>
      </c>
      <c r="O47" s="16">
        <f>IFERROR(IF(I47&gt;0,I47*G47,J47/VLOOKUP(D47,'[2]Коэфы качество контакта'!$A$2:$G$22,7,FALSE)),)</f>
        <v>0</v>
      </c>
    </row>
    <row r="48" spans="3:16" ht="19.7" customHeight="1" outlineLevel="1" x14ac:dyDescent="0.25">
      <c r="C48" s="192"/>
      <c r="D48" s="131" t="s">
        <v>101</v>
      </c>
      <c r="E48" s="130" t="s">
        <v>100</v>
      </c>
      <c r="F48" s="32"/>
      <c r="G48" s="41"/>
      <c r="H48" s="19"/>
      <c r="I48" s="129"/>
      <c r="J48" s="20" t="str" cm="1">
        <f t="array" ref="J48">IF(H48&gt;0,H48*G48,IF(K48&gt;0,SUMPRODUCT((([2]Метро!$A$2:$A$1000=Москва!$E$4)*[2]Метро!$E$2:$E$1000)/1000)*L48*F48*G48*SUMPRODUCT(([2]Метро!$F$2:$F$6=Москва!$E48)*[2]Метро!$G$2:$G$6)*K48,IF(I48&gt;0,G48*I48*SUMPRODUCT(('[2]Коэфы качество контакта'!$A$2:$A$50=D48)*'[2]Коэфы качество контакта'!$G$2:$G$50),"")))</f>
        <v/>
      </c>
      <c r="K48" s="51"/>
      <c r="L48" s="50"/>
      <c r="M48" s="18"/>
      <c r="N48" s="17">
        <f>M48*VLOOKUP(D48,'[2]Коэфы качество контакта'!$A$2:$E$22,3,FALSE)*VLOOKUP(D48,'[2]Коэфы качество контакта'!$A$2:$E$22,5,FALSE)</f>
        <v>0</v>
      </c>
      <c r="O48" s="16">
        <f>IFERROR(IF(I48&gt;0,I48*G48,J48/VLOOKUP(D48,'[2]Коэфы качество контакта'!$A$2:$G$22,7,FALSE)),)</f>
        <v>0</v>
      </c>
    </row>
    <row r="49" spans="3:16" ht="28.5" customHeight="1" x14ac:dyDescent="0.25">
      <c r="C49" s="192"/>
      <c r="D49" s="27" t="s">
        <v>50</v>
      </c>
      <c r="E49" s="124"/>
      <c r="F49" s="27"/>
      <c r="G49" s="123"/>
      <c r="H49" s="122"/>
      <c r="I49" s="114"/>
      <c r="J49" s="121">
        <f ca="1">SUM(J50:J51)</f>
        <v>0</v>
      </c>
      <c r="K49" s="114" t="s">
        <v>99</v>
      </c>
      <c r="L49" s="114" t="s">
        <v>98</v>
      </c>
      <c r="M49" s="114" t="s">
        <v>42</v>
      </c>
      <c r="N49" s="120" t="s">
        <v>48</v>
      </c>
      <c r="O49" s="128">
        <f ca="1">IFERROR(IF(J49&gt;0,J49/(VLOOKUP(D49,'[2]Коэфы качество контакта'!$A$2:$G$22,7,FALSE)*(MAX(F50:F51)/30.4)),(1-(1-(O50/$E$3*0.5))*(1-(O51/$E$3*0.5)))*$E$3),0)</f>
        <v>0</v>
      </c>
    </row>
    <row r="50" spans="3:16" ht="20.25" customHeight="1" outlineLevel="1" x14ac:dyDescent="0.25">
      <c r="C50" s="192"/>
      <c r="D50" s="37" t="s">
        <v>50</v>
      </c>
      <c r="E50" s="36" t="s">
        <v>97</v>
      </c>
      <c r="F50" s="32"/>
      <c r="G50" s="41"/>
      <c r="H50" s="19"/>
      <c r="I50" s="18"/>
      <c r="J50" s="127" t="str" cm="1">
        <f t="array" aca="1" ref="J50" ca="1">IFERROR(IF(H50&gt;0,H50*G50,IF(K50&gt;0,SUM(OTSРадиоМосква)*G50*K50,IF(I50&gt;0,G50*I50*SUMPRODUCT(('[2]Коэфы качество контакта'!$A$2:$A$50=D50)*'[2]Коэфы качество контакта'!$G$2:$G$50),""))),"")</f>
        <v/>
      </c>
      <c r="K50" s="126">
        <f ca="1">IFERROR(SUM(МинутыРадиоМосква),0)</f>
        <v>0</v>
      </c>
      <c r="L50" s="49" t="s">
        <v>96</v>
      </c>
      <c r="M50" s="18"/>
      <c r="N50" s="40">
        <f>M50*VLOOKUP(D50,'[2]Коэфы качество контакта'!$A$2:$E$22,3,FALSE)*VLOOKUP(D50,'[2]Коэфы качество контакта'!$A$2:$E$22,5,FALSE)</f>
        <v>0</v>
      </c>
      <c r="O50" s="16" t="str">
        <f ca="1">IFERROR(IF(I50&gt;0,I50*G50,J50/(VLOOKUP(D50,'[2]Коэфы качество контакта'!$A$2:$G$22,7,FALSE)*F50/30.4)),"")</f>
        <v/>
      </c>
      <c r="P50" s="48" t="str">
        <f>_xlfn.CONCAT($E$4,E50)</f>
        <v>МоскваСпонсорство</v>
      </c>
    </row>
    <row r="51" spans="3:16" ht="20.25" customHeight="1" outlineLevel="1" x14ac:dyDescent="0.25">
      <c r="C51" s="192"/>
      <c r="D51" s="37" t="s">
        <v>50</v>
      </c>
      <c r="E51" s="36" t="s">
        <v>49</v>
      </c>
      <c r="F51" s="32">
        <v>120</v>
      </c>
      <c r="G51" s="41">
        <v>0.2</v>
      </c>
      <c r="H51" s="19"/>
      <c r="I51" s="18"/>
      <c r="J51" s="127" t="str" cm="1">
        <f t="array" aca="1" ref="J51" ca="1">IFERROR(IF(H51&gt;0,H51*G51,IF(K51&gt;0,SUM(OTSРадиоМосква)*G51*K51,IF(I51&gt;0,G51*I51*SUMPRODUCT(('[2]Коэфы качество контакта'!$A$2:$A$50=D51)*'[2]Коэфы качество контакта'!$G$2:$G$50),""))),"")</f>
        <v/>
      </c>
      <c r="K51" s="126">
        <f ca="1">IFERROR(SUM(МинутыРадиоМосква),0)</f>
        <v>0</v>
      </c>
      <c r="L51" s="49" t="s">
        <v>96</v>
      </c>
      <c r="M51" s="18">
        <v>30</v>
      </c>
      <c r="N51" s="40">
        <f>M51*VLOOKUP(D51,'[2]Коэфы качество контакта'!$A$2:$E$22,3,FALSE)*VLOOKUP(D51,'[2]Коэфы качество контакта'!$A$2:$E$22,5,FALSE)</f>
        <v>15.84</v>
      </c>
      <c r="O51" s="16" t="str">
        <f ca="1">IFERROR(IF(I51&gt;0,I51*G51,J51/(VLOOKUP(D51,'[2]Коэфы качество контакта'!$A$2:$G$22,7,FALSE)*F51/30.4)),"")</f>
        <v/>
      </c>
      <c r="P51" s="48" t="str">
        <f>_xlfn.CONCAT($E$4,E51)</f>
        <v>МоскваПрямая Реклама</v>
      </c>
    </row>
    <row r="52" spans="3:16" ht="26.45" customHeight="1" x14ac:dyDescent="0.25">
      <c r="C52" s="192"/>
      <c r="D52" s="27" t="s">
        <v>45</v>
      </c>
      <c r="E52" s="124"/>
      <c r="F52" s="27"/>
      <c r="G52" s="123"/>
      <c r="H52" s="122"/>
      <c r="I52" s="114"/>
      <c r="J52" s="47">
        <f>SUM(J53:J60)</f>
        <v>8400</v>
      </c>
      <c r="K52" s="114" t="s">
        <v>95</v>
      </c>
      <c r="L52" s="114" t="s">
        <v>94</v>
      </c>
      <c r="M52" s="114" t="s">
        <v>42</v>
      </c>
      <c r="N52" s="120" t="s">
        <v>48</v>
      </c>
      <c r="O52" s="25">
        <f>IF((SUM(O53:O60)*0.6)&lt;MAX(O53:O60),MAX(O53:O60),(SUM(O53:O60)*0.6))</f>
        <v>1440</v>
      </c>
    </row>
    <row r="53" spans="3:16" ht="20.25" customHeight="1" outlineLevel="1" x14ac:dyDescent="0.25">
      <c r="C53" s="192"/>
      <c r="D53" s="12" t="s">
        <v>45</v>
      </c>
      <c r="E53" s="33" t="s">
        <v>47</v>
      </c>
      <c r="F53" s="32">
        <v>120</v>
      </c>
      <c r="G53" s="41">
        <v>0.3</v>
      </c>
      <c r="H53" s="19">
        <v>24000</v>
      </c>
      <c r="I53" s="18"/>
      <c r="J53" s="20" cm="1">
        <f t="array" ref="J53">IFERROR(IF(H53&gt;0,H53*G53,IF(K53&gt;0,G53*K53,IF(L53&gt;0,L53*G53*(1-SUMPRODUCT(([2]Списки!$F$2:$F$20=E53)*[2]Списки!$G$2:$G$20)),G53*I53*SUMPRODUCT(('[2]Коэфы качество контакта'!$A$2:$A$50=E53)*'[2]Коэфы качество контакта'!$G$2:$G$50)))),"")</f>
        <v>7200</v>
      </c>
      <c r="K53" s="45"/>
      <c r="L53" s="44"/>
      <c r="M53" s="18"/>
      <c r="N53" s="40">
        <f>IFERROR(M53*VLOOKUP(E53,'[2]Коэфы качество контакта'!$A$2:$E$50,3,FALSE)*VLOOKUP(E53,'[2]Коэфы качество контакта'!$A$2:$E$50,5,FALSE),"")</f>
        <v>0</v>
      </c>
      <c r="O53" s="46">
        <f>IF(I52&gt;0,I53*G53,IFERROR(J53/VLOOKUP(E53,'[2]Коэфы качество контакта'!$A$2:$G$50,7,FALSE),""))</f>
        <v>1440</v>
      </c>
    </row>
    <row r="54" spans="3:16" ht="20.25" customHeight="1" outlineLevel="1" x14ac:dyDescent="0.25">
      <c r="C54" s="192"/>
      <c r="D54" s="12" t="s">
        <v>45</v>
      </c>
      <c r="E54" s="33" t="s">
        <v>46</v>
      </c>
      <c r="F54" s="32">
        <v>120</v>
      </c>
      <c r="G54" s="41">
        <v>0.3</v>
      </c>
      <c r="H54" s="19">
        <v>4000</v>
      </c>
      <c r="I54" s="18"/>
      <c r="J54" s="20" cm="1">
        <f t="array" ref="J54">IFERROR(IF(H54&gt;0,H54*G54,IF(K54&gt;0,G54*K54,IF(L54&gt;0,L54*G54*(1-SUMPRODUCT(([2]Списки!$F$2:$F$20=E54)*[2]Списки!$G$2:$G$20)),G54*I54*SUMPRODUCT(('[2]Коэфы качество контакта'!$A$2:$A$50=E54)*'[2]Коэфы качество контакта'!$G$2:$G$50)))),"")</f>
        <v>1200</v>
      </c>
      <c r="K54" s="45"/>
      <c r="L54" s="44"/>
      <c r="M54" s="18"/>
      <c r="N54" s="40">
        <f>IFERROR(M54*VLOOKUP(E54,'[2]Коэфы качество контакта'!$A$2:$E$50,3,FALSE)*VLOOKUP(E54,'[2]Коэфы качество контакта'!$A$2:$E$50,5,FALSE),"")</f>
        <v>0</v>
      </c>
      <c r="O54" s="46">
        <f>IF(I54&gt;0,I54*G54,IFERROR(J54/VLOOKUP(E54,'[2]Коэфы качество контакта'!$A$2:$G$50,7,FALSE),""))</f>
        <v>240</v>
      </c>
    </row>
    <row r="55" spans="3:16" ht="20.25" customHeight="1" outlineLevel="1" x14ac:dyDescent="0.25">
      <c r="C55" s="192"/>
      <c r="D55" s="12" t="s">
        <v>45</v>
      </c>
      <c r="E55" s="33" t="s">
        <v>80</v>
      </c>
      <c r="F55" s="32"/>
      <c r="G55" s="41"/>
      <c r="H55" s="19"/>
      <c r="I55" s="18"/>
      <c r="J55" s="20" cm="1">
        <f t="array" ref="J55">IFERROR(IF(H55&gt;0,H55*G55,IF(K55&gt;0,G55*K55,IF(L55&gt;0,L55*G55*(1-SUMPRODUCT(([2]Списки!$F$2:$F$20=E55)*[2]Списки!$G$2:$G$20)),G55*I55*SUMPRODUCT(('[2]Коэфы качество контакта'!$A$2:$A$50=E55)*'[2]Коэфы качество контакта'!$G$2:$G$50)))),"")</f>
        <v>0</v>
      </c>
      <c r="K55" s="45"/>
      <c r="L55" s="44"/>
      <c r="M55" s="18"/>
      <c r="N55" s="40">
        <f>IFERROR(M55*VLOOKUP(E55,'[2]Коэфы качество контакта'!$A$2:$E$50,3,FALSE)*VLOOKUP(E55,'[2]Коэфы качество контакта'!$A$2:$E$50,5,FALSE),"")</f>
        <v>0</v>
      </c>
      <c r="O55" s="16">
        <f>IF(I55&gt;0,I55*G55,IFERROR(J55/VLOOKUP(E55,'[2]Коэфы качество контакта'!$A$2:$G$50,7,FALSE),""))</f>
        <v>0</v>
      </c>
    </row>
    <row r="56" spans="3:16" ht="20.25" customHeight="1" outlineLevel="1" x14ac:dyDescent="0.25">
      <c r="C56" s="192"/>
      <c r="D56" s="12" t="s">
        <v>45</v>
      </c>
      <c r="E56" s="33" t="s">
        <v>46</v>
      </c>
      <c r="F56" s="32"/>
      <c r="G56" s="41"/>
      <c r="H56" s="19"/>
      <c r="I56" s="18"/>
      <c r="J56" s="20" cm="1">
        <f t="array" ref="J56">IFERROR(IF(H56&gt;0,H56*G56,IF(K56&gt;0,G56*K56,IF(L56&gt;0,L56*G56*(1-SUMPRODUCT(([2]Списки!$F$2:$F$20=E56)*[2]Списки!$G$2:$G$20)),G56*I56*SUMPRODUCT(('[2]Коэфы качество контакта'!$A$2:$A$50=E56)*'[2]Коэфы качество контакта'!$G$2:$G$50)))),"")</f>
        <v>0</v>
      </c>
      <c r="K56" s="45"/>
      <c r="L56" s="44"/>
      <c r="M56" s="18"/>
      <c r="N56" s="40">
        <f>IFERROR(M56*VLOOKUP(E56,'[2]Коэфы качество контакта'!$A$2:$E$50,3,FALSE)*VLOOKUP(E56,'[2]Коэфы качество контакта'!$A$2:$E$50,5,FALSE),"")</f>
        <v>0</v>
      </c>
      <c r="O56" s="16">
        <f>IF(I56&gt;0,I56*G56,IFERROR(J56/VLOOKUP(E56,'[2]Коэфы качество контакта'!$A$2:$G$50,7,FALSE),""))</f>
        <v>0</v>
      </c>
    </row>
    <row r="57" spans="3:16" ht="19.7" customHeight="1" outlineLevel="1" x14ac:dyDescent="0.25">
      <c r="C57" s="192"/>
      <c r="D57" s="12" t="s">
        <v>45</v>
      </c>
      <c r="E57" s="33"/>
      <c r="F57" s="32"/>
      <c r="G57" s="41"/>
      <c r="H57" s="19"/>
      <c r="I57" s="18"/>
      <c r="J57" s="20" cm="1">
        <f t="array" ref="J57">IFERROR(IF(H57&gt;0,H57*G57,IF(K57&gt;0,G57*K57,IF(L57&gt;0,L57*G57*(1-SUMPRODUCT(([2]Списки!$F$2:$F$20=E57)*[2]Списки!$G$2:$G$20)),G57*I57*SUMPRODUCT(('[2]Коэфы качество контакта'!$A$2:$A$50=E57)*'[2]Коэфы качество контакта'!$G$2:$G$50)))),"")</f>
        <v>0</v>
      </c>
      <c r="K57" s="45"/>
      <c r="L57" s="44"/>
      <c r="M57" s="18"/>
      <c r="N57" s="40" t="str">
        <f>IFERROR(M57*VLOOKUP(E57,'[2]Коэфы качество контакта'!$A$2:$E$50,3,FALSE)*VLOOKUP(E57,'[2]Коэфы качество контакта'!$A$2:$E$50,5,FALSE),"")</f>
        <v/>
      </c>
      <c r="O57" s="16" t="str">
        <f>IF(I57&gt;0,I57*G57,IFERROR(J57/VLOOKUP(E57,'[2]Коэфы качество контакта'!$A$2:$G$50,7,FALSE),""))</f>
        <v/>
      </c>
    </row>
    <row r="58" spans="3:16" ht="19.7" customHeight="1" outlineLevel="1" x14ac:dyDescent="0.25">
      <c r="C58" s="192"/>
      <c r="D58" s="12" t="s">
        <v>45</v>
      </c>
      <c r="E58" s="33"/>
      <c r="F58" s="32"/>
      <c r="G58" s="41"/>
      <c r="H58" s="19"/>
      <c r="I58" s="18"/>
      <c r="J58" s="20" cm="1">
        <f t="array" ref="J58">IFERROR(IF(H58&gt;0,H58*G58,IF(K58&gt;0,G58*K58,IF(L58&gt;0,L58*G58*(1-SUMPRODUCT(([2]Списки!$F$2:$F$20=E58)*[2]Списки!$G$2:$G$20)),G58*I58*SUMPRODUCT(('[2]Коэфы качество контакта'!$A$2:$A$50=E58)*'[2]Коэфы качество контакта'!$G$2:$G$50)))),"")</f>
        <v>0</v>
      </c>
      <c r="K58" s="45"/>
      <c r="L58" s="44"/>
      <c r="M58" s="18"/>
      <c r="N58" s="40" t="str">
        <f>IFERROR(M58*VLOOKUP(E58,'[2]Коэфы качество контакта'!$A$2:$E$50,3,FALSE)*VLOOKUP(E58,'[2]Коэфы качество контакта'!$A$2:$E$50,5,FALSE),"")</f>
        <v/>
      </c>
      <c r="O58" s="16" t="str">
        <f>IF(I58&gt;0,I58*G58,IFERROR(J58/VLOOKUP(E58,'[2]Коэфы качество контакта'!$A$2:$G$50,7,FALSE),""))</f>
        <v/>
      </c>
    </row>
    <row r="59" spans="3:16" ht="19.7" customHeight="1" outlineLevel="1" x14ac:dyDescent="0.25">
      <c r="C59" s="192"/>
      <c r="D59" s="12" t="s">
        <v>45</v>
      </c>
      <c r="E59" s="33"/>
      <c r="F59" s="32"/>
      <c r="G59" s="41"/>
      <c r="H59" s="19"/>
      <c r="I59" s="18"/>
      <c r="J59" s="20" cm="1">
        <f t="array" ref="J59">IFERROR(IF(H59&gt;0,H59*G59,IF(K59&gt;0,G59*K59,IF(L59&gt;0,L59*G59*(1-SUMPRODUCT(([2]Списки!$F$2:$F$20=E59)*[2]Списки!$G$2:$G$20)),G59*I59*SUMPRODUCT(('[2]Коэфы качество контакта'!$A$2:$A$50=E59)*'[2]Коэфы качество контакта'!$G$2:$G$50)))),"")</f>
        <v>0</v>
      </c>
      <c r="K59" s="45"/>
      <c r="L59" s="44"/>
      <c r="M59" s="18"/>
      <c r="N59" s="40" t="str">
        <f>IFERROR(M59*VLOOKUP(E59,'[2]Коэфы качество контакта'!$A$2:$E$50,3,FALSE)*VLOOKUP(E59,'[2]Коэфы качество контакта'!$A$2:$E$50,5,FALSE),"")</f>
        <v/>
      </c>
      <c r="O59" s="16" t="str">
        <f>IF(I59&gt;0,I59*G59,IFERROR(J59/VLOOKUP(E59,'[2]Коэфы качество контакта'!$A$2:$G$50,7,FALSE),""))</f>
        <v/>
      </c>
    </row>
    <row r="60" spans="3:16" ht="19.7" customHeight="1" outlineLevel="1" x14ac:dyDescent="0.25">
      <c r="C60" s="192"/>
      <c r="D60" s="12" t="s">
        <v>45</v>
      </c>
      <c r="E60" s="33"/>
      <c r="F60" s="32"/>
      <c r="G60" s="41"/>
      <c r="H60" s="19"/>
      <c r="I60" s="18"/>
      <c r="J60" s="20" cm="1">
        <f t="array" ref="J60">IFERROR(IF(H60&gt;0,H60*G60,IF(K60&gt;0,G60*K60,IF(L60&gt;0,L60*G60*(1-SUMPRODUCT(([2]Списки!$F$2:$F$20=E60)*[2]Списки!$G$2:$G$20)),G60*I60*SUMPRODUCT(('[2]Коэфы качество контакта'!$A$2:$A$50=E60)*'[2]Коэфы качество контакта'!$G$2:$G$50)))),"")</f>
        <v>0</v>
      </c>
      <c r="K60" s="45"/>
      <c r="L60" s="44"/>
      <c r="M60" s="18"/>
      <c r="N60" s="40" t="str">
        <f>IFERROR(M60*VLOOKUP(E60,'[2]Коэфы качество контакта'!$A$2:$E$50,3,FALSE)*VLOOKUP(E60,'[2]Коэфы качество контакта'!$A$2:$E$50,5,FALSE),"")</f>
        <v/>
      </c>
      <c r="O60" s="16" t="str">
        <f>IF(I60&gt;0,I60*G60,IFERROR(J60/VLOOKUP(E60,'[2]Коэфы качество контакта'!$A$2:$G$50,7,FALSE),""))</f>
        <v/>
      </c>
    </row>
    <row r="61" spans="3:16" ht="44.25" customHeight="1" x14ac:dyDescent="0.25">
      <c r="C61" s="192"/>
      <c r="D61" s="27" t="s">
        <v>43</v>
      </c>
      <c r="E61" s="124"/>
      <c r="F61" s="27"/>
      <c r="G61" s="123"/>
      <c r="H61" s="122"/>
      <c r="I61" s="114"/>
      <c r="J61" s="121">
        <f>SUM(J62:J67)</f>
        <v>1100</v>
      </c>
      <c r="K61" s="114" t="s">
        <v>93</v>
      </c>
      <c r="L61" s="114" t="s">
        <v>75</v>
      </c>
      <c r="M61" s="114" t="s">
        <v>42</v>
      </c>
      <c r="N61" s="120"/>
      <c r="O61" s="125">
        <f>IF(J61&gt;0,J61/1,IF((SUM(O62:O67)*0.6)&gt;MAX(O62:O67),MAX(O62:O67),(SUM(O62:O67)*0.6)))</f>
        <v>1100</v>
      </c>
    </row>
    <row r="62" spans="3:16" ht="20.25" customHeight="1" outlineLevel="1" x14ac:dyDescent="0.25">
      <c r="C62" s="192"/>
      <c r="D62" s="11" t="s">
        <v>43</v>
      </c>
      <c r="E62" s="33" t="s">
        <v>44</v>
      </c>
      <c r="F62" s="32">
        <v>120</v>
      </c>
      <c r="G62" s="41">
        <v>1</v>
      </c>
      <c r="H62" s="19"/>
      <c r="I62" s="18">
        <v>1100</v>
      </c>
      <c r="J62" s="20" cm="1">
        <f t="array" ref="J62">IF(I62&gt;0,I62,IF(H62&gt;0,H62*G62,IF(K62&lt;&gt;"",K62*G62,G62*SUMPRODUCT(([2]Списки!$S$2:$S$17=Москва!L62)*[2]Списки!$T$2:$T$17)/1000)))</f>
        <v>1100</v>
      </c>
      <c r="K62" s="19"/>
      <c r="L62" s="18"/>
      <c r="M62" s="43"/>
      <c r="N62" s="40"/>
      <c r="O62" s="16">
        <f t="shared" ref="O62:O67" si="0">IF(I62&gt;0,I62*G62,J62/1)</f>
        <v>1100</v>
      </c>
    </row>
    <row r="63" spans="3:16" ht="20.25" customHeight="1" outlineLevel="1" x14ac:dyDescent="0.25">
      <c r="C63" s="192"/>
      <c r="D63" s="11" t="s">
        <v>43</v>
      </c>
      <c r="E63" s="33" t="s">
        <v>92</v>
      </c>
      <c r="F63" s="32"/>
      <c r="G63" s="41"/>
      <c r="H63" s="19"/>
      <c r="I63" s="18"/>
      <c r="J63" s="20" cm="1">
        <f t="array" ref="J63">IF(I63&gt;0,I63,IF(H63&gt;0,H63*G63,IF(K63&lt;&gt;"",K63*G63,G63*SUMPRODUCT(([2]Списки!$S$2:$S$17=Москва!L63)*[2]Списки!$T$2:$T$17)/1000)))</f>
        <v>0</v>
      </c>
      <c r="K63" s="19"/>
      <c r="L63" s="18"/>
      <c r="M63" s="43"/>
      <c r="N63" s="40"/>
      <c r="O63" s="16">
        <f t="shared" si="0"/>
        <v>0</v>
      </c>
    </row>
    <row r="64" spans="3:16" ht="20.25" customHeight="1" outlineLevel="1" x14ac:dyDescent="0.25">
      <c r="C64" s="192"/>
      <c r="D64" s="11" t="s">
        <v>43</v>
      </c>
      <c r="E64" s="33" t="s">
        <v>91</v>
      </c>
      <c r="F64" s="32"/>
      <c r="G64" s="41"/>
      <c r="H64" s="19"/>
      <c r="I64" s="18"/>
      <c r="J64" s="20" cm="1">
        <f t="array" ref="J64">IF(I64&gt;0,I64,IF(H64&gt;0,H64*G64,IF(K64&lt;&gt;"",K64*G64,G64*SUMPRODUCT(([2]Списки!$S$2:$S$17=Москва!L64)*[2]Списки!$T$2:$T$17)/1000)))</f>
        <v>0</v>
      </c>
      <c r="K64" s="19"/>
      <c r="L64" s="18"/>
      <c r="M64" s="43"/>
      <c r="N64" s="40"/>
      <c r="O64" s="16">
        <f t="shared" si="0"/>
        <v>0</v>
      </c>
    </row>
    <row r="65" spans="2:16" ht="20.25" customHeight="1" outlineLevel="1" x14ac:dyDescent="0.25">
      <c r="C65" s="192"/>
      <c r="D65" s="11" t="s">
        <v>43</v>
      </c>
      <c r="E65" s="33"/>
      <c r="F65" s="32"/>
      <c r="G65" s="41"/>
      <c r="H65" s="19"/>
      <c r="I65" s="18"/>
      <c r="J65" s="20" cm="1">
        <f t="array" ref="J65">IF(I65&gt;0,I65,IF(H65&gt;0,H65*G65,IF(K65&lt;&gt;"",K65*G65,G65*SUMPRODUCT(([2]Списки!$S$2:$S$17=Москва!L65)*[2]Списки!$T$2:$T$17)/1000)))</f>
        <v>0</v>
      </c>
      <c r="K65" s="19"/>
      <c r="L65" s="18"/>
      <c r="M65" s="43"/>
      <c r="N65" s="40"/>
      <c r="O65" s="16">
        <f t="shared" si="0"/>
        <v>0</v>
      </c>
    </row>
    <row r="66" spans="2:16" ht="20.25" customHeight="1" outlineLevel="1" x14ac:dyDescent="0.25">
      <c r="C66" s="192"/>
      <c r="D66" s="11" t="s">
        <v>43</v>
      </c>
      <c r="E66" s="33"/>
      <c r="F66" s="32"/>
      <c r="G66" s="41"/>
      <c r="H66" s="19"/>
      <c r="I66" s="18"/>
      <c r="J66" s="20" cm="1">
        <f t="array" ref="J66">IF(I66&gt;0,I66,IF(H66&gt;0,H66*G66,IF(K66&lt;&gt;"",K66*G66,G66*SUMPRODUCT(([2]Списки!$S$2:$S$17=Москва!L66)*[2]Списки!$T$2:$T$17)/1000)))</f>
        <v>0</v>
      </c>
      <c r="K66" s="19"/>
      <c r="L66" s="18"/>
      <c r="M66" s="43"/>
      <c r="N66" s="40"/>
      <c r="O66" s="16">
        <f t="shared" si="0"/>
        <v>0</v>
      </c>
    </row>
    <row r="67" spans="2:16" ht="20.25" customHeight="1" outlineLevel="1" x14ac:dyDescent="0.25">
      <c r="C67" s="192"/>
      <c r="D67" s="11" t="s">
        <v>43</v>
      </c>
      <c r="E67" s="33"/>
      <c r="F67" s="32"/>
      <c r="G67" s="41"/>
      <c r="H67" s="19"/>
      <c r="I67" s="18"/>
      <c r="J67" s="20" cm="1">
        <f t="array" ref="J67">IF(I67&gt;0,I67,IF(H67&gt;0,H67*G67,IF(K67&lt;&gt;"",K67*G67,G67*SUMPRODUCT(([2]Списки!$S$2:$S$17=Москва!L67)*[2]Списки!$T$2:$T$17)/1000)))</f>
        <v>0</v>
      </c>
      <c r="K67" s="19"/>
      <c r="L67" s="18"/>
      <c r="M67" s="43"/>
      <c r="N67" s="40"/>
      <c r="O67" s="16">
        <f t="shared" si="0"/>
        <v>0</v>
      </c>
    </row>
    <row r="68" spans="2:16" ht="28.7" customHeight="1" x14ac:dyDescent="0.25">
      <c r="C68" s="192"/>
      <c r="D68" s="27" t="s">
        <v>39</v>
      </c>
      <c r="E68" s="124"/>
      <c r="F68" s="27"/>
      <c r="G68" s="123"/>
      <c r="H68" s="122"/>
      <c r="I68" s="114"/>
      <c r="J68" s="121">
        <f>SUM(J69:J74)</f>
        <v>5000</v>
      </c>
      <c r="K68" s="114" t="s">
        <v>90</v>
      </c>
      <c r="L68" s="114" t="s">
        <v>75</v>
      </c>
      <c r="M68" s="114" t="s">
        <v>42</v>
      </c>
      <c r="N68" s="120"/>
      <c r="O68" s="25">
        <f>IF(J68&gt;0,J68/1.5,(1-(1-(O69/$E$3*0.5))*(1-(O70/$E$3*0.5))*(1-(O71/$E$3*0.5))*(1-(O72/$E$3*0.5))*(1-(O73/$E$3*0.5))*(1-(O74/$E$3*0.5)))*$E$3)</f>
        <v>3333.3333333333335</v>
      </c>
      <c r="P68" s="24"/>
    </row>
    <row r="69" spans="2:16" ht="20.25" customHeight="1" outlineLevel="1" x14ac:dyDescent="0.25">
      <c r="C69" s="192"/>
      <c r="D69" s="42" t="s">
        <v>39</v>
      </c>
      <c r="E69" s="33" t="s">
        <v>41</v>
      </c>
      <c r="F69" s="32">
        <v>120</v>
      </c>
      <c r="G69" s="41">
        <v>0.5</v>
      </c>
      <c r="H69" s="19">
        <v>10000</v>
      </c>
      <c r="I69" s="18"/>
      <c r="J69" s="20" cm="1">
        <f t="array" ref="J69">IF(I69&gt;0,I69*1.5,IF(H69&gt;0,H69*G69,IF(K69&lt;&gt;"",K69*G69,G69*SUMPRODUCT(([2]Списки!$S$2:$S$17=Москва!L69)*[2]Списки!$T$2:$T$17)/1000)*(1-SUMPRODUCT(([2]Списки!$I$2:$I$7=Москва!E69)*[2]Списки!$J$2:$J$7))))</f>
        <v>5000</v>
      </c>
      <c r="K69" s="18"/>
      <c r="L69" s="18" t="s">
        <v>40</v>
      </c>
      <c r="M69" s="18">
        <v>1</v>
      </c>
      <c r="N69" s="40"/>
      <c r="O69" s="16">
        <f t="shared" ref="O69:O74" si="1">IF(I69&gt;0,I69*G69,J69/1.5)</f>
        <v>3333.3333333333335</v>
      </c>
    </row>
    <row r="70" spans="2:16" ht="20.25" customHeight="1" outlineLevel="1" x14ac:dyDescent="0.25">
      <c r="C70" s="192"/>
      <c r="D70" s="42" t="s">
        <v>39</v>
      </c>
      <c r="E70" s="33" t="s">
        <v>89</v>
      </c>
      <c r="F70" s="32"/>
      <c r="G70" s="41"/>
      <c r="H70" s="19"/>
      <c r="I70" s="18"/>
      <c r="J70" s="20" cm="1">
        <f t="array" ref="J70">IF(I70&gt;0,I70*1.5,IF(H70&gt;0,H70*G70,IF(K70&lt;&gt;"",K70*G70,G70*SUMPRODUCT(([2]Списки!$S$2:$S$17=Москва!L70)*[2]Списки!$T$2:$T$17)/1000)*(1-SUMPRODUCT(([2]Списки!$I$2:$I$7=Москва!E70)*[2]Списки!$J$2:$J$7))))</f>
        <v>0</v>
      </c>
      <c r="K70" s="18"/>
      <c r="L70" s="18"/>
      <c r="M70" s="18">
        <v>1</v>
      </c>
      <c r="N70" s="40"/>
      <c r="O70" s="16">
        <f t="shared" si="1"/>
        <v>0</v>
      </c>
    </row>
    <row r="71" spans="2:16" ht="20.25" customHeight="1" outlineLevel="1" x14ac:dyDescent="0.25">
      <c r="C71" s="192"/>
      <c r="D71" s="42" t="s">
        <v>39</v>
      </c>
      <c r="E71" s="33" t="s">
        <v>88</v>
      </c>
      <c r="F71" s="32"/>
      <c r="G71" s="41"/>
      <c r="H71" s="19"/>
      <c r="I71" s="18"/>
      <c r="J71" s="20" cm="1">
        <f t="array" ref="J71">IF(I71&gt;0,I71*1.5,IF(H71&gt;0,H71*G71,IF(K71&lt;&gt;"",K71*G71,G71*SUMPRODUCT(([2]Списки!$S$2:$S$17=Москва!L71)*[2]Списки!$T$2:$T$17)/1000)*(1-SUMPRODUCT(([2]Списки!$I$2:$I$7=Москва!E71)*[2]Списки!$J$2:$J$7))))</f>
        <v>0</v>
      </c>
      <c r="K71" s="18"/>
      <c r="L71" s="18"/>
      <c r="M71" s="18">
        <v>1</v>
      </c>
      <c r="N71" s="40"/>
      <c r="O71" s="16">
        <f t="shared" si="1"/>
        <v>0</v>
      </c>
    </row>
    <row r="72" spans="2:16" ht="20.25" customHeight="1" outlineLevel="1" x14ac:dyDescent="0.25">
      <c r="C72" s="192"/>
      <c r="D72" s="42" t="s">
        <v>39</v>
      </c>
      <c r="E72" s="33" t="s">
        <v>87</v>
      </c>
      <c r="F72" s="32"/>
      <c r="G72" s="41"/>
      <c r="H72" s="19"/>
      <c r="I72" s="18"/>
      <c r="J72" s="20" cm="1">
        <f t="array" ref="J72">IF(I72&gt;0,I72*1.5,IF(H72&gt;0,H72*G72,IF(K72&lt;&gt;"",K72*G72,G72*SUMPRODUCT(([2]Списки!$S$2:$S$17=Москва!L72)*[2]Списки!$T$2:$T$17)/1000)*(1-SUMPRODUCT(([2]Списки!$I$2:$I$7=Москва!E72)*[2]Списки!$J$2:$J$7))))</f>
        <v>0</v>
      </c>
      <c r="K72" s="18"/>
      <c r="L72" s="18"/>
      <c r="M72" s="18">
        <v>1</v>
      </c>
      <c r="N72" s="40"/>
      <c r="O72" s="16">
        <f t="shared" si="1"/>
        <v>0</v>
      </c>
    </row>
    <row r="73" spans="2:16" ht="20.25" customHeight="1" outlineLevel="1" x14ac:dyDescent="0.25">
      <c r="C73" s="192"/>
      <c r="D73" s="42" t="s">
        <v>39</v>
      </c>
      <c r="E73" s="33" t="s">
        <v>86</v>
      </c>
      <c r="F73" s="32"/>
      <c r="G73" s="41"/>
      <c r="H73" s="19"/>
      <c r="I73" s="18"/>
      <c r="J73" s="20" cm="1">
        <f t="array" ref="J73">IF(I73&gt;0,I73*1.5,IF(H73&gt;0,H73*G73,IF(K73&lt;&gt;"",K73*G73,G73*SUMPRODUCT(([2]Списки!$S$2:$S$17=Москва!L73)*[2]Списки!$T$2:$T$17)/1000)*(1-SUMPRODUCT(([2]Списки!$I$2:$I$7=Москва!E73)*[2]Списки!$J$2:$J$7))))</f>
        <v>0</v>
      </c>
      <c r="K73" s="18"/>
      <c r="L73" s="18"/>
      <c r="M73" s="18">
        <v>1</v>
      </c>
      <c r="N73" s="40"/>
      <c r="O73" s="16">
        <f t="shared" si="1"/>
        <v>0</v>
      </c>
    </row>
    <row r="74" spans="2:16" ht="20.25" customHeight="1" outlineLevel="1" x14ac:dyDescent="0.25">
      <c r="C74" s="192"/>
      <c r="D74" s="42" t="s">
        <v>39</v>
      </c>
      <c r="E74" s="33" t="s">
        <v>85</v>
      </c>
      <c r="F74" s="32"/>
      <c r="G74" s="41"/>
      <c r="H74" s="19"/>
      <c r="I74" s="18"/>
      <c r="J74" s="20" cm="1">
        <f t="array" ref="J74">IF(I74&gt;0,I74*1.5,IF(H74&gt;0,H74*G74,IF(K74&lt;&gt;"",K74*G74,G74*SUMPRODUCT(([2]Списки!$S$2:$S$17=Москва!L74)*[2]Списки!$T$2:$T$17)/1000)*(1-SUMPRODUCT(([2]Списки!$I$2:$I$7=Москва!E74)*[2]Списки!$J$2:$J$7))))</f>
        <v>0</v>
      </c>
      <c r="K74" s="18"/>
      <c r="L74" s="18"/>
      <c r="M74" s="18">
        <v>1</v>
      </c>
      <c r="N74" s="40"/>
      <c r="O74" s="16">
        <f t="shared" si="1"/>
        <v>0</v>
      </c>
    </row>
    <row r="75" spans="2:16" ht="20.25" customHeight="1" x14ac:dyDescent="0.25">
      <c r="B75" s="87">
        <v>5</v>
      </c>
      <c r="C75" s="193" t="s">
        <v>38</v>
      </c>
      <c r="D75" s="27" t="s">
        <v>36</v>
      </c>
      <c r="E75" s="118"/>
      <c r="F75" s="117"/>
      <c r="G75" s="116"/>
      <c r="H75" s="115"/>
      <c r="I75" s="113"/>
      <c r="J75" s="34">
        <f>SUM(J76:J79)</f>
        <v>90</v>
      </c>
      <c r="K75" s="113"/>
      <c r="L75" s="113"/>
      <c r="M75" s="113"/>
      <c r="N75" s="112"/>
      <c r="O75" s="25">
        <f>IF(IF(COUNTIF($O$76:$O$79,"&gt;0")&gt;1,(1-(1-($O$76/$E$8))*(1-($O$77/$E$8))*(1-($O$78/$E$8))*(1-($O$79/$E$8)))*$E$8,SUM($O$76:$O$79))&gt;$E$8,E8,IF(COUNTIF($O$76:$O$79,"&gt;0")&gt;1,(1-(1-($O$76/$E$8))*(1-($O$77/$E$8))*(1-($O$78/$E$8))*(1-($O$79/$E$8)))*$E$8,SUM($O$76:$O$79)))</f>
        <v>30</v>
      </c>
    </row>
    <row r="76" spans="2:16" ht="19.7" customHeight="1" outlineLevel="1" x14ac:dyDescent="0.25">
      <c r="C76" s="194"/>
      <c r="D76" s="12" t="s">
        <v>36</v>
      </c>
      <c r="E76" s="33" t="s">
        <v>37</v>
      </c>
      <c r="F76" s="32">
        <v>28</v>
      </c>
      <c r="G76" s="21">
        <v>1</v>
      </c>
      <c r="H76" s="19">
        <v>90</v>
      </c>
      <c r="I76" s="18"/>
      <c r="J76" s="30" cm="1">
        <f t="array" ref="J76">IF(H76&gt;0,H76*G76,G76*SUMPRODUCT(('[2]Коэфы брендирование'!$P$2:$P$5=Москва!E76)*'[2]Коэфы брендирование'!$Q$2:$Q$5)*$E$8)</f>
        <v>90</v>
      </c>
      <c r="K76" s="18"/>
      <c r="L76" s="39"/>
      <c r="M76" s="18">
        <v>0</v>
      </c>
      <c r="N76" s="17"/>
      <c r="O76" s="16" cm="1">
        <f t="array" ref="O76">IFERROR(IF(I76&gt;0,I76*G76,J76/SUMPRODUCT(('[2]Коэфы брендирование'!$P$2:$P$996=Москва!$E76)*'[2]Коэфы брендирование'!$R$2:$R$996)),"-")</f>
        <v>30</v>
      </c>
    </row>
    <row r="77" spans="2:16" ht="20.25" customHeight="1" outlineLevel="1" x14ac:dyDescent="0.25">
      <c r="C77" s="194"/>
      <c r="D77" s="12" t="s">
        <v>36</v>
      </c>
      <c r="E77" s="33" t="s">
        <v>84</v>
      </c>
      <c r="F77" s="32"/>
      <c r="G77" s="21"/>
      <c r="H77" s="19"/>
      <c r="I77" s="18"/>
      <c r="J77" s="30" cm="1">
        <f t="array" ref="J77">IF(H77&gt;0,H77*G77,G77*SUMPRODUCT(('[2]Коэфы брендирование'!$P$2:$P$5=Москва!E77)*'[2]Коэфы брендирование'!$Q$2:$Q$5)*$E$8)</f>
        <v>0</v>
      </c>
      <c r="K77" s="18"/>
      <c r="L77" s="39"/>
      <c r="M77" s="18"/>
      <c r="N77" s="17"/>
      <c r="O77" s="16" cm="1">
        <f t="array" ref="O77">IFERROR(IF(I77&gt;0,I77*G77,J77/SUMPRODUCT(('[2]Коэфы брендирование'!$P$2:$P$996=Москва!$E77)*'[2]Коэфы брендирование'!$R$2:$R$996)),"-")</f>
        <v>0</v>
      </c>
    </row>
    <row r="78" spans="2:16" ht="28.35" customHeight="1" outlineLevel="1" x14ac:dyDescent="0.25">
      <c r="C78" s="194"/>
      <c r="D78" s="12" t="s">
        <v>36</v>
      </c>
      <c r="E78" s="33" t="s">
        <v>83</v>
      </c>
      <c r="F78" s="32"/>
      <c r="G78" s="21"/>
      <c r="H78" s="19"/>
      <c r="I78" s="18"/>
      <c r="J78" s="30" cm="1">
        <f t="array" ref="J78">IF(H78&gt;0,H78*G78,G78*SUMPRODUCT(('[2]Коэфы брендирование'!$P$2:$P$5=Москва!E78)*'[2]Коэфы брендирование'!$Q$2:$Q$5)*$E$8)</f>
        <v>0</v>
      </c>
      <c r="K78" s="18"/>
      <c r="L78" s="39"/>
      <c r="M78" s="18"/>
      <c r="N78" s="17"/>
      <c r="O78" s="16" cm="1">
        <f t="array" ref="O78">IFERROR(IF(I78&gt;0,I78*G78,J78/SUMPRODUCT(('[2]Коэфы брендирование'!$P$2:$P$996=Москва!$E78)*'[2]Коэфы брендирование'!$R$2:$R$996)),"-")</f>
        <v>0</v>
      </c>
    </row>
    <row r="79" spans="2:16" ht="20.25" customHeight="1" outlineLevel="1" x14ac:dyDescent="0.25">
      <c r="C79" s="194"/>
      <c r="D79" s="12" t="s">
        <v>36</v>
      </c>
      <c r="E79" s="33" t="s">
        <v>82</v>
      </c>
      <c r="F79" s="32"/>
      <c r="G79" s="21"/>
      <c r="H79" s="19"/>
      <c r="I79" s="18"/>
      <c r="J79" s="30" cm="1">
        <f t="array" ref="J79">IF(H79&gt;0,H79*G79,G79*SUMPRODUCT(('[2]Коэфы брендирование'!$P$2:$P$5=Москва!E79)*'[2]Коэфы брендирование'!$Q$2:$Q$5)*$E$8)</f>
        <v>0</v>
      </c>
      <c r="K79" s="18"/>
      <c r="L79" s="39"/>
      <c r="M79" s="18"/>
      <c r="N79" s="17"/>
      <c r="O79" s="16" cm="1">
        <f t="array" ref="O79">IFERROR(IF(I79&gt;0,I79*G79,J79/SUMPRODUCT(('[2]Коэфы брендирование'!$P$2:$P$996=Москва!$E79)*'[2]Коэфы брендирование'!$R$2:$R$996)),"-")</f>
        <v>0</v>
      </c>
    </row>
    <row r="80" spans="2:16" ht="20.25" customHeight="1" x14ac:dyDescent="0.25">
      <c r="C80" s="194"/>
      <c r="D80" s="27" t="s">
        <v>80</v>
      </c>
      <c r="E80" s="118"/>
      <c r="F80" s="117"/>
      <c r="G80" s="116"/>
      <c r="H80" s="115"/>
      <c r="I80" s="113"/>
      <c r="J80" s="34">
        <f>SUM(J81:J82)</f>
        <v>0</v>
      </c>
      <c r="K80" s="113"/>
      <c r="L80" s="113"/>
      <c r="M80" s="113"/>
      <c r="N80" s="112"/>
      <c r="O80" s="25">
        <f>IF(IF(COUNTIF($O$81:$O$82,"&gt;0")&gt;1,(1-(1-($O$81/$E$8))*(1-($O$82/$E$8)))*$E$8,SUM($O$81:$O$82))&gt;$E$8,E8,IF(COUNTIF($O$81:$O$82,"&gt;0")&gt;1,(1-(1-($O$81/$E$8))*(1-($O$82/$E$8))*(1-($O$81/$E$8))*(1-($O$82/$E$8)))*$E$8,SUM($O$81:$O$82)))</f>
        <v>0</v>
      </c>
    </row>
    <row r="81" spans="3:15" ht="20.45" customHeight="1" outlineLevel="1" x14ac:dyDescent="0.25">
      <c r="C81" s="194"/>
      <c r="D81" s="12" t="s">
        <v>80</v>
      </c>
      <c r="E81" s="33" t="s">
        <v>81</v>
      </c>
      <c r="F81" s="32"/>
      <c r="G81" s="21"/>
      <c r="H81" s="19"/>
      <c r="I81" s="18"/>
      <c r="J81" s="30" cm="1">
        <f t="array" ref="J81">IF(H81&gt;0,H81*G81,G81*SUMPRODUCT(('[2]Коэфы брендирование'!$A$2:$A$3=Москва!E81)*'[2]Коэфы брендирование'!$B$2:$B$3)*$E$8)</f>
        <v>0</v>
      </c>
      <c r="K81" s="18"/>
      <c r="L81" s="39"/>
      <c r="M81" s="18"/>
      <c r="N81" s="17"/>
      <c r="O81" s="16" cm="1">
        <f t="array" ref="O81">IFERROR(IF(I81&gt;0,I81*G81,J81/SUMPRODUCT(('[2]Коэфы брендирование'!$A$2:$A$996=Москва!$E81)*'[2]Коэфы брендирование'!$C$2:$C$996)),"-")</f>
        <v>0</v>
      </c>
    </row>
    <row r="82" spans="3:15" ht="20.25" customHeight="1" outlineLevel="1" x14ac:dyDescent="0.25">
      <c r="C82" s="194"/>
      <c r="D82" s="12" t="s">
        <v>80</v>
      </c>
      <c r="E82" s="33" t="s">
        <v>79</v>
      </c>
      <c r="F82" s="32"/>
      <c r="G82" s="21"/>
      <c r="H82" s="19"/>
      <c r="I82" s="18"/>
      <c r="J82" s="30" cm="1">
        <f t="array" ref="J82">IF(H82&gt;0,H82*G82,G82*SUMPRODUCT(('[2]Коэфы брендирование'!$A$2:$A$3=Москва!E82)*'[2]Коэфы брендирование'!$B$2:$B$3)*$E$8)</f>
        <v>0</v>
      </c>
      <c r="K82" s="18"/>
      <c r="L82" s="39"/>
      <c r="M82" s="18"/>
      <c r="N82" s="17"/>
      <c r="O82" s="16" cm="1">
        <f t="array" ref="O82">IFERROR(IF(I82&gt;0,I82*G82,J82/SUMPRODUCT(('[2]Коэфы брендирование'!$A$2:$A$996=Москва!$E82)*'[2]Коэфы брендирование'!$C$2:$C$996)),"-")</f>
        <v>0</v>
      </c>
    </row>
    <row r="83" spans="3:15" ht="20.25" customHeight="1" x14ac:dyDescent="0.25">
      <c r="C83" s="194"/>
      <c r="D83" s="27" t="s">
        <v>25</v>
      </c>
      <c r="E83" s="118"/>
      <c r="F83" s="117"/>
      <c r="G83" s="116"/>
      <c r="H83" s="115"/>
      <c r="I83" s="113"/>
      <c r="J83" s="34">
        <f>SUM(J84:J105)</f>
        <v>900</v>
      </c>
      <c r="K83" s="113"/>
      <c r="L83" s="113"/>
      <c r="M83" s="113"/>
      <c r="N83" s="112"/>
      <c r="O83" s="25">
        <f>IF(IF(COUNTIF($O$84:$O$105,"&gt;0")&gt;1,(1-(1-($O$84/$E$8))*(1-($O$85/$E$8))*(1-($O$86/$E$8))*(1-($O$87/$E$8))*(1-($O$88/$E$8))*(1-($O$89/$E$8))*(1-($O$90/$E$8))*(1-($O$91/$E$8))*(1-($O$92/$E$8))*(1-($O$93/$E$8))*(1-($O$94/$E$8))*(1-($O$95/$E$8))*(1-($O$96/$E$8))*(1-($O$97/$E$8))*(1-($O$98/$E$8))*(1-($O$99/$E$8))*(1-($O$100/$E$8))*(1-($O$101/$E$8))*(1-($O$102/$E$8))*(1-($O$103/$E$8))*(1-($O$104/$E$8))*(1-($O$105/$E$8)))*$E$8,SUM($O$84:$O$105))&gt;$E$8,E8,IF(COUNTIF($O$84:$O$105,"&gt;0")&gt;1,(1-(1-($O$84/$E$8))*(1-($O$85/$E$8))*(1-($O$86/$E$8))*(1-($O$87/$E$8))*(1-($O$88/$E$8))*(1-($O$89/$E$8))*(1-($O$90/$E$8))*(1-($O$91/$E$8))*(1-($O$92/$E$8))*(1-($O$93/$E$8))*(1-($O$94/$E$8))*(1-($O$95/$E$8))*(1-($O$96/$E$8))*(1-($O$97/$E$8))*(1-($O$98/$E$8))*(1-($O$99/$E$8))*(1-($O$100/$E$8))*(1-($O$101/$E$8))*(1-($O$102/$E$8))*(1-($O$103/$E$8))*(1-($O$104/$E$8))*(1-($O$105/$E$8)))*$E$8,SUM($O$84:$O$105)))</f>
        <v>90</v>
      </c>
    </row>
    <row r="84" spans="3:15" ht="20.25" customHeight="1" outlineLevel="1" x14ac:dyDescent="0.25">
      <c r="C84" s="194"/>
      <c r="D84" s="12" t="s">
        <v>25</v>
      </c>
      <c r="E84" s="33" t="s">
        <v>35</v>
      </c>
      <c r="F84" s="32">
        <v>28</v>
      </c>
      <c r="G84" s="21">
        <v>1</v>
      </c>
      <c r="H84" s="19">
        <v>90</v>
      </c>
      <c r="I84" s="18"/>
      <c r="J84" s="30" cm="1">
        <f t="array" ref="J84">IF(H84&gt;0,H84*G84,G84*SUMPRODUCT(('[2]Коэфы брендирование'!$D$2:$D$23=Москва!E84)*'[2]Коэфы брендирование'!$E$2:$E$23)*$E$8*(1-SUMPRODUCT(([2]Списки!$W$2:$W$5=Москва!$E$5)*[2]Списки!$X$2:$X$5)))</f>
        <v>90</v>
      </c>
      <c r="K84" s="18"/>
      <c r="L84" s="39"/>
      <c r="M84" s="18"/>
      <c r="N84" s="17"/>
      <c r="O84" s="38" cm="1">
        <f t="array" ref="O84">IFERROR(IF(I84&gt;0,I84*G84,J84/SUMPRODUCT(('[2]Коэфы брендирование'!$D$2:$D$993=Москва!$E84)*'[2]Коэфы брендирование'!$F$2:$F$993)),0)</f>
        <v>30</v>
      </c>
    </row>
    <row r="85" spans="3:15" ht="20.25" customHeight="1" outlineLevel="1" x14ac:dyDescent="0.25">
      <c r="C85" s="194"/>
      <c r="D85" s="12" t="s">
        <v>25</v>
      </c>
      <c r="E85" s="33" t="s">
        <v>34</v>
      </c>
      <c r="F85" s="32">
        <v>28</v>
      </c>
      <c r="G85" s="21">
        <v>1</v>
      </c>
      <c r="H85" s="19">
        <v>90</v>
      </c>
      <c r="I85" s="18"/>
      <c r="J85" s="30" cm="1">
        <f t="array" ref="J85">IF(H85&gt;0,H85*G85,G85*SUMPRODUCT(('[2]Коэфы брендирование'!$D$2:$D$23=Москва!E85)*'[2]Коэфы брендирование'!$E$2:$E$23)*$E$8*(1-SUMPRODUCT(([2]Списки!$W$2:$W$5=Москва!$E$5)*[2]Списки!$X$2:$X$5)))</f>
        <v>90</v>
      </c>
      <c r="K85" s="18"/>
      <c r="L85" s="39"/>
      <c r="M85" s="18"/>
      <c r="N85" s="17"/>
      <c r="O85" s="38" cm="1">
        <f t="array" ref="O85">IFERROR(IF(I85&gt;0,I85*G85,J85/SUMPRODUCT(('[2]Коэфы брендирование'!$D$2:$D$993=Москва!$E85)*'[2]Коэфы брендирование'!$F$2:$F$993)),0)</f>
        <v>90</v>
      </c>
    </row>
    <row r="86" spans="3:15" ht="20.25" customHeight="1" outlineLevel="1" x14ac:dyDescent="0.25">
      <c r="C86" s="194"/>
      <c r="D86" s="12" t="s">
        <v>25</v>
      </c>
      <c r="E86" s="33" t="s">
        <v>33</v>
      </c>
      <c r="F86" s="32">
        <v>28</v>
      </c>
      <c r="G86" s="21">
        <v>1</v>
      </c>
      <c r="H86" s="19">
        <v>90</v>
      </c>
      <c r="I86" s="18"/>
      <c r="J86" s="30" cm="1">
        <f t="array" ref="J86">IF(H86&gt;0,H86*G86,G86*SUMPRODUCT(('[2]Коэфы брендирование'!$D$2:$D$23=Москва!E86)*'[2]Коэфы брендирование'!$E$2:$E$23)*$E$8*(1-SUMPRODUCT(([2]Списки!$W$2:$W$5=Москва!$E$5)*[2]Списки!$X$2:$X$5)))</f>
        <v>90</v>
      </c>
      <c r="K86" s="18"/>
      <c r="L86" s="39"/>
      <c r="M86" s="18"/>
      <c r="N86" s="17"/>
      <c r="O86" s="38" cm="1">
        <f t="array" ref="O86">IFERROR(IF(I86&gt;0,I86*G86,J86/SUMPRODUCT(('[2]Коэфы брендирование'!$D$2:$D$993=Москва!$E86)*'[2]Коэфы брендирование'!$F$2:$F$993)),0)</f>
        <v>60</v>
      </c>
    </row>
    <row r="87" spans="3:15" ht="20.25" customHeight="1" outlineLevel="1" x14ac:dyDescent="0.25">
      <c r="C87" s="194"/>
      <c r="D87" s="12" t="s">
        <v>25</v>
      </c>
      <c r="E87" s="33" t="s">
        <v>32</v>
      </c>
      <c r="F87" s="32">
        <v>28</v>
      </c>
      <c r="G87" s="21">
        <v>1</v>
      </c>
      <c r="H87" s="19">
        <v>90</v>
      </c>
      <c r="I87" s="18"/>
      <c r="J87" s="30" cm="1">
        <f t="array" ref="J87">IF(H87&gt;0,H87*G87,G87*SUMPRODUCT(('[2]Коэфы брендирование'!$D$2:$D$23=Москва!E87)*'[2]Коэфы брендирование'!$E$2:$E$23)*$E$8*(1-SUMPRODUCT(([2]Списки!$W$2:$W$5=Москва!$E$5)*[2]Списки!$X$2:$X$5)))</f>
        <v>90</v>
      </c>
      <c r="K87" s="18"/>
      <c r="L87" s="39"/>
      <c r="M87" s="18"/>
      <c r="N87" s="17"/>
      <c r="O87" s="38" cm="1">
        <f t="array" ref="O87">IFERROR(IF(I87&gt;0,I87*G87,J87/SUMPRODUCT(('[2]Коэфы брендирование'!$D$2:$D$993=Москва!$E87)*'[2]Коэфы брендирование'!$F$2:$F$993)),0)</f>
        <v>15</v>
      </c>
    </row>
    <row r="88" spans="3:15" ht="20.25" customHeight="1" outlineLevel="1" x14ac:dyDescent="0.25">
      <c r="C88" s="194"/>
      <c r="D88" s="12" t="s">
        <v>25</v>
      </c>
      <c r="E88" s="33" t="s">
        <v>31</v>
      </c>
      <c r="F88" s="32">
        <v>28</v>
      </c>
      <c r="G88" s="21">
        <v>1</v>
      </c>
      <c r="H88" s="19">
        <v>90</v>
      </c>
      <c r="I88" s="18"/>
      <c r="J88" s="30" cm="1">
        <f t="array" ref="J88">IF(H88&gt;0,H88*G88,G88*SUMPRODUCT(('[2]Коэфы брендирование'!$D$2:$D$23=Москва!E88)*'[2]Коэфы брендирование'!$E$2:$E$23)*$E$8*(1-SUMPRODUCT(([2]Списки!$W$2:$W$5=Москва!$E$5)*[2]Списки!$X$2:$X$5)))</f>
        <v>90</v>
      </c>
      <c r="K88" s="18"/>
      <c r="L88" s="39"/>
      <c r="M88" s="18"/>
      <c r="N88" s="17"/>
      <c r="O88" s="38" cm="1">
        <f t="array" ref="O88">IFERROR(IF(I88&gt;0,I88*G88,J88/SUMPRODUCT(('[2]Коэфы брендирование'!$D$2:$D$993=Москва!$E88)*'[2]Коэфы брендирование'!$F$2:$F$993)),0)</f>
        <v>45</v>
      </c>
    </row>
    <row r="89" spans="3:15" ht="20.25" customHeight="1" outlineLevel="1" x14ac:dyDescent="0.25">
      <c r="C89" s="194"/>
      <c r="D89" s="12" t="s">
        <v>25</v>
      </c>
      <c r="E89" s="33" t="s">
        <v>30</v>
      </c>
      <c r="F89" s="32">
        <v>28</v>
      </c>
      <c r="G89" s="21">
        <v>1</v>
      </c>
      <c r="H89" s="19">
        <v>90</v>
      </c>
      <c r="I89" s="18"/>
      <c r="J89" s="30" cm="1">
        <f t="array" ref="J89">IF(H89&gt;0,H89*G89,G89*SUMPRODUCT(('[2]Коэфы брендирование'!$D$2:$D$23=Москва!E89)*'[2]Коэфы брендирование'!$E$2:$E$23)*$E$8*(1-SUMPRODUCT(([2]Списки!$W$2:$W$5=Москва!$E$5)*[2]Списки!$X$2:$X$5)))</f>
        <v>90</v>
      </c>
      <c r="K89" s="18"/>
      <c r="L89" s="39"/>
      <c r="M89" s="18"/>
      <c r="N89" s="17"/>
      <c r="O89" s="38" cm="1">
        <f t="array" ref="O89">IFERROR(IF(I89&gt;0,I89*G89,J89/SUMPRODUCT(('[2]Коэфы брендирование'!$D$2:$D$993=Москва!$E89)*'[2]Коэфы брендирование'!$F$2:$F$993)),0)</f>
        <v>30</v>
      </c>
    </row>
    <row r="90" spans="3:15" ht="20.25" customHeight="1" outlineLevel="1" x14ac:dyDescent="0.25">
      <c r="C90" s="194"/>
      <c r="D90" s="12" t="s">
        <v>25</v>
      </c>
      <c r="E90" s="33" t="s">
        <v>29</v>
      </c>
      <c r="F90" s="32">
        <v>28</v>
      </c>
      <c r="G90" s="21">
        <v>1</v>
      </c>
      <c r="H90" s="19">
        <v>90</v>
      </c>
      <c r="I90" s="18"/>
      <c r="J90" s="30" cm="1">
        <f t="array" ref="J90">IF(H90&gt;0,H90*G90,G90*SUMPRODUCT(('[2]Коэфы брендирование'!$D$2:$D$23=Москва!E90)*'[2]Коэфы брендирование'!$E$2:$E$23)*$E$8*(1-SUMPRODUCT(([2]Списки!$W$2:$W$5=Москва!$E$5)*[2]Списки!$X$2:$X$5)))</f>
        <v>90</v>
      </c>
      <c r="K90" s="18"/>
      <c r="L90" s="39"/>
      <c r="M90" s="18"/>
      <c r="N90" s="17"/>
      <c r="O90" s="38" cm="1">
        <f t="array" ref="O90">IFERROR(IF(I90&gt;0,I90*G90,J90/SUMPRODUCT(('[2]Коэфы брендирование'!$D$2:$D$993=Москва!$E90)*'[2]Коэфы брендирование'!$F$2:$F$993)),0)</f>
        <v>90</v>
      </c>
    </row>
    <row r="91" spans="3:15" ht="20.25" customHeight="1" outlineLevel="1" x14ac:dyDescent="0.25">
      <c r="C91" s="194"/>
      <c r="D91" s="12" t="s">
        <v>25</v>
      </c>
      <c r="E91" s="33" t="s">
        <v>28</v>
      </c>
      <c r="F91" s="32">
        <v>28</v>
      </c>
      <c r="G91" s="21">
        <v>1</v>
      </c>
      <c r="H91" s="19">
        <v>90</v>
      </c>
      <c r="I91" s="18"/>
      <c r="J91" s="30" cm="1">
        <f t="array" ref="J91">IF(H91&gt;0,H91*G91,G91*SUMPRODUCT(('[2]Коэфы брендирование'!$D$2:$D$23=Москва!E91)*'[2]Коэфы брендирование'!$E$2:$E$23)*$E$8*(1-SUMPRODUCT(([2]Списки!$W$2:$W$5=Москва!$E$5)*[2]Списки!$X$2:$X$5)))</f>
        <v>90</v>
      </c>
      <c r="K91" s="18"/>
      <c r="L91" s="39"/>
      <c r="M91" s="18"/>
      <c r="N91" s="17"/>
      <c r="O91" s="38" cm="1">
        <f t="array" ref="O91">IFERROR(IF(I91&gt;0,I91*G91,J91/SUMPRODUCT(('[2]Коэфы брендирование'!$D$2:$D$993=Москва!$E91)*'[2]Коэфы брендирование'!$F$2:$F$993)),0)</f>
        <v>45</v>
      </c>
    </row>
    <row r="92" spans="3:15" ht="20.25" customHeight="1" outlineLevel="1" x14ac:dyDescent="0.25">
      <c r="C92" s="194"/>
      <c r="D92" s="12" t="s">
        <v>25</v>
      </c>
      <c r="E92" s="33" t="s">
        <v>27</v>
      </c>
      <c r="F92" s="32">
        <v>28</v>
      </c>
      <c r="G92" s="21">
        <v>1</v>
      </c>
      <c r="H92" s="19">
        <v>90</v>
      </c>
      <c r="I92" s="18"/>
      <c r="J92" s="30" cm="1">
        <f t="array" ref="J92">IF(H92&gt;0,H92*G92,G92*SUMPRODUCT(('[2]Коэфы брендирование'!$D$2:$D$23=Москва!E92)*'[2]Коэфы брендирование'!$E$2:$E$23)*$E$8*(1-SUMPRODUCT(([2]Списки!$W$2:$W$5=Москва!$E$5)*[2]Списки!$X$2:$X$5)))</f>
        <v>90</v>
      </c>
      <c r="K92" s="18"/>
      <c r="L92" s="39"/>
      <c r="M92" s="18"/>
      <c r="N92" s="17"/>
      <c r="O92" s="38" cm="1">
        <f t="array" ref="O92">IFERROR(IF(I92&gt;0,I92*G92,J92/SUMPRODUCT(('[2]Коэфы брендирование'!$D$2:$D$993=Москва!$E92)*'[2]Коэфы брендирование'!$F$2:$F$993)),0)</f>
        <v>60</v>
      </c>
    </row>
    <row r="93" spans="3:15" ht="20.25" customHeight="1" outlineLevel="1" x14ac:dyDescent="0.25">
      <c r="C93" s="194"/>
      <c r="D93" s="12" t="s">
        <v>25</v>
      </c>
      <c r="E93" s="33" t="s">
        <v>26</v>
      </c>
      <c r="F93" s="32">
        <v>28</v>
      </c>
      <c r="G93" s="21">
        <v>1</v>
      </c>
      <c r="H93" s="19">
        <v>90</v>
      </c>
      <c r="I93" s="18"/>
      <c r="J93" s="30" cm="1">
        <f t="array" ref="J93">IF(H93&gt;0,H93*G93,G93*SUMPRODUCT(('[2]Коэфы брендирование'!$D$2:$D$23=Москва!E93)*'[2]Коэфы брендирование'!$E$2:$E$23)*$E$8*(1-SUMPRODUCT(([2]Списки!$W$2:$W$5=Москва!$E$5)*[2]Списки!$X$2:$X$5)))</f>
        <v>90</v>
      </c>
      <c r="K93" s="18"/>
      <c r="L93" s="39"/>
      <c r="M93" s="18"/>
      <c r="N93" s="17"/>
      <c r="O93" s="38" cm="1">
        <f t="array" ref="O93">IFERROR(IF(I93&gt;0,I93*G93,J93/SUMPRODUCT(('[2]Коэфы брендирование'!$D$2:$D$993=Москва!$E93)*'[2]Коэфы брендирование'!$F$2:$F$993)),0)</f>
        <v>90</v>
      </c>
    </row>
    <row r="94" spans="3:15" ht="20.25" customHeight="1" outlineLevel="1" x14ac:dyDescent="0.25">
      <c r="C94" s="194"/>
      <c r="D94" s="12" t="s">
        <v>25</v>
      </c>
      <c r="E94" s="33"/>
      <c r="F94" s="32"/>
      <c r="G94" s="21"/>
      <c r="H94" s="19"/>
      <c r="I94" s="18"/>
      <c r="J94" s="30" cm="1">
        <f t="array" ref="J94">IF(H94&gt;0,H94*G94,G94*SUMPRODUCT(('[2]Коэфы брендирование'!$D$2:$D$23=Москва!E94)*'[2]Коэфы брендирование'!$E$2:$E$23)*$E$8*(1-SUMPRODUCT(([2]Списки!$W$2:$W$5=Москва!$E$5)*[2]Списки!$X$2:$X$5)))</f>
        <v>0</v>
      </c>
      <c r="K94" s="18"/>
      <c r="L94" s="39"/>
      <c r="M94" s="18"/>
      <c r="N94" s="17"/>
      <c r="O94" s="38" cm="1">
        <f t="array" ref="O94">IFERROR(IF(I94&gt;0,I94*G94,J94/SUMPRODUCT(('[2]Коэфы брендирование'!$D$2:$D$993=Москва!$E94)*'[2]Коэфы брендирование'!$F$2:$F$993)),0)</f>
        <v>0</v>
      </c>
    </row>
    <row r="95" spans="3:15" ht="20.25" customHeight="1" outlineLevel="1" x14ac:dyDescent="0.25">
      <c r="C95" s="194"/>
      <c r="D95" s="12" t="s">
        <v>25</v>
      </c>
      <c r="E95" s="33"/>
      <c r="F95" s="32"/>
      <c r="G95" s="21"/>
      <c r="H95" s="19"/>
      <c r="I95" s="18"/>
      <c r="J95" s="30" cm="1">
        <f t="array" ref="J95">IF(H95&gt;0,H95*G95,G95*SUMPRODUCT(('[2]Коэфы брендирование'!$D$2:$D$23=Москва!E95)*'[2]Коэфы брендирование'!$E$2:$E$23)*$E$8*(1-SUMPRODUCT(([2]Списки!$W$2:$W$5=Москва!$E$5)*[2]Списки!$X$2:$X$5)))</f>
        <v>0</v>
      </c>
      <c r="K95" s="18"/>
      <c r="L95" s="39"/>
      <c r="M95" s="18"/>
      <c r="N95" s="17"/>
      <c r="O95" s="38" cm="1">
        <f t="array" ref="O95">IFERROR(IF(I95&gt;0,I95*G95,J95/SUMPRODUCT(('[2]Коэфы брендирование'!$D$2:$D$993=Москва!$E95)*'[2]Коэфы брендирование'!$F$2:$F$993)),0)</f>
        <v>0</v>
      </c>
    </row>
    <row r="96" spans="3:15" ht="20.25" customHeight="1" outlineLevel="1" x14ac:dyDescent="0.25">
      <c r="C96" s="194"/>
      <c r="D96" s="12" t="s">
        <v>25</v>
      </c>
      <c r="E96" s="33"/>
      <c r="F96" s="32"/>
      <c r="G96" s="21"/>
      <c r="H96" s="19"/>
      <c r="I96" s="18"/>
      <c r="J96" s="30" cm="1">
        <f t="array" ref="J96">IF(H96&gt;0,H96*G96,G96*SUMPRODUCT(('[2]Коэфы брендирование'!$D$2:$D$23=Москва!E96)*'[2]Коэфы брендирование'!$E$2:$E$23)*$E$8*(1-SUMPRODUCT(([2]Списки!$W$2:$W$5=Москва!$E$5)*[2]Списки!$X$2:$X$5)))</f>
        <v>0</v>
      </c>
      <c r="K96" s="18"/>
      <c r="L96" s="39"/>
      <c r="M96" s="18"/>
      <c r="N96" s="17"/>
      <c r="O96" s="38" cm="1">
        <f t="array" ref="O96">IFERROR(IF(I96&gt;0,I96*G96,J96/SUMPRODUCT(('[2]Коэфы брендирование'!$D$2:$D$993=Москва!$E96)*'[2]Коэфы брендирование'!$F$2:$F$993)),0)</f>
        <v>0</v>
      </c>
    </row>
    <row r="97" spans="2:16" ht="20.25" customHeight="1" outlineLevel="1" x14ac:dyDescent="0.25">
      <c r="C97" s="194"/>
      <c r="D97" s="12" t="s">
        <v>25</v>
      </c>
      <c r="E97" s="33"/>
      <c r="F97" s="32"/>
      <c r="G97" s="21"/>
      <c r="H97" s="19"/>
      <c r="I97" s="18"/>
      <c r="J97" s="30" cm="1">
        <f t="array" ref="J97">IF(H97&gt;0,H97*G97,G97*SUMPRODUCT(('[2]Коэфы брендирование'!$D$2:$D$23=Москва!E97)*'[2]Коэфы брендирование'!$E$2:$E$23)*$E$8*(1-SUMPRODUCT(([2]Списки!$W$2:$W$5=Москва!$E$5)*[2]Списки!$X$2:$X$5)))</f>
        <v>0</v>
      </c>
      <c r="K97" s="18"/>
      <c r="L97" s="39"/>
      <c r="M97" s="18"/>
      <c r="N97" s="17"/>
      <c r="O97" s="38" cm="1">
        <f t="array" ref="O97">IFERROR(IF(I97&gt;0,I97*G97,J97/SUMPRODUCT(('[2]Коэфы брендирование'!$D$2:$D$993=Москва!$E97)*'[2]Коэфы брендирование'!$F$2:$F$993)),0)</f>
        <v>0</v>
      </c>
    </row>
    <row r="98" spans="2:16" ht="20.25" customHeight="1" outlineLevel="1" x14ac:dyDescent="0.25">
      <c r="C98" s="194"/>
      <c r="D98" s="12" t="s">
        <v>25</v>
      </c>
      <c r="E98" s="33"/>
      <c r="F98" s="32"/>
      <c r="G98" s="21"/>
      <c r="H98" s="19"/>
      <c r="I98" s="18"/>
      <c r="J98" s="30" cm="1">
        <f t="array" ref="J98">IF(H98&gt;0,H98*G98,G98*SUMPRODUCT(('[2]Коэфы брендирование'!$D$2:$D$23=Москва!E98)*'[2]Коэфы брендирование'!$E$2:$E$23)*$E$8*(1-SUMPRODUCT(([2]Списки!$W$2:$W$5=Москва!$E$5)*[2]Списки!$X$2:$X$5)))</f>
        <v>0</v>
      </c>
      <c r="K98" s="18"/>
      <c r="L98" s="39"/>
      <c r="M98" s="18"/>
      <c r="N98" s="17"/>
      <c r="O98" s="38" cm="1">
        <f t="array" ref="O98">IFERROR(IF(I98&gt;0,I98*G98,J98/SUMPRODUCT(('[2]Коэфы брендирование'!$D$2:$D$993=Москва!$E98)*'[2]Коэфы брендирование'!$F$2:$F$993)),0)</f>
        <v>0</v>
      </c>
    </row>
    <row r="99" spans="2:16" ht="20.25" customHeight="1" outlineLevel="1" x14ac:dyDescent="0.25">
      <c r="C99" s="194"/>
      <c r="D99" s="12" t="s">
        <v>25</v>
      </c>
      <c r="E99" s="33"/>
      <c r="F99" s="32"/>
      <c r="G99" s="21"/>
      <c r="H99" s="19"/>
      <c r="I99" s="18"/>
      <c r="J99" s="30" cm="1">
        <f t="array" ref="J99">IF(H99&gt;0,H99*G99,G99*SUMPRODUCT(('[2]Коэфы брендирование'!$D$2:$D$23=Москва!E99)*'[2]Коэфы брендирование'!$E$2:$E$23)*$E$8*(1-SUMPRODUCT(([2]Списки!$W$2:$W$5=Москва!$E$5)*[2]Списки!$X$2:$X$5)))</f>
        <v>0</v>
      </c>
      <c r="K99" s="18"/>
      <c r="L99" s="39"/>
      <c r="M99" s="18"/>
      <c r="N99" s="17"/>
      <c r="O99" s="38" cm="1">
        <f t="array" ref="O99">IFERROR(IF(I99&gt;0,I99*G99,J99/SUMPRODUCT(('[2]Коэфы брендирование'!$D$2:$D$993=Москва!$E99)*'[2]Коэфы брендирование'!$F$2:$F$993)),0)</f>
        <v>0</v>
      </c>
    </row>
    <row r="100" spans="2:16" ht="20.25" customHeight="1" outlineLevel="1" x14ac:dyDescent="0.25">
      <c r="C100" s="194"/>
      <c r="D100" s="12" t="s">
        <v>25</v>
      </c>
      <c r="E100" s="33"/>
      <c r="F100" s="32"/>
      <c r="G100" s="21"/>
      <c r="H100" s="19"/>
      <c r="I100" s="18"/>
      <c r="J100" s="30" cm="1">
        <f t="array" ref="J100">IF(H100&gt;0,H100*G100,G100*SUMPRODUCT(('[2]Коэфы брендирование'!$D$2:$D$23=Москва!E100)*'[2]Коэфы брендирование'!$E$2:$E$23)*$E$8*(1-SUMPRODUCT(([2]Списки!$W$2:$W$5=Москва!$E$5)*[2]Списки!$X$2:$X$5)))</f>
        <v>0</v>
      </c>
      <c r="K100" s="18"/>
      <c r="L100" s="39"/>
      <c r="M100" s="18"/>
      <c r="N100" s="17"/>
      <c r="O100" s="38" cm="1">
        <f t="array" ref="O100">IFERROR(IF(I100&gt;0,I100*G100,J100/SUMPRODUCT(('[2]Коэфы брендирование'!$D$2:$D$993=Москва!$E100)*'[2]Коэфы брендирование'!$F$2:$F$993)),0)</f>
        <v>0</v>
      </c>
    </row>
    <row r="101" spans="2:16" ht="20.25" customHeight="1" outlineLevel="1" x14ac:dyDescent="0.25">
      <c r="C101" s="194"/>
      <c r="D101" s="12" t="s">
        <v>25</v>
      </c>
      <c r="E101" s="33"/>
      <c r="F101" s="32"/>
      <c r="G101" s="21"/>
      <c r="H101" s="19"/>
      <c r="I101" s="18"/>
      <c r="J101" s="30" cm="1">
        <f t="array" ref="J101">IF(H101&gt;0,H101*G101,G101*SUMPRODUCT(('[2]Коэфы брендирование'!$D$2:$D$23=Москва!E101)*'[2]Коэфы брендирование'!$E$2:$E$23)*$E$8*(1-SUMPRODUCT(([2]Списки!$W$2:$W$5=Москва!$E$5)*[2]Списки!$X$2:$X$5)))</f>
        <v>0</v>
      </c>
      <c r="K101" s="18"/>
      <c r="L101" s="39"/>
      <c r="M101" s="18"/>
      <c r="N101" s="17"/>
      <c r="O101" s="38" cm="1">
        <f t="array" ref="O101">IFERROR(IF(I101&gt;0,I101*G101,J101/SUMPRODUCT(('[2]Коэфы брендирование'!$D$2:$D$993=Москва!$E101)*'[2]Коэфы брендирование'!$F$2:$F$993)),0)</f>
        <v>0</v>
      </c>
    </row>
    <row r="102" spans="2:16" ht="20.25" customHeight="1" outlineLevel="1" x14ac:dyDescent="0.25">
      <c r="C102" s="194"/>
      <c r="D102" s="12" t="s">
        <v>25</v>
      </c>
      <c r="E102" s="33"/>
      <c r="F102" s="32"/>
      <c r="G102" s="21"/>
      <c r="H102" s="19"/>
      <c r="I102" s="18"/>
      <c r="J102" s="30" cm="1">
        <f t="array" ref="J102">IF(H102&gt;0,H102*G102,G102*SUMPRODUCT(('[2]Коэфы брендирование'!$D$2:$D$23=Москва!E102)*'[2]Коэфы брендирование'!$E$2:$E$23)*$E$8*(1-SUMPRODUCT(([2]Списки!$W$2:$W$5=Москва!$E$5)*[2]Списки!$X$2:$X$5)))</f>
        <v>0</v>
      </c>
      <c r="K102" s="18"/>
      <c r="L102" s="39"/>
      <c r="M102" s="18"/>
      <c r="N102" s="17"/>
      <c r="O102" s="38" cm="1">
        <f t="array" ref="O102">IFERROR(IF(I102&gt;0,I102*G102,J102/SUMPRODUCT(('[2]Коэфы брендирование'!$D$2:$D$993=Москва!$E102)*'[2]Коэфы брендирование'!$F$2:$F$993)),0)</f>
        <v>0</v>
      </c>
    </row>
    <row r="103" spans="2:16" ht="20.25" customHeight="1" outlineLevel="1" x14ac:dyDescent="0.25">
      <c r="C103" s="194"/>
      <c r="D103" s="12" t="s">
        <v>25</v>
      </c>
      <c r="E103" s="33"/>
      <c r="F103" s="32"/>
      <c r="G103" s="21"/>
      <c r="H103" s="19"/>
      <c r="I103" s="18"/>
      <c r="J103" s="30" cm="1">
        <f t="array" ref="J103">IF(H103&gt;0,H103*G103,G103*SUMPRODUCT(('[2]Коэфы брендирование'!$D$2:$D$23=Москва!E103)*'[2]Коэфы брендирование'!$E$2:$E$23)*$E$8*(1-SUMPRODUCT(([2]Списки!$W$2:$W$5=Москва!$E$5)*[2]Списки!$X$2:$X$5)))</f>
        <v>0</v>
      </c>
      <c r="K103" s="18"/>
      <c r="L103" s="39"/>
      <c r="M103" s="18"/>
      <c r="N103" s="17"/>
      <c r="O103" s="38" cm="1">
        <f t="array" ref="O103">IFERROR(IF(I103&gt;0,I103*G103,J103/SUMPRODUCT(('[2]Коэфы брендирование'!$D$2:$D$993=Москва!$E103)*'[2]Коэфы брендирование'!$F$2:$F$993)),0)</f>
        <v>0</v>
      </c>
    </row>
    <row r="104" spans="2:16" ht="20.25" customHeight="1" outlineLevel="1" x14ac:dyDescent="0.25">
      <c r="C104" s="194"/>
      <c r="D104" s="12" t="s">
        <v>25</v>
      </c>
      <c r="E104" s="33"/>
      <c r="F104" s="32"/>
      <c r="G104" s="21"/>
      <c r="H104" s="19"/>
      <c r="I104" s="18"/>
      <c r="J104" s="30" cm="1">
        <f t="array" ref="J104">IF(H104&gt;0,H104*G104,G104*SUMPRODUCT(('[2]Коэфы брендирование'!$D$2:$D$23=Москва!E104)*'[2]Коэфы брендирование'!$E$2:$E$23)*$E$8*(1-SUMPRODUCT(([2]Списки!$W$2:$W$5=Москва!$E$5)*[2]Списки!$X$2:$X$5)))</f>
        <v>0</v>
      </c>
      <c r="K104" s="18"/>
      <c r="L104" s="39"/>
      <c r="M104" s="18"/>
      <c r="N104" s="17"/>
      <c r="O104" s="38" cm="1">
        <f t="array" ref="O104">IFERROR(IF(I104&gt;0,I104*G104,J104/SUMPRODUCT(('[2]Коэфы брендирование'!$D$2:$D$993=Москва!$E104)*'[2]Коэфы брендирование'!$F$2:$F$993)),0)</f>
        <v>0</v>
      </c>
    </row>
    <row r="105" spans="2:16" ht="20.25" customHeight="1" outlineLevel="1" x14ac:dyDescent="0.25">
      <c r="C105" s="194"/>
      <c r="D105" s="12" t="s">
        <v>25</v>
      </c>
      <c r="E105" s="33"/>
      <c r="F105" s="32"/>
      <c r="G105" s="21"/>
      <c r="H105" s="19"/>
      <c r="I105" s="18"/>
      <c r="J105" s="30" cm="1">
        <f t="array" ref="J105">IF(H105&gt;0,H105*G105,G105*SUMPRODUCT(('[2]Коэфы брендирование'!$D$2:$D$23=Москва!E105)*'[2]Коэфы брендирование'!$E$2:$E$23)*$E$8*(1-SUMPRODUCT(([2]Списки!$W$2:$W$5=Москва!$E$5)*[2]Списки!$X$2:$X$5)))</f>
        <v>0</v>
      </c>
      <c r="K105" s="18"/>
      <c r="L105" s="39"/>
      <c r="M105" s="18"/>
      <c r="N105" s="17"/>
      <c r="O105" s="38" cm="1">
        <f t="array" ref="O105">IFERROR(IF(I105&gt;0,I105*G105,J105/SUMPRODUCT(('[2]Коэфы брендирование'!$D$2:$D$993=Москва!$E105)*'[2]Коэфы брендирование'!$F$2:$F$993)),0)</f>
        <v>0</v>
      </c>
    </row>
    <row r="106" spans="2:16" ht="20.25" customHeight="1" x14ac:dyDescent="0.25">
      <c r="C106" s="194"/>
      <c r="D106" s="27" t="s">
        <v>24</v>
      </c>
      <c r="E106" s="118"/>
      <c r="F106" s="117"/>
      <c r="G106" s="116"/>
      <c r="H106" s="115"/>
      <c r="I106" s="113"/>
      <c r="J106" s="34">
        <f>SUM(J107)</f>
        <v>90</v>
      </c>
      <c r="K106" s="113"/>
      <c r="L106" s="113"/>
      <c r="M106" s="113"/>
      <c r="N106" s="112"/>
      <c r="O106" s="119" cm="1">
        <f t="array" ref="O106">IFERROR(IF(I107&lt;&gt;"",I107*G107,J107/SUMPRODUCT(('[2]Коэфы брендирование'!$G$2:$G$996=Москва!$E107)*'[2]Коэфы брендирование'!$I$2:$I$996)),"-")</f>
        <v>60</v>
      </c>
    </row>
    <row r="107" spans="2:16" ht="20.25" customHeight="1" outlineLevel="1" x14ac:dyDescent="0.25">
      <c r="C107" s="194"/>
      <c r="D107" s="37" t="s">
        <v>24</v>
      </c>
      <c r="E107" s="36" t="s">
        <v>23</v>
      </c>
      <c r="F107" s="32">
        <v>28</v>
      </c>
      <c r="G107" s="21">
        <v>1</v>
      </c>
      <c r="H107" s="31">
        <v>90</v>
      </c>
      <c r="I107" s="29"/>
      <c r="J107" s="30" cm="1">
        <f t="array" ref="J107">IF(H107&gt;0,H107*G107,G107*SUMPRODUCT(('[2]Коэфы брендирование'!$G$2:$G$2=Москва!E107)*'[2]Коэфы брендирование'!$H$2:$H$2)*$E$8)</f>
        <v>90</v>
      </c>
      <c r="K107" s="29"/>
      <c r="L107" s="28"/>
      <c r="M107" s="18"/>
      <c r="N107" s="17"/>
      <c r="O107" s="35" cm="1">
        <f t="array" ref="O107">IFERROR(IF(I107&gt;0,I107*G107,J107/SUMPRODUCT(('[2]Коэфы брендирование'!$G$2:$G$996=Москва!$E107)*'[2]Коэфы брендирование'!$I$2:$I$996)),"-")</f>
        <v>60</v>
      </c>
    </row>
    <row r="108" spans="2:16" ht="20.25" customHeight="1" x14ac:dyDescent="0.25">
      <c r="C108" s="194"/>
      <c r="D108" s="27" t="s">
        <v>22</v>
      </c>
      <c r="E108" s="118"/>
      <c r="F108" s="117"/>
      <c r="G108" s="116"/>
      <c r="H108" s="115"/>
      <c r="I108" s="113"/>
      <c r="J108" s="34">
        <f>SUM(J109)</f>
        <v>0</v>
      </c>
      <c r="K108" s="113"/>
      <c r="L108" s="113"/>
      <c r="M108" s="113"/>
      <c r="N108" s="112"/>
      <c r="O108" s="25" cm="1">
        <f t="array" ref="O108">IFERROR(IF(I109&lt;&gt;"",I109*G109,J109/SUMPRODUCT(('[2]Коэфы брендирование'!$J$2:$J$996=Москва!$E109)*'[2]Коэфы брендирование'!$L$2:$L$996)),"-")</f>
        <v>0</v>
      </c>
    </row>
    <row r="109" spans="2:16" ht="20.25" customHeight="1" outlineLevel="1" x14ac:dyDescent="0.25">
      <c r="C109" s="194"/>
      <c r="D109" s="11" t="s">
        <v>22</v>
      </c>
      <c r="E109" s="33" t="s">
        <v>78</v>
      </c>
      <c r="F109" s="32"/>
      <c r="G109" s="21"/>
      <c r="H109" s="31"/>
      <c r="I109" s="29"/>
      <c r="J109" s="30" cm="1">
        <f t="array" ref="J109">IF(H109&gt;0,H109*G109,G109*SUMPRODUCT(('[2]Коэфы брендирование'!$J$2:$J$2=Москва!E109)*'[2]Коэфы брендирование'!$K$2:$K$2)*$E$8)</f>
        <v>0</v>
      </c>
      <c r="K109" s="29"/>
      <c r="L109" s="28"/>
      <c r="M109" s="18"/>
      <c r="N109" s="17"/>
      <c r="O109" s="16" cm="1">
        <f t="array" ref="O109">IFERROR(IF(I109&gt;0,I109*G109,J109/SUMPRODUCT(('[2]Коэфы брендирование'!$J$2:$J$996=Москва!$E109)*'[2]Коэфы брендирование'!$L$2:$L$996)),"-")</f>
        <v>0</v>
      </c>
    </row>
    <row r="110" spans="2:16" ht="20.25" customHeight="1" x14ac:dyDescent="0.25">
      <c r="C110" s="194"/>
      <c r="D110" s="27" t="s">
        <v>21</v>
      </c>
      <c r="E110" s="118"/>
      <c r="F110" s="117"/>
      <c r="G110" s="116"/>
      <c r="H110" s="115"/>
      <c r="I110" s="113"/>
      <c r="J110" s="34">
        <f>SUM(J111:J111)</f>
        <v>0</v>
      </c>
      <c r="K110" s="113"/>
      <c r="L110" s="113"/>
      <c r="M110" s="113"/>
      <c r="N110" s="112"/>
      <c r="O110" s="25">
        <f>IF(IF(COUNTIF($O$111:$O$111,"&gt;0")&gt;1,(1-(1-($O$111/$E$8))*(1-(#REF!/$E$8))*(1-(#REF!/$E$8)))*$E$8,SUM($O$111:$O$111))&gt;$E$8,E8,IF(COUNTIF($O$111:$O$111,"&gt;0")&gt;1,(1-(1-($O$111/$E$8))*(1-(#REF!/$E$8))*(1-(#REF!/$E$8)))*$E$8,SUM($O$111:$O$111)))</f>
        <v>0</v>
      </c>
    </row>
    <row r="111" spans="2:16" ht="28.7" customHeight="1" outlineLevel="1" x14ac:dyDescent="0.25">
      <c r="C111" s="194"/>
      <c r="D111" s="12" t="s">
        <v>21</v>
      </c>
      <c r="E111" s="33" t="s">
        <v>77</v>
      </c>
      <c r="F111" s="32"/>
      <c r="G111" s="21"/>
      <c r="H111" s="31"/>
      <c r="I111" s="29"/>
      <c r="J111" s="30" cm="1">
        <f t="array" ref="J111">IF(H111&gt;0,H111*G111,G111*SUMPRODUCT(('[2]Коэфы брендирование'!$M$2:$M$4=Москва!E111)*'[2]Коэфы брендирование'!$N$2:$N$4)*$E$8)</f>
        <v>0</v>
      </c>
      <c r="K111" s="29"/>
      <c r="L111" s="28"/>
      <c r="M111" s="18"/>
      <c r="N111" s="17"/>
      <c r="O111" s="16" cm="1">
        <f t="array" ref="O111">IFERROR(IF(I111&gt;0,I111*G111,J111/SUMPRODUCT(('[2]Коэфы брендирование'!$M$2:$M$996=Москва!$E111)*'[2]Коэфы брендирование'!$O$2:$O$996)),"-")</f>
        <v>0</v>
      </c>
    </row>
    <row r="112" spans="2:16" ht="42" customHeight="1" x14ac:dyDescent="0.25">
      <c r="B112" s="87">
        <v>6</v>
      </c>
      <c r="C112" s="193" t="s">
        <v>20</v>
      </c>
      <c r="D112" s="27" t="s">
        <v>17</v>
      </c>
      <c r="E112" s="118"/>
      <c r="F112" s="117"/>
      <c r="G112" s="116"/>
      <c r="H112" s="115"/>
      <c r="I112" s="113"/>
      <c r="J112" s="26">
        <f>SUM(J113:J115)</f>
        <v>0</v>
      </c>
      <c r="K112" s="114" t="s">
        <v>76</v>
      </c>
      <c r="L112" s="114" t="s">
        <v>75</v>
      </c>
      <c r="M112" s="113"/>
      <c r="N112" s="112"/>
      <c r="O112" s="25">
        <f>IF(J112&gt;0,J112/1.5,(1-(1-(O113/$E$3*0.5))*(1-(O114/$E$3*0.5))*(1-(O115/$E$3*0.5)))*$E$3)</f>
        <v>0</v>
      </c>
      <c r="P112" s="24"/>
    </row>
    <row r="113" spans="2:15" ht="22.7" customHeight="1" outlineLevel="1" x14ac:dyDescent="0.25">
      <c r="C113" s="194"/>
      <c r="D113" s="12" t="s">
        <v>17</v>
      </c>
      <c r="E113" s="23" t="s">
        <v>19</v>
      </c>
      <c r="F113" s="22"/>
      <c r="G113" s="21"/>
      <c r="H113" s="19"/>
      <c r="I113" s="18"/>
      <c r="J113" s="20" cm="1">
        <f t="array" ref="J113">IF(H113&gt;0,H113*G113,IF(K113&lt;&gt;"",K113*G113,G113*SUMPRODUCT(([2]Списки!$S$2:$S$17=Москва!L113)*[2]Списки!$T$2:$T$17)/1000))</f>
        <v>0</v>
      </c>
      <c r="K113" s="19">
        <v>6</v>
      </c>
      <c r="L113" s="18"/>
      <c r="M113" s="18">
        <v>1</v>
      </c>
      <c r="N113" s="17"/>
      <c r="O113" s="16" cm="1">
        <f t="array" ref="O113">IFERROR(IF(I113&gt;0,I113*G113,J113/SUMPRODUCT(('[2]Коэфы брендирование'!$S$2:$S$996=Москва!$E113)*'[2]Коэфы брендирование'!$U$2:$U$996)),"-")</f>
        <v>0</v>
      </c>
    </row>
    <row r="114" spans="2:15" ht="23.45" customHeight="1" outlineLevel="1" x14ac:dyDescent="0.25">
      <c r="C114" s="194"/>
      <c r="D114" s="12" t="s">
        <v>17</v>
      </c>
      <c r="E114" s="23" t="s">
        <v>18</v>
      </c>
      <c r="F114" s="22"/>
      <c r="G114" s="21"/>
      <c r="H114" s="19"/>
      <c r="I114" s="18"/>
      <c r="J114" s="20" cm="1">
        <f t="array" ref="J114">IF(H114&gt;0,H114*G114,IF(K114&lt;&gt;"",K114*G114,G114*SUMPRODUCT(([2]Списки!$S$2:$S$17=Москва!L114)*[2]Списки!$T$2:$T$17)/1000))</f>
        <v>0</v>
      </c>
      <c r="K114" s="19">
        <v>8</v>
      </c>
      <c r="L114" s="18"/>
      <c r="M114" s="18">
        <v>1</v>
      </c>
      <c r="N114" s="17"/>
      <c r="O114" s="16" cm="1">
        <f t="array" ref="O114">IFERROR(IF(I114&gt;0,I114*G114,J114/SUMPRODUCT(('[2]Коэфы брендирование'!$S$2:$S$996=Москва!$E114)*'[2]Коэфы брендирование'!$U$2:$U$996)),"-")</f>
        <v>0</v>
      </c>
    </row>
    <row r="115" spans="2:15" ht="21" customHeight="1" outlineLevel="1" x14ac:dyDescent="0.25">
      <c r="C115" s="195"/>
      <c r="D115" s="12" t="s">
        <v>17</v>
      </c>
      <c r="E115" s="23" t="s">
        <v>16</v>
      </c>
      <c r="F115" s="22"/>
      <c r="G115" s="21"/>
      <c r="H115" s="19"/>
      <c r="I115" s="18"/>
      <c r="J115" s="20" cm="1">
        <f t="array" ref="J115">IF(H115&gt;0,H115*G115,IF(K115&lt;&gt;"",K115*G115,G115*SUMPRODUCT(([2]Списки!$S$2:$S$17=Москва!L115)*[2]Списки!$T$2:$T$17)/1000))</f>
        <v>0</v>
      </c>
      <c r="K115" s="19">
        <v>7</v>
      </c>
      <c r="L115" s="18"/>
      <c r="M115" s="18">
        <v>1</v>
      </c>
      <c r="N115" s="17"/>
      <c r="O115" s="16" cm="1">
        <f t="array" ref="O115">IFERROR(IF(I115&gt;0,I115*G115,J115/SUMPRODUCT(('[2]Коэфы брендирование'!$S$2:$S$996=Москва!$E115)*'[2]Коэфы брендирование'!$U$2:$U$996)),"-")</f>
        <v>0</v>
      </c>
    </row>
    <row r="116" spans="2:15" s="13" customFormat="1" ht="29.25" customHeight="1" x14ac:dyDescent="0.25">
      <c r="B116" s="111"/>
      <c r="C116" s="15" t="s">
        <v>15</v>
      </c>
      <c r="D116" s="14"/>
      <c r="E116" s="110"/>
      <c r="F116" s="109"/>
      <c r="G116" s="108"/>
      <c r="H116" s="107"/>
      <c r="I116" s="106"/>
      <c r="J116" s="105">
        <v>228748.20571428572</v>
      </c>
      <c r="K116" s="104"/>
      <c r="L116" s="104"/>
      <c r="M116" s="104"/>
      <c r="N116" s="103"/>
      <c r="O116" s="102">
        <v>6190.9353681984348</v>
      </c>
    </row>
    <row r="117" spans="2:15" ht="13.35" customHeight="1" x14ac:dyDescent="0.25">
      <c r="C117" s="184" t="s">
        <v>14</v>
      </c>
      <c r="D117" s="181"/>
      <c r="E117" s="11" t="s">
        <v>13</v>
      </c>
      <c r="F117" s="95"/>
      <c r="G117" s="11"/>
      <c r="H117" s="190">
        <v>90</v>
      </c>
      <c r="I117" s="190"/>
      <c r="J117" s="190"/>
      <c r="K117" s="190"/>
      <c r="L117" s="97"/>
      <c r="M117" s="96"/>
      <c r="N117" s="96"/>
      <c r="O117" s="88"/>
    </row>
    <row r="118" spans="2:15" ht="20.25" customHeight="1" x14ac:dyDescent="0.25">
      <c r="C118" s="185"/>
      <c r="D118" s="182"/>
      <c r="E118" s="12" t="s">
        <v>12</v>
      </c>
      <c r="F118" s="89"/>
      <c r="G118" s="12"/>
      <c r="H118" s="180"/>
      <c r="I118" s="180"/>
      <c r="J118" s="180"/>
      <c r="K118" s="180"/>
      <c r="L118" s="97"/>
      <c r="M118" s="96"/>
      <c r="N118" s="96"/>
      <c r="O118" s="88"/>
    </row>
    <row r="119" spans="2:15" ht="20.25" customHeight="1" x14ac:dyDescent="0.25">
      <c r="C119" s="185"/>
      <c r="D119" s="182"/>
      <c r="E119" s="12" t="s">
        <v>11</v>
      </c>
      <c r="F119" s="89"/>
      <c r="G119" s="12"/>
      <c r="H119" s="189"/>
      <c r="I119" s="189"/>
      <c r="J119" s="189"/>
      <c r="K119" s="189"/>
      <c r="L119" s="97"/>
      <c r="M119" s="96"/>
      <c r="N119" s="96"/>
      <c r="O119" s="88"/>
    </row>
    <row r="120" spans="2:15" ht="20.25" customHeight="1" x14ac:dyDescent="0.25">
      <c r="C120" s="185"/>
      <c r="D120" s="182"/>
      <c r="E120" s="12" t="s">
        <v>10</v>
      </c>
      <c r="F120" s="89"/>
      <c r="G120" s="12"/>
      <c r="H120" s="180"/>
      <c r="I120" s="180"/>
      <c r="J120" s="180"/>
      <c r="K120" s="180"/>
      <c r="L120" s="97"/>
      <c r="M120" s="96"/>
      <c r="N120" s="96"/>
      <c r="O120" s="88"/>
    </row>
    <row r="121" spans="2:15" ht="20.25" customHeight="1" x14ac:dyDescent="0.25">
      <c r="C121" s="185"/>
      <c r="D121" s="183"/>
      <c r="E121" s="12" t="s">
        <v>9</v>
      </c>
      <c r="F121" s="89"/>
      <c r="G121" s="12"/>
      <c r="H121" s="186"/>
      <c r="I121" s="187"/>
      <c r="J121" s="187"/>
      <c r="K121" s="188"/>
      <c r="L121" s="97"/>
      <c r="M121" s="96"/>
      <c r="N121" s="96"/>
      <c r="O121" s="88"/>
    </row>
    <row r="122" spans="2:15" ht="20.25" customHeight="1" x14ac:dyDescent="0.25">
      <c r="C122" s="101" t="s">
        <v>8</v>
      </c>
      <c r="D122" s="100"/>
      <c r="E122" s="99" t="s">
        <v>7</v>
      </c>
      <c r="F122" s="89"/>
      <c r="G122" s="12"/>
      <c r="H122" s="170">
        <v>5000000</v>
      </c>
      <c r="I122" s="170"/>
      <c r="J122" s="170"/>
      <c r="K122" s="170"/>
      <c r="L122" s="97"/>
      <c r="M122" s="96"/>
      <c r="N122" s="96"/>
      <c r="O122" s="88"/>
    </row>
    <row r="123" spans="2:15" ht="44.45" customHeight="1" x14ac:dyDescent="0.25">
      <c r="C123" s="94"/>
      <c r="D123" s="93"/>
      <c r="E123" s="98" t="s">
        <v>6</v>
      </c>
      <c r="F123" s="95"/>
      <c r="G123" s="11"/>
      <c r="H123" s="171">
        <v>19763160.75</v>
      </c>
      <c r="I123" s="171"/>
      <c r="J123" s="171"/>
      <c r="K123" s="171"/>
      <c r="L123" s="97"/>
      <c r="M123" s="96"/>
      <c r="N123" s="96"/>
      <c r="O123" s="88"/>
    </row>
    <row r="124" spans="2:15" ht="44.45" customHeight="1" x14ac:dyDescent="0.25">
      <c r="C124" s="91"/>
      <c r="D124" s="90"/>
      <c r="E124" s="98" t="s">
        <v>5</v>
      </c>
      <c r="F124" s="95"/>
      <c r="G124" s="11"/>
      <c r="H124" s="177">
        <v>24763160.75</v>
      </c>
      <c r="I124" s="178"/>
      <c r="J124" s="178"/>
      <c r="K124" s="179"/>
      <c r="L124" s="97"/>
      <c r="M124" s="96"/>
      <c r="N124" s="96"/>
      <c r="O124" s="88"/>
    </row>
    <row r="125" spans="2:15" ht="44.45" customHeight="1" x14ac:dyDescent="0.25">
      <c r="C125" s="94" t="s">
        <v>4</v>
      </c>
      <c r="D125" s="93"/>
      <c r="E125" s="11" t="s">
        <v>3</v>
      </c>
      <c r="F125" s="95"/>
      <c r="G125" s="11"/>
      <c r="H125" s="174" t="str">
        <f>IFERROR(SUM(H122:K123)/H121,"")</f>
        <v/>
      </c>
      <c r="I125" s="175"/>
      <c r="J125" s="175"/>
      <c r="K125" s="176"/>
      <c r="L125" s="97"/>
      <c r="M125" s="96"/>
      <c r="N125" s="96"/>
      <c r="O125" s="88"/>
    </row>
    <row r="126" spans="2:15" ht="20.25" customHeight="1" x14ac:dyDescent="0.25">
      <c r="C126" s="94"/>
      <c r="D126" s="93"/>
      <c r="E126" s="11" t="s">
        <v>2</v>
      </c>
      <c r="F126" s="95"/>
      <c r="G126" s="11"/>
      <c r="H126" s="173">
        <v>0.10825510378398345</v>
      </c>
      <c r="I126" s="173"/>
      <c r="J126" s="173"/>
      <c r="K126" s="173"/>
      <c r="L126" s="11"/>
      <c r="M126" s="11"/>
      <c r="N126" s="11"/>
      <c r="O126" s="88"/>
    </row>
    <row r="127" spans="2:15" ht="20.25" customHeight="1" x14ac:dyDescent="0.25">
      <c r="C127" s="94"/>
      <c r="D127" s="93"/>
      <c r="E127" s="12" t="s">
        <v>1</v>
      </c>
      <c r="F127" s="89"/>
      <c r="G127" s="12"/>
      <c r="H127" s="173">
        <v>3.9999061978910775</v>
      </c>
      <c r="I127" s="173"/>
      <c r="J127" s="173"/>
      <c r="K127" s="173"/>
      <c r="L127" s="92"/>
      <c r="M127" s="11"/>
      <c r="N127" s="11"/>
      <c r="O127" s="88"/>
    </row>
    <row r="128" spans="2:15" ht="20.25" customHeight="1" x14ac:dyDescent="0.25">
      <c r="C128" s="91"/>
      <c r="D128" s="90"/>
      <c r="E128" s="12" t="s">
        <v>0</v>
      </c>
      <c r="F128" s="89"/>
      <c r="G128" s="12"/>
      <c r="H128" s="172">
        <v>275.14623055555558</v>
      </c>
      <c r="I128" s="172"/>
      <c r="J128" s="172"/>
      <c r="K128" s="172"/>
      <c r="L128" s="11"/>
      <c r="M128" s="11"/>
      <c r="N128" s="11"/>
      <c r="O128" s="88"/>
    </row>
    <row r="129" spans="3:14" x14ac:dyDescent="0.25">
      <c r="C129" s="10"/>
      <c r="D129" s="5"/>
      <c r="E129" s="3"/>
      <c r="F129" s="4"/>
      <c r="G129" s="3"/>
      <c r="H129" s="5"/>
      <c r="I129" s="5"/>
      <c r="J129" s="5"/>
      <c r="K129" s="5"/>
      <c r="L129" s="5"/>
      <c r="M129" s="5"/>
      <c r="N129" s="5"/>
    </row>
    <row r="130" spans="3:14" x14ac:dyDescent="0.25">
      <c r="C130" s="10"/>
      <c r="E130" s="8"/>
      <c r="F130" s="9"/>
      <c r="G130" s="8"/>
      <c r="H130" s="3"/>
      <c r="I130" s="3"/>
      <c r="J130" s="3"/>
      <c r="K130" s="3"/>
      <c r="L130" s="3"/>
      <c r="M130" s="3"/>
      <c r="N130" s="3"/>
    </row>
    <row r="131" spans="3:14" x14ac:dyDescent="0.25">
      <c r="C131" s="10"/>
      <c r="D131" s="5"/>
      <c r="E131" s="3"/>
      <c r="F131" s="4"/>
      <c r="G131" s="3"/>
      <c r="H131" s="3"/>
      <c r="I131" s="3"/>
      <c r="J131" s="3"/>
      <c r="K131" s="3"/>
      <c r="L131" s="3"/>
      <c r="M131" s="3"/>
      <c r="N131" s="3"/>
    </row>
    <row r="132" spans="3:14" x14ac:dyDescent="0.25">
      <c r="C132" s="10"/>
      <c r="D132" s="5"/>
      <c r="E132" s="3"/>
      <c r="F132" s="4"/>
      <c r="G132" s="3"/>
      <c r="H132" s="3"/>
      <c r="I132" s="3"/>
      <c r="J132" s="3"/>
      <c r="K132" s="3"/>
      <c r="L132" s="3"/>
      <c r="M132" s="3"/>
      <c r="N132" s="3"/>
    </row>
    <row r="133" spans="3:14" x14ac:dyDescent="0.25">
      <c r="C133" s="10"/>
      <c r="D133" s="5"/>
      <c r="E133" s="3"/>
      <c r="F133" s="4"/>
      <c r="G133" s="3"/>
      <c r="H133" s="5"/>
      <c r="I133" s="5"/>
      <c r="J133" s="5"/>
      <c r="K133" s="5"/>
      <c r="L133" s="5"/>
      <c r="M133" s="5"/>
      <c r="N133" s="5"/>
    </row>
    <row r="134" spans="3:14" x14ac:dyDescent="0.25">
      <c r="C134" s="169"/>
      <c r="D134" s="5"/>
      <c r="E134" s="3"/>
      <c r="F134" s="4"/>
      <c r="G134" s="3"/>
      <c r="H134" s="3"/>
      <c r="I134" s="3"/>
      <c r="J134" s="3"/>
      <c r="K134" s="3"/>
      <c r="L134" s="3"/>
      <c r="M134" s="3"/>
      <c r="N134" s="3"/>
    </row>
    <row r="135" spans="3:14" x14ac:dyDescent="0.25">
      <c r="C135" s="169"/>
      <c r="D135" s="5"/>
      <c r="E135" s="3"/>
      <c r="F135" s="4"/>
      <c r="G135" s="3"/>
      <c r="H135" s="3"/>
      <c r="I135" s="3"/>
      <c r="J135" s="3"/>
      <c r="K135" s="3"/>
      <c r="L135" s="3"/>
      <c r="M135" s="3"/>
      <c r="N135" s="3"/>
    </row>
    <row r="136" spans="3:14" x14ac:dyDescent="0.25">
      <c r="C136" s="169"/>
      <c r="D136" s="5"/>
      <c r="E136" s="3"/>
      <c r="F136" s="4"/>
      <c r="G136" s="3"/>
      <c r="H136" s="3"/>
      <c r="I136" s="3"/>
      <c r="J136" s="3"/>
      <c r="K136" s="3"/>
      <c r="L136" s="3"/>
      <c r="M136" s="3"/>
      <c r="N136" s="3"/>
    </row>
    <row r="137" spans="3:14" x14ac:dyDescent="0.25">
      <c r="C137" s="169"/>
      <c r="D137" s="5"/>
      <c r="E137" s="8"/>
      <c r="F137" s="9"/>
      <c r="G137" s="8"/>
      <c r="H137" s="5"/>
      <c r="I137" s="5"/>
      <c r="J137" s="5"/>
      <c r="K137" s="5"/>
      <c r="L137" s="5"/>
      <c r="M137" s="5"/>
      <c r="N137" s="5"/>
    </row>
    <row r="138" spans="3:14" x14ac:dyDescent="0.25">
      <c r="C138" s="169"/>
      <c r="D138" s="5"/>
      <c r="E138" s="8"/>
      <c r="F138" s="9"/>
      <c r="G138" s="8"/>
      <c r="H138" s="5"/>
      <c r="I138" s="5"/>
      <c r="J138" s="5"/>
      <c r="K138" s="5"/>
      <c r="L138" s="5"/>
      <c r="M138" s="5"/>
      <c r="N138" s="5"/>
    </row>
    <row r="139" spans="3:14" x14ac:dyDescent="0.25">
      <c r="C139" s="169"/>
      <c r="D139" s="5"/>
      <c r="E139" s="3"/>
      <c r="F139" s="4"/>
      <c r="G139" s="3"/>
      <c r="H139" s="3"/>
      <c r="I139" s="3"/>
      <c r="J139" s="3"/>
      <c r="K139" s="3"/>
      <c r="L139" s="3"/>
      <c r="M139" s="3"/>
      <c r="N139" s="3"/>
    </row>
    <row r="140" spans="3:14" x14ac:dyDescent="0.25">
      <c r="C140" s="7"/>
      <c r="D140" s="5"/>
      <c r="E140" s="3"/>
      <c r="F140" s="4"/>
      <c r="G140" s="3"/>
      <c r="H140" s="3"/>
      <c r="I140" s="3"/>
      <c r="J140" s="3"/>
      <c r="K140" s="3"/>
      <c r="L140" s="3"/>
      <c r="M140" s="3"/>
      <c r="N140" s="3"/>
    </row>
    <row r="141" spans="3:14" x14ac:dyDescent="0.25">
      <c r="C141" s="3"/>
      <c r="D141" s="5"/>
      <c r="E141" s="3"/>
      <c r="F141" s="4"/>
      <c r="G141" s="3"/>
      <c r="H141" s="3"/>
      <c r="I141" s="3"/>
      <c r="J141" s="3"/>
      <c r="K141" s="3"/>
      <c r="L141" s="3"/>
      <c r="M141" s="3"/>
      <c r="N141" s="3"/>
    </row>
    <row r="142" spans="3:14" x14ac:dyDescent="0.25">
      <c r="C142" s="5"/>
      <c r="E142" s="5"/>
      <c r="F142" s="6"/>
      <c r="G142" s="5"/>
      <c r="H142" s="5"/>
      <c r="I142" s="5"/>
      <c r="J142" s="5"/>
      <c r="K142" s="5"/>
      <c r="L142" s="5"/>
      <c r="M142" s="5"/>
      <c r="N142" s="5"/>
    </row>
    <row r="143" spans="3:14" x14ac:dyDescent="0.25">
      <c r="C143" s="3"/>
      <c r="D143" s="5"/>
      <c r="E143" s="3"/>
      <c r="F143" s="4"/>
      <c r="G143" s="3"/>
      <c r="H143" s="3"/>
      <c r="I143" s="3"/>
      <c r="J143" s="3"/>
      <c r="K143" s="3"/>
      <c r="L143" s="3"/>
      <c r="M143" s="3"/>
      <c r="N143" s="3"/>
    </row>
    <row r="144" spans="3:14" x14ac:dyDescent="0.25">
      <c r="C144" s="3"/>
      <c r="D144" s="5"/>
      <c r="E144" s="3"/>
      <c r="F144" s="4"/>
      <c r="G144" s="3"/>
      <c r="H144" s="3"/>
      <c r="I144" s="3"/>
      <c r="J144" s="3"/>
      <c r="K144" s="3"/>
      <c r="L144" s="3"/>
      <c r="M144" s="3"/>
      <c r="N144" s="3"/>
    </row>
    <row r="145" spans="3:14" x14ac:dyDescent="0.25">
      <c r="C145" s="3"/>
      <c r="D145" s="5"/>
      <c r="E145" s="3"/>
      <c r="F145" s="4"/>
      <c r="G145" s="3"/>
      <c r="H145" s="3"/>
      <c r="I145" s="3"/>
      <c r="J145" s="3"/>
      <c r="K145" s="3"/>
      <c r="L145" s="3"/>
      <c r="M145" s="3"/>
      <c r="N145" s="3"/>
    </row>
    <row r="146" spans="3:14" x14ac:dyDescent="0.25">
      <c r="C146" s="5"/>
      <c r="E146" s="5"/>
      <c r="F146" s="6"/>
      <c r="G146" s="5"/>
      <c r="H146" s="5"/>
      <c r="I146" s="5"/>
      <c r="J146" s="5"/>
      <c r="K146" s="5"/>
      <c r="L146" s="5"/>
      <c r="M146" s="5"/>
      <c r="N146" s="5"/>
    </row>
    <row r="147" spans="3:14" x14ac:dyDescent="0.25">
      <c r="C147" s="3"/>
      <c r="D147" s="5"/>
      <c r="E147" s="3"/>
      <c r="F147" s="4"/>
      <c r="G147" s="3"/>
      <c r="H147" s="3"/>
      <c r="I147" s="3"/>
      <c r="J147" s="3"/>
      <c r="K147" s="3"/>
      <c r="L147" s="3"/>
      <c r="M147" s="3"/>
      <c r="N147" s="3"/>
    </row>
    <row r="148" spans="3:14" x14ac:dyDescent="0.25">
      <c r="C148" s="3"/>
      <c r="D148" s="5"/>
      <c r="E148" s="3"/>
      <c r="F148" s="4"/>
      <c r="G148" s="3"/>
      <c r="H148" s="3"/>
      <c r="I148" s="3"/>
      <c r="J148" s="3"/>
      <c r="K148" s="3"/>
      <c r="L148" s="3"/>
      <c r="M148" s="3"/>
      <c r="N148" s="3"/>
    </row>
    <row r="149" spans="3:14" x14ac:dyDescent="0.25">
      <c r="C149" s="3"/>
      <c r="D149" s="5"/>
      <c r="E149" s="3"/>
      <c r="F149" s="4"/>
      <c r="G149" s="3"/>
      <c r="H149" s="3"/>
      <c r="I149" s="3"/>
      <c r="J149" s="3"/>
      <c r="K149" s="3"/>
      <c r="L149" s="3"/>
      <c r="M149" s="3"/>
      <c r="N149" s="3"/>
    </row>
  </sheetData>
  <sheetProtection formatCells="0" formatColumns="0" formatRows="0"/>
  <mergeCells count="20">
    <mergeCell ref="M9:N9"/>
    <mergeCell ref="C10:C74"/>
    <mergeCell ref="K9:L9"/>
    <mergeCell ref="C75:C111"/>
    <mergeCell ref="C112:C115"/>
    <mergeCell ref="H120:K120"/>
    <mergeCell ref="D117:D121"/>
    <mergeCell ref="C117:C121"/>
    <mergeCell ref="H121:K121"/>
    <mergeCell ref="H119:K119"/>
    <mergeCell ref="H117:K117"/>
    <mergeCell ref="H118:K118"/>
    <mergeCell ref="C134:C139"/>
    <mergeCell ref="H122:K122"/>
    <mergeCell ref="H123:K123"/>
    <mergeCell ref="H128:K128"/>
    <mergeCell ref="H126:K126"/>
    <mergeCell ref="H127:K127"/>
    <mergeCell ref="H125:K125"/>
    <mergeCell ref="H124:K124"/>
  </mergeCells>
  <dataValidations count="1">
    <dataValidation type="list" allowBlank="1" showInputMessage="1" showErrorMessage="1" sqref="E23:E26 E28:E42" xr:uid="{00000000-0002-0000-0E00-000000000000}">
      <formula1>Indoor</formula1>
    </dataValidation>
  </dataValidations>
  <hyperlinks>
    <hyperlink ref="L11" location="'ТВ Каналы'!A1" display="каналы из списка" xr:uid="{3461B860-3787-4269-909C-2E18877CC2E2}"/>
    <hyperlink ref="L12" location="'ТВ Каналы'!A1" display="каналы из списка" xr:uid="{3D5A4159-1B57-4D0D-A291-21A1969B6519}"/>
    <hyperlink ref="L50" location="Радиостанции!A1" display="Радиостанции из списка" xr:uid="{CD141654-5275-4553-9FE8-2E8A31E45D84}"/>
    <hyperlink ref="L51" location="Радиостанции!A1" display="Радиостанции из списка" xr:uid="{2FF38E6D-C53B-4E1E-8C83-A71842D97694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DC26-6155-4C96-8A22-098A0306F235}">
  <dimension ref="A1:B19"/>
  <sheetViews>
    <sheetView workbookViewId="0">
      <selection activeCell="A17" sqref="A17:B19"/>
    </sheetView>
  </sheetViews>
  <sheetFormatPr defaultRowHeight="15" x14ac:dyDescent="0.25"/>
  <cols>
    <col min="1" max="1" width="19.85546875" customWidth="1"/>
    <col min="2" max="2" width="25" customWidth="1"/>
  </cols>
  <sheetData>
    <row r="1" spans="1:2" x14ac:dyDescent="0.25">
      <c r="A1" s="164" t="s">
        <v>151</v>
      </c>
      <c r="B1" s="164" t="s">
        <v>152</v>
      </c>
    </row>
    <row r="2" spans="1:2" x14ac:dyDescent="0.25">
      <c r="A2" s="165" t="s">
        <v>136</v>
      </c>
      <c r="B2" t="s">
        <v>130</v>
      </c>
    </row>
    <row r="3" spans="1:2" x14ac:dyDescent="0.25">
      <c r="A3" s="165" t="s">
        <v>136</v>
      </c>
      <c r="B3" t="s">
        <v>137</v>
      </c>
    </row>
    <row r="4" spans="1:2" x14ac:dyDescent="0.25">
      <c r="A4" s="165" t="s">
        <v>136</v>
      </c>
      <c r="B4" t="s">
        <v>138</v>
      </c>
    </row>
    <row r="5" spans="1:2" x14ac:dyDescent="0.25">
      <c r="A5" s="165" t="s">
        <v>136</v>
      </c>
      <c r="B5" t="s">
        <v>139</v>
      </c>
    </row>
    <row r="6" spans="1:2" x14ac:dyDescent="0.25">
      <c r="A6" s="165" t="s">
        <v>136</v>
      </c>
      <c r="B6" t="s">
        <v>140</v>
      </c>
    </row>
    <row r="7" spans="1:2" x14ac:dyDescent="0.25">
      <c r="A7" s="165" t="s">
        <v>136</v>
      </c>
      <c r="B7" t="s">
        <v>141</v>
      </c>
    </row>
    <row r="8" spans="1:2" x14ac:dyDescent="0.25">
      <c r="A8" s="165" t="s">
        <v>136</v>
      </c>
      <c r="B8" t="s">
        <v>142</v>
      </c>
    </row>
    <row r="9" spans="1:2" x14ac:dyDescent="0.25">
      <c r="A9" s="165" t="s">
        <v>136</v>
      </c>
      <c r="B9" t="s">
        <v>143</v>
      </c>
    </row>
    <row r="10" spans="1:2" x14ac:dyDescent="0.25">
      <c r="A10" s="165" t="s">
        <v>136</v>
      </c>
      <c r="B10" t="s">
        <v>144</v>
      </c>
    </row>
    <row r="11" spans="1:2" x14ac:dyDescent="0.25">
      <c r="A11" s="165" t="s">
        <v>136</v>
      </c>
      <c r="B11" t="s">
        <v>145</v>
      </c>
    </row>
    <row r="12" spans="1:2" x14ac:dyDescent="0.25">
      <c r="A12" s="165" t="s">
        <v>136</v>
      </c>
      <c r="B12" t="s">
        <v>146</v>
      </c>
    </row>
    <row r="13" spans="1:2" x14ac:dyDescent="0.25">
      <c r="A13" s="165" t="s">
        <v>136</v>
      </c>
      <c r="B13" t="s">
        <v>147</v>
      </c>
    </row>
    <row r="14" spans="1:2" x14ac:dyDescent="0.25">
      <c r="A14" s="165" t="s">
        <v>136</v>
      </c>
      <c r="B14" t="s">
        <v>148</v>
      </c>
    </row>
    <row r="15" spans="1:2" x14ac:dyDescent="0.25">
      <c r="A15" s="165" t="s">
        <v>136</v>
      </c>
      <c r="B15" t="s">
        <v>149</v>
      </c>
    </row>
    <row r="16" spans="1:2" x14ac:dyDescent="0.25">
      <c r="A16" s="165" t="s">
        <v>136</v>
      </c>
      <c r="B16" t="s">
        <v>150</v>
      </c>
    </row>
    <row r="17" spans="1:2" x14ac:dyDescent="0.25">
      <c r="A17" t="s">
        <v>129</v>
      </c>
      <c r="B17" t="s">
        <v>153</v>
      </c>
    </row>
    <row r="18" spans="1:2" x14ac:dyDescent="0.25">
      <c r="A18" t="s">
        <v>129</v>
      </c>
      <c r="B18" t="s">
        <v>154</v>
      </c>
    </row>
    <row r="19" spans="1:2" x14ac:dyDescent="0.25">
      <c r="A19" t="s">
        <v>129</v>
      </c>
      <c r="B19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0E0A-0BC5-43BA-AFF3-34C781284ECE}">
  <dimension ref="A1:A75"/>
  <sheetViews>
    <sheetView workbookViewId="0"/>
  </sheetViews>
  <sheetFormatPr defaultRowHeight="15" x14ac:dyDescent="0.25"/>
  <cols>
    <col min="1" max="1" width="37.28515625" style="24" customWidth="1"/>
  </cols>
  <sheetData>
    <row r="1" spans="1:1" x14ac:dyDescent="0.25">
      <c r="A1" s="166" t="s">
        <v>63</v>
      </c>
    </row>
    <row r="2" spans="1:1" x14ac:dyDescent="0.25">
      <c r="A2" s="168" t="s">
        <v>53</v>
      </c>
    </row>
    <row r="3" spans="1:1" x14ac:dyDescent="0.25">
      <c r="A3" s="167" t="s">
        <v>51</v>
      </c>
    </row>
    <row r="4" spans="1:1" x14ac:dyDescent="0.25">
      <c r="A4" s="168" t="s">
        <v>50</v>
      </c>
    </row>
    <row r="5" spans="1:1" x14ac:dyDescent="0.25">
      <c r="A5" s="168" t="s">
        <v>45</v>
      </c>
    </row>
    <row r="6" spans="1:1" x14ac:dyDescent="0.25">
      <c r="A6" s="168" t="s">
        <v>43</v>
      </c>
    </row>
    <row r="7" spans="1:1" x14ac:dyDescent="0.25">
      <c r="A7" s="167" t="s">
        <v>39</v>
      </c>
    </row>
    <row r="8" spans="1:1" x14ac:dyDescent="0.25">
      <c r="A8" s="168" t="s">
        <v>36</v>
      </c>
    </row>
    <row r="9" spans="1:1" x14ac:dyDescent="0.25">
      <c r="A9" s="168" t="s">
        <v>25</v>
      </c>
    </row>
    <row r="10" spans="1:1" x14ac:dyDescent="0.25">
      <c r="A10" s="168" t="s">
        <v>24</v>
      </c>
    </row>
    <row r="11" spans="1:1" x14ac:dyDescent="0.25">
      <c r="A11" s="168" t="s">
        <v>17</v>
      </c>
    </row>
    <row r="12" spans="1:1" x14ac:dyDescent="0.25">
      <c r="A12" s="167" t="s">
        <v>54</v>
      </c>
    </row>
    <row r="13" spans="1:1" x14ac:dyDescent="0.25">
      <c r="A13" s="167" t="s">
        <v>115</v>
      </c>
    </row>
    <row r="14" spans="1:1" x14ac:dyDescent="0.25">
      <c r="A14" s="167" t="s">
        <v>113</v>
      </c>
    </row>
    <row r="15" spans="1:1" x14ac:dyDescent="0.25">
      <c r="A15" s="167" t="s">
        <v>155</v>
      </c>
    </row>
    <row r="16" spans="1:1" x14ac:dyDescent="0.25">
      <c r="A16" s="167" t="s">
        <v>112</v>
      </c>
    </row>
    <row r="17" spans="1:1" x14ac:dyDescent="0.25">
      <c r="A17" s="167" t="s">
        <v>156</v>
      </c>
    </row>
    <row r="18" spans="1:1" x14ac:dyDescent="0.25">
      <c r="A18" s="167" t="s">
        <v>157</v>
      </c>
    </row>
    <row r="19" spans="1:1" x14ac:dyDescent="0.25">
      <c r="A19" s="167" t="s">
        <v>114</v>
      </c>
    </row>
    <row r="20" spans="1:1" x14ac:dyDescent="0.25">
      <c r="A20" s="167" t="s">
        <v>36</v>
      </c>
    </row>
    <row r="21" spans="1:1" x14ac:dyDescent="0.25">
      <c r="A21" s="167" t="s">
        <v>47</v>
      </c>
    </row>
    <row r="22" spans="1:1" x14ac:dyDescent="0.25">
      <c r="A22" s="167" t="s">
        <v>80</v>
      </c>
    </row>
    <row r="23" spans="1:1" x14ac:dyDescent="0.25">
      <c r="A23" s="167" t="s">
        <v>46</v>
      </c>
    </row>
    <row r="24" spans="1:1" x14ac:dyDescent="0.25">
      <c r="A24" s="167" t="s">
        <v>158</v>
      </c>
    </row>
    <row r="25" spans="1:1" x14ac:dyDescent="0.25">
      <c r="A25" s="167" t="s">
        <v>159</v>
      </c>
    </row>
    <row r="26" spans="1:1" x14ac:dyDescent="0.25">
      <c r="A26" s="167" t="s">
        <v>160</v>
      </c>
    </row>
    <row r="27" spans="1:1" x14ac:dyDescent="0.25">
      <c r="A27" s="167" t="s">
        <v>161</v>
      </c>
    </row>
    <row r="28" spans="1:1" x14ac:dyDescent="0.25">
      <c r="A28" s="167" t="s">
        <v>162</v>
      </c>
    </row>
    <row r="29" spans="1:1" x14ac:dyDescent="0.25">
      <c r="A29" s="167" t="s">
        <v>163</v>
      </c>
    </row>
    <row r="30" spans="1:1" x14ac:dyDescent="0.25">
      <c r="A30" s="167" t="s">
        <v>97</v>
      </c>
    </row>
    <row r="31" spans="1:1" x14ac:dyDescent="0.25">
      <c r="A31" s="167" t="s">
        <v>49</v>
      </c>
    </row>
    <row r="32" spans="1:1" x14ac:dyDescent="0.25">
      <c r="A32" s="167" t="s">
        <v>44</v>
      </c>
    </row>
    <row r="33" spans="1:1" x14ac:dyDescent="0.25">
      <c r="A33" s="167" t="s">
        <v>92</v>
      </c>
    </row>
    <row r="34" spans="1:1" x14ac:dyDescent="0.25">
      <c r="A34" s="167" t="s">
        <v>91</v>
      </c>
    </row>
    <row r="35" spans="1:1" x14ac:dyDescent="0.25">
      <c r="A35" s="167" t="s">
        <v>164</v>
      </c>
    </row>
    <row r="36" spans="1:1" x14ac:dyDescent="0.25">
      <c r="A36" s="167" t="s">
        <v>165</v>
      </c>
    </row>
    <row r="37" spans="1:1" x14ac:dyDescent="0.25">
      <c r="A37" s="167" t="s">
        <v>166</v>
      </c>
    </row>
    <row r="38" spans="1:1" x14ac:dyDescent="0.25">
      <c r="A38" s="167" t="s">
        <v>37</v>
      </c>
    </row>
    <row r="39" spans="1:1" x14ac:dyDescent="0.25">
      <c r="A39" s="167" t="s">
        <v>84</v>
      </c>
    </row>
    <row r="40" spans="1:1" x14ac:dyDescent="0.25">
      <c r="A40" s="167" t="s">
        <v>83</v>
      </c>
    </row>
    <row r="41" spans="1:1" x14ac:dyDescent="0.25">
      <c r="A41" s="167" t="s">
        <v>82</v>
      </c>
    </row>
    <row r="42" spans="1:1" x14ac:dyDescent="0.25">
      <c r="A42" s="167" t="s">
        <v>19</v>
      </c>
    </row>
    <row r="43" spans="1:1" x14ac:dyDescent="0.25">
      <c r="A43" s="167" t="s">
        <v>18</v>
      </c>
    </row>
    <row r="44" spans="1:1" x14ac:dyDescent="0.25">
      <c r="A44" s="167" t="s">
        <v>16</v>
      </c>
    </row>
    <row r="45" spans="1:1" x14ac:dyDescent="0.25">
      <c r="A45" s="167" t="s">
        <v>23</v>
      </c>
    </row>
    <row r="46" spans="1:1" x14ac:dyDescent="0.25">
      <c r="A46" s="167" t="s">
        <v>167</v>
      </c>
    </row>
    <row r="47" spans="1:1" x14ac:dyDescent="0.25">
      <c r="A47" s="167" t="s">
        <v>33</v>
      </c>
    </row>
    <row r="48" spans="1:1" x14ac:dyDescent="0.25">
      <c r="A48" s="167" t="s">
        <v>168</v>
      </c>
    </row>
    <row r="49" spans="1:1" x14ac:dyDescent="0.25">
      <c r="A49" s="167" t="s">
        <v>35</v>
      </c>
    </row>
    <row r="50" spans="1:1" x14ac:dyDescent="0.25">
      <c r="A50" s="167" t="s">
        <v>169</v>
      </c>
    </row>
    <row r="51" spans="1:1" x14ac:dyDescent="0.25">
      <c r="A51" s="167" t="s">
        <v>170</v>
      </c>
    </row>
    <row r="52" spans="1:1" x14ac:dyDescent="0.25">
      <c r="A52" s="167" t="s">
        <v>32</v>
      </c>
    </row>
    <row r="53" spans="1:1" x14ac:dyDescent="0.25">
      <c r="A53" s="167" t="s">
        <v>27</v>
      </c>
    </row>
    <row r="54" spans="1:1" x14ac:dyDescent="0.25">
      <c r="A54" s="167" t="s">
        <v>171</v>
      </c>
    </row>
    <row r="55" spans="1:1" x14ac:dyDescent="0.25">
      <c r="A55" s="167" t="s">
        <v>172</v>
      </c>
    </row>
    <row r="56" spans="1:1" x14ac:dyDescent="0.25">
      <c r="A56" s="167" t="s">
        <v>173</v>
      </c>
    </row>
    <row r="57" spans="1:1" x14ac:dyDescent="0.25">
      <c r="A57" s="167" t="s">
        <v>174</v>
      </c>
    </row>
    <row r="58" spans="1:1" x14ac:dyDescent="0.25">
      <c r="A58" s="167" t="s">
        <v>175</v>
      </c>
    </row>
    <row r="59" spans="1:1" x14ac:dyDescent="0.25">
      <c r="A59" s="167" t="s">
        <v>176</v>
      </c>
    </row>
    <row r="60" spans="1:1" x14ac:dyDescent="0.25">
      <c r="A60" s="167" t="s">
        <v>177</v>
      </c>
    </row>
    <row r="61" spans="1:1" x14ac:dyDescent="0.25">
      <c r="A61" s="167" t="s">
        <v>29</v>
      </c>
    </row>
    <row r="62" spans="1:1" x14ac:dyDescent="0.25">
      <c r="A62" s="167" t="s">
        <v>26</v>
      </c>
    </row>
    <row r="63" spans="1:1" x14ac:dyDescent="0.25">
      <c r="A63" s="167" t="s">
        <v>30</v>
      </c>
    </row>
    <row r="64" spans="1:1" x14ac:dyDescent="0.25">
      <c r="A64" s="167" t="s">
        <v>34</v>
      </c>
    </row>
    <row r="65" spans="1:1" x14ac:dyDescent="0.25">
      <c r="A65" s="167" t="s">
        <v>178</v>
      </c>
    </row>
    <row r="66" spans="1:1" x14ac:dyDescent="0.25">
      <c r="A66" s="167" t="s">
        <v>31</v>
      </c>
    </row>
    <row r="67" spans="1:1" x14ac:dyDescent="0.25">
      <c r="A67" s="167" t="s">
        <v>179</v>
      </c>
    </row>
    <row r="68" spans="1:1" x14ac:dyDescent="0.25">
      <c r="A68" s="167" t="s">
        <v>28</v>
      </c>
    </row>
    <row r="69" spans="1:1" x14ac:dyDescent="0.25">
      <c r="A69" s="167" t="s">
        <v>180</v>
      </c>
    </row>
    <row r="70" spans="1:1" x14ac:dyDescent="0.25">
      <c r="A70" s="167" t="s">
        <v>41</v>
      </c>
    </row>
    <row r="71" spans="1:1" x14ac:dyDescent="0.25">
      <c r="A71" s="167" t="s">
        <v>89</v>
      </c>
    </row>
    <row r="72" spans="1:1" x14ac:dyDescent="0.25">
      <c r="A72" s="167" t="s">
        <v>88</v>
      </c>
    </row>
    <row r="73" spans="1:1" x14ac:dyDescent="0.25">
      <c r="A73" s="167" t="s">
        <v>85</v>
      </c>
    </row>
    <row r="74" spans="1:1" x14ac:dyDescent="0.25">
      <c r="A74" s="167" t="s">
        <v>87</v>
      </c>
    </row>
    <row r="75" spans="1:1" x14ac:dyDescent="0.25">
      <c r="A75" s="167" t="s">
        <v>86</v>
      </c>
    </row>
  </sheetData>
  <conditionalFormatting sqref="A1">
    <cfRule type="duplicateValues" dxfId="2" priority="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3B5D-D0EF-43A8-AC60-8D13229462EC}">
  <dimension ref="A1:B65"/>
  <sheetViews>
    <sheetView workbookViewId="0">
      <selection activeCell="B8" sqref="B8"/>
    </sheetView>
  </sheetViews>
  <sheetFormatPr defaultRowHeight="15" x14ac:dyDescent="0.25"/>
  <cols>
    <col min="1" max="1" width="35" style="24" customWidth="1"/>
    <col min="2" max="2" width="45" style="24" customWidth="1"/>
  </cols>
  <sheetData>
    <row r="1" spans="1:2" x14ac:dyDescent="0.25">
      <c r="A1" s="166" t="s">
        <v>63</v>
      </c>
      <c r="B1" s="166" t="s">
        <v>62</v>
      </c>
    </row>
    <row r="2" spans="1:2" x14ac:dyDescent="0.25">
      <c r="A2" s="167" t="s">
        <v>53</v>
      </c>
      <c r="B2" s="167" t="s">
        <v>54</v>
      </c>
    </row>
    <row r="3" spans="1:2" x14ac:dyDescent="0.25">
      <c r="A3" s="167" t="s">
        <v>53</v>
      </c>
      <c r="B3" s="167" t="s">
        <v>115</v>
      </c>
    </row>
    <row r="4" spans="1:2" x14ac:dyDescent="0.25">
      <c r="A4" s="167" t="s">
        <v>53</v>
      </c>
      <c r="B4" s="167" t="s">
        <v>113</v>
      </c>
    </row>
    <row r="5" spans="1:2" x14ac:dyDescent="0.25">
      <c r="A5" s="167" t="s">
        <v>53</v>
      </c>
      <c r="B5" s="167" t="s">
        <v>155</v>
      </c>
    </row>
    <row r="6" spans="1:2" x14ac:dyDescent="0.25">
      <c r="A6" s="167" t="s">
        <v>53</v>
      </c>
      <c r="B6" s="167" t="s">
        <v>112</v>
      </c>
    </row>
    <row r="7" spans="1:2" x14ac:dyDescent="0.25">
      <c r="A7" s="167" t="s">
        <v>53</v>
      </c>
      <c r="B7" s="167" t="s">
        <v>156</v>
      </c>
    </row>
    <row r="8" spans="1:2" x14ac:dyDescent="0.25">
      <c r="A8" s="167" t="s">
        <v>53</v>
      </c>
      <c r="B8" s="167" t="s">
        <v>157</v>
      </c>
    </row>
    <row r="9" spans="1:2" x14ac:dyDescent="0.25">
      <c r="A9" s="167" t="s">
        <v>53</v>
      </c>
      <c r="B9" s="167" t="s">
        <v>114</v>
      </c>
    </row>
    <row r="10" spans="1:2" x14ac:dyDescent="0.25">
      <c r="A10" s="167" t="s">
        <v>45</v>
      </c>
      <c r="B10" s="167" t="s">
        <v>36</v>
      </c>
    </row>
    <row r="11" spans="1:2" x14ac:dyDescent="0.25">
      <c r="A11" s="167" t="s">
        <v>45</v>
      </c>
      <c r="B11" s="167" t="s">
        <v>47</v>
      </c>
    </row>
    <row r="12" spans="1:2" x14ac:dyDescent="0.25">
      <c r="A12" s="167" t="s">
        <v>45</v>
      </c>
      <c r="B12" s="167" t="s">
        <v>80</v>
      </c>
    </row>
    <row r="13" spans="1:2" x14ac:dyDescent="0.25">
      <c r="A13" s="167" t="s">
        <v>45</v>
      </c>
      <c r="B13" s="167" t="s">
        <v>46</v>
      </c>
    </row>
    <row r="14" spans="1:2" x14ac:dyDescent="0.25">
      <c r="A14" s="167" t="s">
        <v>45</v>
      </c>
      <c r="B14" s="167" t="s">
        <v>158</v>
      </c>
    </row>
    <row r="15" spans="1:2" x14ac:dyDescent="0.25">
      <c r="A15" s="167" t="s">
        <v>45</v>
      </c>
      <c r="B15" s="167" t="s">
        <v>159</v>
      </c>
    </row>
    <row r="16" spans="1:2" x14ac:dyDescent="0.25">
      <c r="A16" s="167" t="s">
        <v>45</v>
      </c>
      <c r="B16" s="167" t="s">
        <v>160</v>
      </c>
    </row>
    <row r="17" spans="1:2" x14ac:dyDescent="0.25">
      <c r="A17" s="167" t="s">
        <v>45</v>
      </c>
      <c r="B17" s="167" t="s">
        <v>161</v>
      </c>
    </row>
    <row r="18" spans="1:2" x14ac:dyDescent="0.25">
      <c r="A18" s="167" t="s">
        <v>45</v>
      </c>
      <c r="B18" s="167" t="s">
        <v>162</v>
      </c>
    </row>
    <row r="19" spans="1:2" x14ac:dyDescent="0.25">
      <c r="A19" s="167" t="s">
        <v>45</v>
      </c>
      <c r="B19" s="167" t="s">
        <v>163</v>
      </c>
    </row>
    <row r="20" spans="1:2" x14ac:dyDescent="0.25">
      <c r="A20" s="167" t="s">
        <v>50</v>
      </c>
      <c r="B20" s="167" t="s">
        <v>97</v>
      </c>
    </row>
    <row r="21" spans="1:2" x14ac:dyDescent="0.25">
      <c r="A21" s="167" t="s">
        <v>50</v>
      </c>
      <c r="B21" s="167" t="s">
        <v>49</v>
      </c>
    </row>
    <row r="22" spans="1:2" x14ac:dyDescent="0.25">
      <c r="A22" s="167" t="s">
        <v>43</v>
      </c>
      <c r="B22" s="167" t="s">
        <v>44</v>
      </c>
    </row>
    <row r="23" spans="1:2" x14ac:dyDescent="0.25">
      <c r="A23" s="167" t="s">
        <v>43</v>
      </c>
      <c r="B23" s="167" t="s">
        <v>92</v>
      </c>
    </row>
    <row r="24" spans="1:2" x14ac:dyDescent="0.25">
      <c r="A24" s="167" t="s">
        <v>43</v>
      </c>
      <c r="B24" s="167" t="s">
        <v>91</v>
      </c>
    </row>
    <row r="25" spans="1:2" x14ac:dyDescent="0.25">
      <c r="A25" s="167" t="s">
        <v>43</v>
      </c>
      <c r="B25" s="167" t="s">
        <v>164</v>
      </c>
    </row>
    <row r="26" spans="1:2" x14ac:dyDescent="0.25">
      <c r="A26" s="167" t="s">
        <v>43</v>
      </c>
      <c r="B26" s="167" t="s">
        <v>165</v>
      </c>
    </row>
    <row r="27" spans="1:2" x14ac:dyDescent="0.25">
      <c r="A27" s="167" t="s">
        <v>43</v>
      </c>
      <c r="B27" s="167" t="s">
        <v>166</v>
      </c>
    </row>
    <row r="28" spans="1:2" x14ac:dyDescent="0.25">
      <c r="A28" s="167" t="s">
        <v>36</v>
      </c>
      <c r="B28" s="167" t="s">
        <v>37</v>
      </c>
    </row>
    <row r="29" spans="1:2" x14ac:dyDescent="0.25">
      <c r="A29" s="167" t="s">
        <v>36</v>
      </c>
      <c r="B29" s="167" t="s">
        <v>84</v>
      </c>
    </row>
    <row r="30" spans="1:2" x14ac:dyDescent="0.25">
      <c r="A30" s="167" t="s">
        <v>36</v>
      </c>
      <c r="B30" s="167" t="s">
        <v>83</v>
      </c>
    </row>
    <row r="31" spans="1:2" x14ac:dyDescent="0.25">
      <c r="A31" s="167" t="s">
        <v>36</v>
      </c>
      <c r="B31" s="167" t="s">
        <v>82</v>
      </c>
    </row>
    <row r="32" spans="1:2" x14ac:dyDescent="0.25">
      <c r="A32" s="167" t="s">
        <v>17</v>
      </c>
      <c r="B32" s="167" t="s">
        <v>19</v>
      </c>
    </row>
    <row r="33" spans="1:2" x14ac:dyDescent="0.25">
      <c r="A33" s="167" t="s">
        <v>17</v>
      </c>
      <c r="B33" s="167" t="s">
        <v>18</v>
      </c>
    </row>
    <row r="34" spans="1:2" x14ac:dyDescent="0.25">
      <c r="A34" s="167" t="s">
        <v>17</v>
      </c>
      <c r="B34" s="167" t="s">
        <v>16</v>
      </c>
    </row>
    <row r="35" spans="1:2" x14ac:dyDescent="0.25">
      <c r="A35" s="167" t="s">
        <v>24</v>
      </c>
      <c r="B35" s="167" t="s">
        <v>23</v>
      </c>
    </row>
    <row r="36" spans="1:2" x14ac:dyDescent="0.25">
      <c r="A36" s="167" t="s">
        <v>25</v>
      </c>
      <c r="B36" s="167" t="s">
        <v>167</v>
      </c>
    </row>
    <row r="37" spans="1:2" x14ac:dyDescent="0.25">
      <c r="A37" s="167" t="s">
        <v>25</v>
      </c>
      <c r="B37" s="167" t="s">
        <v>33</v>
      </c>
    </row>
    <row r="38" spans="1:2" x14ac:dyDescent="0.25">
      <c r="A38" s="167" t="s">
        <v>25</v>
      </c>
      <c r="B38" s="167" t="s">
        <v>168</v>
      </c>
    </row>
    <row r="39" spans="1:2" x14ac:dyDescent="0.25">
      <c r="A39" s="167" t="s">
        <v>25</v>
      </c>
      <c r="B39" s="167" t="s">
        <v>35</v>
      </c>
    </row>
    <row r="40" spans="1:2" x14ac:dyDescent="0.25">
      <c r="A40" s="167" t="s">
        <v>25</v>
      </c>
      <c r="B40" s="167" t="s">
        <v>169</v>
      </c>
    </row>
    <row r="41" spans="1:2" x14ac:dyDescent="0.25">
      <c r="A41" s="167" t="s">
        <v>25</v>
      </c>
      <c r="B41" s="167" t="s">
        <v>170</v>
      </c>
    </row>
    <row r="42" spans="1:2" x14ac:dyDescent="0.25">
      <c r="A42" s="167" t="s">
        <v>25</v>
      </c>
      <c r="B42" s="167" t="s">
        <v>32</v>
      </c>
    </row>
    <row r="43" spans="1:2" x14ac:dyDescent="0.25">
      <c r="A43" s="167" t="s">
        <v>25</v>
      </c>
      <c r="B43" s="167" t="s">
        <v>27</v>
      </c>
    </row>
    <row r="44" spans="1:2" x14ac:dyDescent="0.25">
      <c r="A44" s="167" t="s">
        <v>25</v>
      </c>
      <c r="B44" s="167" t="s">
        <v>171</v>
      </c>
    </row>
    <row r="45" spans="1:2" x14ac:dyDescent="0.25">
      <c r="A45" s="167" t="s">
        <v>25</v>
      </c>
      <c r="B45" s="167" t="s">
        <v>172</v>
      </c>
    </row>
    <row r="46" spans="1:2" x14ac:dyDescent="0.25">
      <c r="A46" s="167" t="s">
        <v>25</v>
      </c>
      <c r="B46" s="167" t="s">
        <v>173</v>
      </c>
    </row>
    <row r="47" spans="1:2" x14ac:dyDescent="0.25">
      <c r="A47" s="167" t="s">
        <v>25</v>
      </c>
      <c r="B47" s="167" t="s">
        <v>174</v>
      </c>
    </row>
    <row r="48" spans="1:2" x14ac:dyDescent="0.25">
      <c r="A48" s="167" t="s">
        <v>25</v>
      </c>
      <c r="B48" s="167" t="s">
        <v>175</v>
      </c>
    </row>
    <row r="49" spans="1:2" x14ac:dyDescent="0.25">
      <c r="A49" s="167" t="s">
        <v>25</v>
      </c>
      <c r="B49" s="167" t="s">
        <v>176</v>
      </c>
    </row>
    <row r="50" spans="1:2" x14ac:dyDescent="0.25">
      <c r="A50" s="167" t="s">
        <v>25</v>
      </c>
      <c r="B50" s="167" t="s">
        <v>177</v>
      </c>
    </row>
    <row r="51" spans="1:2" x14ac:dyDescent="0.25">
      <c r="A51" s="167" t="s">
        <v>25</v>
      </c>
      <c r="B51" s="167" t="s">
        <v>29</v>
      </c>
    </row>
    <row r="52" spans="1:2" x14ac:dyDescent="0.25">
      <c r="A52" s="167" t="s">
        <v>25</v>
      </c>
      <c r="B52" s="167" t="s">
        <v>26</v>
      </c>
    </row>
    <row r="53" spans="1:2" x14ac:dyDescent="0.25">
      <c r="A53" s="167" t="s">
        <v>25</v>
      </c>
      <c r="B53" s="167" t="s">
        <v>30</v>
      </c>
    </row>
    <row r="54" spans="1:2" x14ac:dyDescent="0.25">
      <c r="A54" s="167" t="s">
        <v>25</v>
      </c>
      <c r="B54" s="167" t="s">
        <v>34</v>
      </c>
    </row>
    <row r="55" spans="1:2" x14ac:dyDescent="0.25">
      <c r="A55" s="167" t="s">
        <v>25</v>
      </c>
      <c r="B55" s="167" t="s">
        <v>178</v>
      </c>
    </row>
    <row r="56" spans="1:2" x14ac:dyDescent="0.25">
      <c r="A56" s="167" t="s">
        <v>25</v>
      </c>
      <c r="B56" s="167" t="s">
        <v>31</v>
      </c>
    </row>
    <row r="57" spans="1:2" x14ac:dyDescent="0.25">
      <c r="A57" s="167" t="s">
        <v>25</v>
      </c>
      <c r="B57" s="167" t="s">
        <v>179</v>
      </c>
    </row>
    <row r="58" spans="1:2" x14ac:dyDescent="0.25">
      <c r="A58" s="167" t="s">
        <v>25</v>
      </c>
      <c r="B58" s="167" t="s">
        <v>28</v>
      </c>
    </row>
    <row r="59" spans="1:2" x14ac:dyDescent="0.25">
      <c r="A59" s="167" t="s">
        <v>25</v>
      </c>
      <c r="B59" s="167" t="s">
        <v>180</v>
      </c>
    </row>
    <row r="60" spans="1:2" x14ac:dyDescent="0.25">
      <c r="A60" s="167" t="s">
        <v>39</v>
      </c>
      <c r="B60" s="167" t="s">
        <v>41</v>
      </c>
    </row>
    <row r="61" spans="1:2" x14ac:dyDescent="0.25">
      <c r="A61" s="167" t="s">
        <v>39</v>
      </c>
      <c r="B61" s="167" t="s">
        <v>89</v>
      </c>
    </row>
    <row r="62" spans="1:2" x14ac:dyDescent="0.25">
      <c r="A62" s="167" t="s">
        <v>39</v>
      </c>
      <c r="B62" s="167" t="s">
        <v>88</v>
      </c>
    </row>
    <row r="63" spans="1:2" x14ac:dyDescent="0.25">
      <c r="A63" s="167" t="s">
        <v>39</v>
      </c>
      <c r="B63" s="167" t="s">
        <v>85</v>
      </c>
    </row>
    <row r="64" spans="1:2" x14ac:dyDescent="0.25">
      <c r="A64" s="167" t="s">
        <v>39</v>
      </c>
      <c r="B64" s="167" t="s">
        <v>87</v>
      </c>
    </row>
    <row r="65" spans="1:2" x14ac:dyDescent="0.25">
      <c r="A65" s="167" t="s">
        <v>39</v>
      </c>
      <c r="B65" s="167" t="s">
        <v>86</v>
      </c>
    </row>
  </sheetData>
  <conditionalFormatting sqref="A1:B1">
    <cfRule type="duplicateValues" dxfId="1" priority="2"/>
  </conditionalFormatting>
  <conditionalFormatting sqref="B1">
    <cfRule type="duplicateValues" dxfId="0" priority="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7C50-0E83-4132-AF34-6BD6CD358F9B}">
  <sheetPr>
    <tabColor rgb="FFFFFF00"/>
  </sheetPr>
  <dimension ref="A1:A16"/>
  <sheetViews>
    <sheetView workbookViewId="0"/>
  </sheetViews>
  <sheetFormatPr defaultRowHeight="15" x14ac:dyDescent="0.25"/>
  <cols>
    <col min="1" max="1" width="14.5703125" customWidth="1"/>
  </cols>
  <sheetData>
    <row r="1" spans="1:1" x14ac:dyDescent="0.25">
      <c r="A1" t="s">
        <v>181</v>
      </c>
    </row>
    <row r="2" spans="1:1" x14ac:dyDescent="0.25">
      <c r="A2" t="s">
        <v>182</v>
      </c>
    </row>
    <row r="3" spans="1:1" x14ac:dyDescent="0.25">
      <c r="A3" t="s">
        <v>183</v>
      </c>
    </row>
    <row r="4" spans="1:1" x14ac:dyDescent="0.25">
      <c r="A4" t="s">
        <v>184</v>
      </c>
    </row>
    <row r="5" spans="1:1" x14ac:dyDescent="0.25">
      <c r="A5" t="s">
        <v>185</v>
      </c>
    </row>
    <row r="6" spans="1:1" x14ac:dyDescent="0.25">
      <c r="A6" t="s">
        <v>186</v>
      </c>
    </row>
    <row r="7" spans="1:1" x14ac:dyDescent="0.25">
      <c r="A7" t="s">
        <v>187</v>
      </c>
    </row>
    <row r="8" spans="1:1" x14ac:dyDescent="0.25">
      <c r="A8" t="s">
        <v>188</v>
      </c>
    </row>
    <row r="9" spans="1:1" x14ac:dyDescent="0.25">
      <c r="A9" t="s">
        <v>189</v>
      </c>
    </row>
    <row r="10" spans="1:1" x14ac:dyDescent="0.25">
      <c r="A10" t="s">
        <v>190</v>
      </c>
    </row>
    <row r="11" spans="1:1" x14ac:dyDescent="0.25">
      <c r="A11" t="s">
        <v>191</v>
      </c>
    </row>
    <row r="12" spans="1:1" x14ac:dyDescent="0.25">
      <c r="A12" t="s">
        <v>192</v>
      </c>
    </row>
    <row r="13" spans="1:1" x14ac:dyDescent="0.25">
      <c r="A13" t="s">
        <v>40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Медиа факторы</vt:lpstr>
      <vt:lpstr>Фильтры</vt:lpstr>
      <vt:lpstr>Total_Москва</vt:lpstr>
      <vt:lpstr>Москва</vt:lpstr>
      <vt:lpstr>Списки</vt:lpstr>
      <vt:lpstr>Описание</vt:lpstr>
      <vt:lpstr>Форматы</vt:lpstr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Radetskaya</dc:creator>
  <cp:lastModifiedBy>Julia Radetskaya</cp:lastModifiedBy>
  <dcterms:created xsi:type="dcterms:W3CDTF">2026-01-23T10:25:51Z</dcterms:created>
  <dcterms:modified xsi:type="dcterms:W3CDTF">2026-01-25T14:36:23Z</dcterms:modified>
</cp:coreProperties>
</file>